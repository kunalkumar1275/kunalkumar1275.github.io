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3560" tabRatio="903"/>
  </bookViews>
  <sheets>
    <sheet name="1_Inputs" sheetId="1" r:id="rId1"/>
    <sheet name="2_Discount_Factors" sheetId="2" r:id="rId2"/>
    <sheet name="3_Survival_Probs" sheetId="3" r:id="rId3"/>
    <sheet name="4_Daily_Contributions" sheetId="4" r:id="rId4"/>
    <sheet name="5_Pricing_Summary" sheetId="5" r:id="rId5"/>
    <sheet name="6_Curve_Summary" sheetId="6" r:id="rId6"/>
  </sheets>
  <definedNames>
    <definedName name="notional">'1_Inputs'!$B$5</definedName>
    <definedName name="recovery">'1_Inputs'!$B$4</definedName>
    <definedName name="r_free">'1_Inputs'!$B$3</definedName>
    <definedName name="solver_opt" localSheetId="0" hidden="1">'1_Inputs'!$J$3</definedName>
    <definedName name="solver_typ" localSheetId="0" hidden="1">3</definedName>
    <definedName name="solver_val" localSheetId="0" hidden="1">70</definedName>
    <definedName name="solver_neg" localSheetId="0" hidden="1">1</definedName>
    <definedName name="solver_num" localSheetId="0" hidden="1">0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adj" localSheetId="0" hidden="1">'1_Inputs'!$H$3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<sst xmlns="http://schemas.openxmlformats.org/spreadsheetml/2006/main" count="168" uniqueCount="94">
  <si>
    <t>CDS PRICING MODEL — INPUTS &amp; HAZARD RATES</t>
  </si>
  <si>
    <t>── MODEL PARAMETERS ──</t>
  </si>
  <si>
    <t>Tenor</t>
  </si>
  <si>
    <t>Spread (bps)</t>
  </si>
  <si>
    <t>Segment</t>
  </si>
  <si>
    <t>λ (input/seed)</t>
  </si>
  <si>
    <t>λ (bps)</t>
  </si>
  <si>
    <t>Model Spread(bps)</t>
  </si>
  <si>
    <t>Market Spread(bps)</t>
  </si>
  <si>
    <t>Risk-free rate (r)</t>
  </si>
  <si>
    <t>6m</t>
  </si>
  <si>
    <t>0→6m</t>
  </si>
  <si>
    <t>Recovery rate (R)</t>
  </si>
  <si>
    <t>1y</t>
  </si>
  <si>
    <t>6m→1y</t>
  </si>
  <si>
    <t>Notional (N)</t>
  </si>
  <si>
    <t>2y</t>
  </si>
  <si>
    <t>1→2y</t>
  </si>
  <si>
    <t>3y</t>
  </si>
  <si>
    <t>2→3y</t>
  </si>
  <si>
    <t>5y</t>
  </si>
  <si>
    <t>3→5y</t>
  </si>
  <si>
    <t>To update after changing market spreads: use Excel Solver (Data→Solver) to set Col J = Col K for each tenor by changing Col H. Or use Goal Seek individually per tenor.</t>
  </si>
  <si>
    <t>HOW TO RECALIBRATE AFTER CHANGING SPREADS</t>
  </si>
  <si>
    <t>1. Change market spreads in column E (amber cells).</t>
  </si>
  <si>
    <t>2. Go to Data → Solver. Add constraints: J3=K3, J4=K4, J5=K5, J6=K6, J7=K7.</t>
  </si>
  <si>
    <t>3. Set 'By Changing Variable Cells' to H3:H7. Click Solve.</t>
  </si>
  <si>
    <t>4. All formulas in Sheets 2-6 update automatically.</t>
  </si>
  <si>
    <t xml:space="preserve">   Alternative: Goal Seek each row individually (Data → What-If → Goal Seek).</t>
  </si>
  <si>
    <t>DISCOUNT FACTORS — Daily Grid, 5 Years (1825 rows). df(t)=EXP(−r×t)</t>
  </si>
  <si>
    <t>Day j</t>
  </si>
  <si>
    <t>t (yrs)</t>
  </si>
  <si>
    <t>df(t)=EXP(−r×t)</t>
  </si>
  <si>
    <t>Notes</t>
  </si>
  <si>
    <t>t=0: df=1, Q=1 by definition</t>
  </si>
  <si>
    <t>Quarter end Q1</t>
  </si>
  <si>
    <t>Quarter end Q2</t>
  </si>
  <si>
    <t>Quarter end Q3</t>
  </si>
  <si>
    <t>Quarter end Q4</t>
  </si>
  <si>
    <t>Quarter end Q5</t>
  </si>
  <si>
    <t>Quarter end Q6</t>
  </si>
  <si>
    <t>Quarter end Q7</t>
  </si>
  <si>
    <t>Quarter end Q8</t>
  </si>
  <si>
    <t>Quarter end Q9</t>
  </si>
  <si>
    <t>Quarter end Q10</t>
  </si>
  <si>
    <t>Quarter end Q11</t>
  </si>
  <si>
    <t>Quarter end Q12</t>
  </si>
  <si>
    <t>Quarter end Q13</t>
  </si>
  <si>
    <t>Quarter end Q14</t>
  </si>
  <si>
    <t>Quarter end Q15</t>
  </si>
  <si>
    <t>Quarter end Q16</t>
  </si>
  <si>
    <t>Quarter end Q17</t>
  </si>
  <si>
    <t>Quarter end Q18</t>
  </si>
  <si>
    <t>Quarter end Q19</t>
  </si>
  <si>
    <t>Quarter end Q20</t>
  </si>
  <si>
    <t>SURVIVAL PROBABILITIES Q(t) — Daily. Piecewise: Q(t)=Q(t_prev)×EXP(−λₖ×Δt)</t>
  </si>
  <si>
    <t>λ applicable</t>
  </si>
  <si>
    <t>Q(t)</t>
  </si>
  <si>
    <t>Q(0)=1 by definition</t>
  </si>
  <si>
    <t>Quarter end</t>
  </si>
  <si>
    <t>λ changes: 0→6m ends, 6m→1y begins</t>
  </si>
  <si>
    <t>λ changes: 6m→1y ends, 1→2y begins</t>
  </si>
  <si>
    <t>λ changes: 1→2y ends, 2→3y begins</t>
  </si>
  <si>
    <t>λ changes: 2→3y ends, 3→5y begins</t>
  </si>
  <si>
    <t>DAILY LEG CONTRIBUTIONS — Each row = one calendar day</t>
  </si>
  <si>
    <t>df(mid)</t>
  </si>
  <si>
    <t>Q(t−1)</t>
  </si>
  <si>
    <t>dQ=Q(t−1)−Q(t)</t>
  </si>
  <si>
    <t>Protection contrib</t>
  </si>
  <si>
    <t>Accrual contrib</t>
  </si>
  <si>
    <t>Qtr?</t>
  </si>
  <si>
    <t>YES</t>
  </si>
  <si>
    <t>CDS PRICING SUMMARY — All values via Excel formulas from Sheets 2-4</t>
  </si>
  <si>
    <t>Protection Leg ($)</t>
  </si>
  <si>
    <t>Mkt Spread(bps)</t>
  </si>
  <si>
    <t>Error(bps)</t>
  </si>
  <si>
    <t>RPV01(yrs)</t>
  </si>
  <si>
    <t>CS01($)</t>
  </si>
  <si>
    <t>Q(end)</t>
  </si>
  <si>
    <t>Protection Leg = SUM of daily contributions from Sheet 4. RPV01 = quarterly premium sum × Q(t) × df(t) + accrual sum. Model Spread = Protection Leg / (RPV01 × N) × 10000 in bps. Error should be &lt;0.001bps when λ values are correctly calibrated. If error is large: use Solver on Sheet 1 to recalibrate λ.</t>
  </si>
  <si>
    <t>SURVIVAL &amp; HAZARD RATE CURVE — Key Dates Summary</t>
  </si>
  <si>
    <t>Day</t>
  </si>
  <si>
    <t>Cum Def Prob</t>
  </si>
  <si>
    <t>3m</t>
  </si>
  <si>
    <t>9m</t>
  </si>
  <si>
    <t>18m</t>
  </si>
  <si>
    <t>4y</t>
  </si>
  <si>
    <t>HAZARD RATE CURVE</t>
  </si>
  <si>
    <t>λ (decimal)</t>
  </si>
  <si>
    <t>Approx S=λ×(1−R)</t>
  </si>
  <si>
    <t>Q at segment end</t>
  </si>
  <si>
    <t>CHART DATA</t>
  </si>
  <si>
    <t>Cum Def Prob(%)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</si>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</sst>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"/>
    <numFmt numFmtId="177" formatCode="0.000000"/>
    <numFmt numFmtId="178" formatCode="0.000%"/>
    <numFmt numFmtId="179" formatCode="0.00000000"/>
    <numFmt numFmtId="180" formatCode="&quot;$&quot;#,##0.00"/>
    <numFmt numFmtId="181" formatCode="0.0000"/>
    <numFmt numFmtId="182" formatCode="&quot;$&quot;#,##0.0000"/>
    <numFmt numFmtId="183" formatCode="0.000000_ "/>
    <numFmt numFmtId="184" formatCode="&quot;$&quot;#,##0"/>
  </numFmts>
  <fonts count="30">
    <font>
      <sz val="11"/>
      <color theme="1"/>
      <name val="Calibri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10"/>
      <name val="Arial"/>
      <charset val="134"/>
    </font>
    <font>
      <i/>
      <sz val="8"/>
      <color rgb="FF000000"/>
      <name val="Arial"/>
      <charset val="1"/>
    </font>
    <font>
      <i/>
      <sz val="9"/>
      <color rgb="FF000000"/>
      <name val="Arial"/>
      <charset val="1"/>
    </font>
    <font>
      <b/>
      <sz val="12"/>
      <color rgb="FFFFFFFF"/>
      <name val="Arial"/>
      <charset val="1"/>
    </font>
    <font>
      <sz val="9"/>
      <color rgb="FF0000FF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1F6B75"/>
        <bgColor rgb="FF008080"/>
      </patternFill>
    </fill>
    <fill>
      <patternFill patternType="solid">
        <fgColor rgb="FFFFF2CC"/>
        <bgColor rgb="FFFFE0E0"/>
      </patternFill>
    </fill>
    <fill>
      <patternFill patternType="solid">
        <fgColor rgb="FFE2EFDA"/>
        <bgColor rgb="FFD9E1F2"/>
      </patternFill>
    </fill>
    <fill>
      <patternFill patternType="solid">
        <fgColor rgb="FFFFE0E0"/>
        <bgColor rgb="FFFFF2CC"/>
      </patternFill>
    </fill>
    <fill>
      <patternFill patternType="solid">
        <fgColor rgb="FF375623"/>
        <bgColor rgb="FF3333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43" fontId="5" fillId="0" borderId="0" xfId="1"/>
    <xf numFmtId="2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/>
    </xf>
    <xf numFmtId="181" fontId="4" fillId="6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8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83" fontId="0" fillId="0" borderId="0" xfId="0" applyNumberFormat="1"/>
    <xf numFmtId="18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182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8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9" fillId="5" borderId="1" xfId="0" applyNumberFormat="1" applyFont="1" applyFill="1" applyBorder="1" applyAlignment="1">
      <alignment horizontal="center" vertical="center"/>
    </xf>
    <xf numFmtId="184" fontId="9" fillId="5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B75"/>
      <rgbColor rgb="00C0C0C0"/>
      <rgbColor rgb="00878787"/>
      <rgbColor rgb="009999FF"/>
      <rgbColor rgb="00993366"/>
      <rgbColor rgb="00FFF2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E0E0"/>
      <rgbColor rgb="003366FF"/>
      <rgbColor rgb="0033CCCC"/>
      <rgbColor rgb="0099CC00"/>
      <rgbColor rgb="00FFCC00"/>
      <rgbColor rgb="00FF9900"/>
      <rgbColor rgb="00FF6600"/>
      <rgbColor rgb="004A7EBB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Probability Q(t)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'6_Curve_Summary'!$B$23</c:f>
              <c:strCache>
                <c:ptCount val="1"/>
                <c:pt idx="0">
                  <c:v>Q(t)</c:v>
                </c:pt>
              </c:strCache>
            </c:strRef>
          </c:tx>
          <c:spPr>
            <a:ln w="4752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'6_Curve_Summary'!$A$24:$A$31</c:f>
              <c:strCache>
                <c:ptCount val="8"/>
                <c:pt idx="0">
                  <c:v>0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  <c:pt idx="4">
                  <c:v>2y</c:v>
                </c:pt>
                <c:pt idx="5">
                  <c:v>3y</c:v>
                </c:pt>
                <c:pt idx="6">
                  <c:v>4y</c:v>
                </c:pt>
                <c:pt idx="7">
                  <c:v>5y</c:v>
                </c:pt>
              </c:strCache>
            </c:strRef>
          </c:cat>
          <c:val>
            <c:numRef>
              <c:f>'6_Curve_Summary'!$B$24:$B$31</c:f>
              <c:numCache>
                <c:formatCode>0.000000</c:formatCode>
                <c:ptCount val="8"/>
                <c:pt idx="0">
                  <c:v>1</c:v>
                </c:pt>
                <c:pt idx="1">
                  <c:v>0.997115055769119</c:v>
                </c:pt>
                <c:pt idx="2">
                  <c:v>0.994238434441454</c:v>
                </c:pt>
                <c:pt idx="3">
                  <c:v>0.988799196068552</c:v>
                </c:pt>
                <c:pt idx="4">
                  <c:v>0.968139824085445</c:v>
                </c:pt>
                <c:pt idx="5">
                  <c:v>0.941207513416557</c:v>
                </c:pt>
                <c:pt idx="6">
                  <c:v>0.912868972493059</c:v>
                </c:pt>
                <c:pt idx="7">
                  <c:v>0.885383668385274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45392925"/>
        <c:axId val="35545045"/>
      </c:lineChart>
      <c:catAx>
        <c:axId val="453929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Tenor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35545045"/>
        <c:crosses val="autoZero"/>
        <c:auto val="1"/>
        <c:lblAlgn val="ctr"/>
        <c:lblOffset val="100"/>
        <c:noMultiLvlLbl val="0"/>
      </c:catAx>
      <c:valAx>
        <c:axId val="3554504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Q(t)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45392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e87ae6-c0c6-42b1-8cfa-996894e9a91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Hazard Rate λ (bps) per Segment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2864267628328"/>
          <c:y val="0.173441734417344"/>
          <c:w val="0.781247602240467"/>
          <c:h val="0.767970060652987"/>
        </c:manualLayout>
      </c:layout>
      <c:lineChart>
        <c:grouping val="standard"/>
        <c:varyColors val="0"/>
        <c:ser>
          <c:idx val="0"/>
          <c:order val="0"/>
          <c:tx>
            <c:strRef>
              <c:f>'6_Curve_Summary'!$C$15</c:f>
              <c:strCache>
                <c:ptCount val="1"/>
                <c:pt idx="0">
                  <c:v>λ (bps)</c:v>
                </c:pt>
              </c:strCache>
            </c:strRef>
          </c:tx>
          <c:spPr>
            <a:ln w="4752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'6_Curve_Summary'!$A$16:$A$20</c:f>
              <c:strCache>
                <c:ptCount val="5"/>
                <c:pt idx="0">
                  <c:v>0→6m</c:v>
                </c:pt>
                <c:pt idx="1">
                  <c:v>6m→1y</c:v>
                </c:pt>
                <c:pt idx="2">
                  <c:v>1→2y</c:v>
                </c:pt>
                <c:pt idx="3">
                  <c:v>2→3y</c:v>
                </c:pt>
                <c:pt idx="4">
                  <c:v>3→5y</c:v>
                </c:pt>
              </c:strCache>
            </c:strRef>
          </c:cat>
          <c:val>
            <c:numRef>
              <c:f>'6_Curve_Summary'!$C$16:$C$20</c:f>
              <c:numCache>
                <c:formatCode>0.00</c:formatCode>
                <c:ptCount val="5"/>
                <c:pt idx="0">
                  <c:v>115.882033164433</c:v>
                </c:pt>
                <c:pt idx="1">
                  <c:v>109.380260089013</c:v>
                </c:pt>
                <c:pt idx="2">
                  <c:v>211.14750451147</c:v>
                </c:pt>
                <c:pt idx="3">
                  <c:v>282.12883587601</c:v>
                </c:pt>
                <c:pt idx="4">
                  <c:v>305.712824819807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53306873"/>
        <c:axId val="64241153"/>
      </c:lineChart>
      <c:catAx>
        <c:axId val="533068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Segment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64241153"/>
        <c:crosses val="autoZero"/>
        <c:auto val="1"/>
        <c:lblAlgn val="ctr"/>
        <c:lblOffset val="100"/>
        <c:noMultiLvlLbl val="0"/>
      </c:catAx>
      <c:valAx>
        <c:axId val="6424115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λ (bps)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3306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2b7993-d7bf-4c53-98b2-9dd6807c8d7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13970</xdr:colOff>
      <xdr:row>2</xdr:row>
      <xdr:rowOff>15875</xdr:rowOff>
    </xdr:from>
    <xdr:to>
      <xdr:col>23</xdr:col>
      <xdr:colOff>487010</xdr:colOff>
      <xdr:row>26</xdr:row>
      <xdr:rowOff>123515</xdr:rowOff>
    </xdr:to>
    <xdr:graphicFrame>
      <xdr:nvGraphicFramePr>
        <xdr:cNvPr id="2" name="Chart 1"/>
        <xdr:cNvGraphicFramePr/>
      </xdr:nvGraphicFramePr>
      <xdr:xfrm>
        <a:off x="11405235" y="442595"/>
        <a:ext cx="8232775" cy="5227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950595</xdr:colOff>
      <xdr:row>21</xdr:row>
      <xdr:rowOff>184785</xdr:rowOff>
    </xdr:from>
    <xdr:to>
      <xdr:col>16</xdr:col>
      <xdr:colOff>335245</xdr:colOff>
      <xdr:row>46</xdr:row>
      <xdr:rowOff>79065</xdr:rowOff>
    </xdr:to>
    <xdr:graphicFrame>
      <xdr:nvGraphicFramePr>
        <xdr:cNvPr id="3" name="Chart 2"/>
        <xdr:cNvGraphicFramePr/>
      </xdr:nvGraphicFramePr>
      <xdr:xfrm>
        <a:off x="6315075" y="4665345"/>
        <a:ext cx="8232775" cy="5227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20" zoomScaleNormal="120" workbookViewId="0">
      <pane ySplit="2" topLeftCell="A3" activePane="bottomLeft" state="frozen"/>
      <selection/>
      <selection pane="bottomLeft" activeCell="D19" sqref="D19"/>
    </sheetView>
  </sheetViews>
  <sheetFormatPr defaultColWidth="8.6796875" defaultRowHeight="16.8"/>
  <cols>
    <col min="1" max="1" width="13.453125" customWidth="1"/>
    <col min="2" max="2" width="14" customWidth="1"/>
    <col min="3" max="3" width="3" customWidth="1"/>
    <col min="4" max="4" width="5.421875" customWidth="1"/>
    <col min="5" max="5" width="8.6796875" customWidth="1"/>
    <col min="6" max="6" width="3" customWidth="1"/>
    <col min="7" max="7" width="22" customWidth="1"/>
    <col min="8" max="10" width="14" customWidth="1"/>
    <col min="11" max="11" width="18" customWidth="1"/>
  </cols>
  <sheetData>
    <row r="1" ht="17.6" spans="1:1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>
      <c r="A2" s="15" t="s">
        <v>1</v>
      </c>
      <c r="B2" s="15"/>
      <c r="D2" s="2" t="s">
        <v>2</v>
      </c>
      <c r="E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</row>
    <row r="3" spans="1:11">
      <c r="A3" s="46" t="s">
        <v>9</v>
      </c>
      <c r="B3" s="47">
        <v>0.03</v>
      </c>
      <c r="D3" s="3" t="s">
        <v>10</v>
      </c>
      <c r="E3" s="48">
        <v>70</v>
      </c>
      <c r="G3" s="3" t="s">
        <v>11</v>
      </c>
      <c r="H3" s="49">
        <v>0.0115882033164433</v>
      </c>
      <c r="I3" s="16">
        <f>H3*10000</f>
        <v>115.882033164433</v>
      </c>
      <c r="J3" s="22">
        <f>'5_Pricing_Summary'!C3</f>
        <v>69.9999134350343</v>
      </c>
      <c r="K3" s="24">
        <f>E3</f>
        <v>70</v>
      </c>
    </row>
    <row r="4" spans="1:11">
      <c r="A4" s="50" t="s">
        <v>12</v>
      </c>
      <c r="B4" s="51">
        <v>0.4</v>
      </c>
      <c r="D4" s="9" t="s">
        <v>13</v>
      </c>
      <c r="E4" s="48">
        <v>90</v>
      </c>
      <c r="G4" s="9" t="s">
        <v>14</v>
      </c>
      <c r="H4" s="49">
        <v>0.0109380260089013</v>
      </c>
      <c r="I4" s="19">
        <f>H4*10000</f>
        <v>109.380260089013</v>
      </c>
      <c r="J4" s="22">
        <f>'5_Pricing_Summary'!C4</f>
        <v>89.9993830823316</v>
      </c>
      <c r="K4" s="26">
        <f>E4</f>
        <v>90</v>
      </c>
    </row>
    <row r="5" spans="1:11">
      <c r="A5" s="46" t="s">
        <v>15</v>
      </c>
      <c r="B5" s="52">
        <v>10000000</v>
      </c>
      <c r="D5" s="3" t="s">
        <v>16</v>
      </c>
      <c r="E5" s="48">
        <v>110</v>
      </c>
      <c r="G5" s="3" t="s">
        <v>17</v>
      </c>
      <c r="H5" s="49">
        <v>0.021114750451147</v>
      </c>
      <c r="I5" s="16">
        <f>H5*10000</f>
        <v>211.14750451147</v>
      </c>
      <c r="J5" s="22">
        <f>'5_Pricing_Summary'!C5</f>
        <v>109.99999842952</v>
      </c>
      <c r="K5" s="24">
        <f>E5</f>
        <v>110</v>
      </c>
    </row>
    <row r="6" spans="1:11">
      <c r="D6" s="9" t="s">
        <v>18</v>
      </c>
      <c r="E6" s="48">
        <v>130</v>
      </c>
      <c r="G6" s="9" t="s">
        <v>19</v>
      </c>
      <c r="H6" s="49">
        <v>0.028212883587601</v>
      </c>
      <c r="I6" s="19">
        <f>H6*10000</f>
        <v>282.12883587601</v>
      </c>
      <c r="J6" s="22">
        <f>'5_Pricing_Summary'!C6</f>
        <v>129.999997039682</v>
      </c>
      <c r="K6" s="26">
        <f>E6</f>
        <v>130</v>
      </c>
    </row>
    <row r="7" spans="1:11">
      <c r="D7" s="3" t="s">
        <v>20</v>
      </c>
      <c r="E7" s="48">
        <v>150</v>
      </c>
      <c r="G7" s="3" t="s">
        <v>21</v>
      </c>
      <c r="H7" s="49">
        <v>0.0305712824819807</v>
      </c>
      <c r="I7" s="16">
        <f>H7*10000</f>
        <v>305.712824819807</v>
      </c>
      <c r="J7" s="22">
        <f>'5_Pricing_Summary'!C7</f>
        <v>149.999981859022</v>
      </c>
      <c r="K7" s="24">
        <f>E7</f>
        <v>150</v>
      </c>
    </row>
    <row r="9" ht="30" customHeight="1" spans="1:11">
      <c r="G9" s="27" t="s">
        <v>22</v>
      </c>
      <c r="H9" s="27"/>
      <c r="I9" s="27"/>
      <c r="J9" s="27"/>
      <c r="K9" s="27"/>
    </row>
    <row r="11" spans="1:11">
      <c r="G11" s="53" t="s">
        <v>23</v>
      </c>
      <c r="H11" s="53"/>
      <c r="I11" s="53"/>
      <c r="J11" s="53"/>
      <c r="K11" s="53"/>
    </row>
    <row r="12" ht="15" customHeight="1" spans="1:11">
      <c r="G12" s="54" t="s">
        <v>24</v>
      </c>
      <c r="H12" s="54"/>
      <c r="I12" s="54"/>
      <c r="J12" s="54"/>
      <c r="K12" s="54"/>
    </row>
    <row r="13" ht="15" customHeight="1" spans="1:11">
      <c r="G13" s="55" t="s">
        <v>25</v>
      </c>
      <c r="H13" s="55"/>
      <c r="I13" s="55"/>
      <c r="J13" s="55"/>
      <c r="K13" s="55"/>
    </row>
    <row r="14" ht="15" customHeight="1" spans="1:11">
      <c r="G14" s="54" t="s">
        <v>26</v>
      </c>
      <c r="H14" s="54"/>
      <c r="I14" s="54"/>
      <c r="J14" s="54"/>
      <c r="K14" s="54"/>
    </row>
    <row r="15" ht="15" customHeight="1" spans="1:11">
      <c r="G15" s="55" t="s">
        <v>27</v>
      </c>
      <c r="H15" s="55"/>
      <c r="I15" s="55"/>
      <c r="J15" s="55"/>
      <c r="K15" s="55"/>
    </row>
    <row r="16" ht="15" customHeight="1" spans="1:11">
      <c r="G16" s="54" t="s">
        <v>28</v>
      </c>
      <c r="H16" s="54"/>
      <c r="I16" s="54"/>
      <c r="J16" s="54"/>
      <c r="K16" s="54"/>
    </row>
  </sheetData>
  <mergeCells count="9">
    <mergeCell ref="A1:K1"/>
    <mergeCell ref="A2:B2"/>
    <mergeCell ref="G9:K9"/>
    <mergeCell ref="G11:K11"/>
    <mergeCell ref="G12:K12"/>
    <mergeCell ref="G13:K13"/>
    <mergeCell ref="G14:K14"/>
    <mergeCell ref="G15:K15"/>
    <mergeCell ref="G16:K1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28"/>
  <sheetViews>
    <sheetView zoomScale="140" zoomScaleNormal="140" workbookViewId="0">
      <pane ySplit="2" topLeftCell="A3" activePane="bottomLeft" state="frozen"/>
      <selection/>
      <selection pane="bottomLeft" activeCell="B4" sqref="B4"/>
    </sheetView>
  </sheetViews>
  <sheetFormatPr defaultColWidth="8.6796875" defaultRowHeight="16.8" outlineLevelCol="3"/>
  <cols>
    <col min="1" max="1" width="8" customWidth="1"/>
    <col min="2" max="3" width="12" customWidth="1"/>
    <col min="4" max="4" width="18" customWidth="1"/>
  </cols>
  <sheetData>
    <row r="1" ht="22.35" customHeight="1" spans="1:4">
      <c r="A1" s="28" t="s">
        <v>29</v>
      </c>
      <c r="B1" s="28"/>
      <c r="C1" s="28"/>
      <c r="D1" s="28"/>
    </row>
    <row r="2" spans="1:4">
      <c r="A2" s="2" t="s">
        <v>30</v>
      </c>
      <c r="B2" s="2" t="s">
        <v>31</v>
      </c>
      <c r="C2" s="2" t="s">
        <v>32</v>
      </c>
      <c r="D2" s="15" t="s">
        <v>33</v>
      </c>
    </row>
    <row r="3" spans="1:4">
      <c r="A3" s="39">
        <v>0</v>
      </c>
      <c r="B3" s="40">
        <f t="shared" ref="B3:B66" si="0">A3/365</f>
        <v>0</v>
      </c>
      <c r="C3" s="40">
        <f>EXP(-r_free*B3)</f>
        <v>1</v>
      </c>
      <c r="D3" s="42" t="s">
        <v>34</v>
      </c>
    </row>
    <row r="4" spans="1:4">
      <c r="A4" s="4">
        <v>1</v>
      </c>
      <c r="B4" s="6">
        <f t="shared" si="0"/>
        <v>0.00273972602739726</v>
      </c>
      <c r="C4" s="6">
        <f>EXP(-r_free*B4)</f>
        <v>0.99991781159683</v>
      </c>
    </row>
    <row r="5" spans="1:4">
      <c r="A5" s="10">
        <v>2</v>
      </c>
      <c r="B5" s="12">
        <f t="shared" si="0"/>
        <v>0.00547945205479452</v>
      </c>
      <c r="C5" s="12">
        <f>EXP(-r_free*B5)</f>
        <v>0.999835629948594</v>
      </c>
    </row>
    <row r="6" spans="1:4">
      <c r="A6" s="4">
        <v>3</v>
      </c>
      <c r="B6" s="6">
        <f t="shared" si="0"/>
        <v>0.00821917808219178</v>
      </c>
      <c r="C6" s="6">
        <f>EXP(-r_free*B6)</f>
        <v>0.999753455054736</v>
      </c>
    </row>
    <row r="7" spans="1:4">
      <c r="A7" s="10">
        <v>4</v>
      </c>
      <c r="B7" s="12">
        <f t="shared" si="0"/>
        <v>0.010958904109589</v>
      </c>
      <c r="C7" s="12">
        <f>EXP(-r_free*B7)</f>
        <v>0.999671286914701</v>
      </c>
    </row>
    <row r="8" spans="1:4">
      <c r="A8" s="4">
        <v>5</v>
      </c>
      <c r="B8" s="6">
        <f t="shared" si="0"/>
        <v>0.0136986301369863</v>
      </c>
      <c r="C8" s="6">
        <f>EXP(-r_free*B8)</f>
        <v>0.999589125527934</v>
      </c>
    </row>
    <row r="9" spans="1:4">
      <c r="A9" s="10">
        <v>6</v>
      </c>
      <c r="B9" s="12">
        <f t="shared" si="0"/>
        <v>0.0164383561643836</v>
      </c>
      <c r="C9" s="12">
        <f>EXP(-r_free*B9)</f>
        <v>0.999506970893881</v>
      </c>
    </row>
    <row r="10" spans="1:4">
      <c r="A10" s="4">
        <v>7</v>
      </c>
      <c r="B10" s="6">
        <f t="shared" si="0"/>
        <v>0.0191780821917808</v>
      </c>
      <c r="C10" s="6">
        <f>EXP(-r_free*B10)</f>
        <v>0.999424823011986</v>
      </c>
    </row>
    <row r="11" spans="1:4">
      <c r="A11" s="10">
        <v>8</v>
      </c>
      <c r="B11" s="12">
        <f t="shared" si="0"/>
        <v>0.0219178082191781</v>
      </c>
      <c r="C11" s="12">
        <f>EXP(-r_free*B11)</f>
        <v>0.999342681881694</v>
      </c>
    </row>
    <row r="12" spans="1:4">
      <c r="A12" s="4">
        <v>9</v>
      </c>
      <c r="B12" s="6">
        <f t="shared" si="0"/>
        <v>0.0246575342465753</v>
      </c>
      <c r="C12" s="6">
        <f>EXP(-r_free*B12)</f>
        <v>0.999260547502451</v>
      </c>
    </row>
    <row r="13" spans="1:4">
      <c r="A13" s="10">
        <v>10</v>
      </c>
      <c r="B13" s="12">
        <f t="shared" si="0"/>
        <v>0.0273972602739726</v>
      </c>
      <c r="C13" s="12">
        <f>EXP(-r_free*B13)</f>
        <v>0.999178419873701</v>
      </c>
    </row>
    <row r="14" spans="1:4">
      <c r="A14" s="4">
        <v>11</v>
      </c>
      <c r="B14" s="6">
        <f t="shared" si="0"/>
        <v>0.0301369863013699</v>
      </c>
      <c r="C14" s="6">
        <f>EXP(-r_free*B14)</f>
        <v>0.999096298994889</v>
      </c>
    </row>
    <row r="15" spans="1:4">
      <c r="A15" s="10">
        <v>12</v>
      </c>
      <c r="B15" s="12">
        <f t="shared" si="0"/>
        <v>0.0328767123287671</v>
      </c>
      <c r="C15" s="12">
        <f>EXP(-r_free*B15)</f>
        <v>0.999014184865462</v>
      </c>
    </row>
    <row r="16" spans="1:4">
      <c r="A16" s="4">
        <v>13</v>
      </c>
      <c r="B16" s="6">
        <f t="shared" si="0"/>
        <v>0.0356164383561644</v>
      </c>
      <c r="C16" s="6">
        <f>EXP(-r_free*B16)</f>
        <v>0.998932077484863</v>
      </c>
    </row>
    <row r="17" spans="1:3">
      <c r="A17" s="10">
        <v>14</v>
      </c>
      <c r="B17" s="12">
        <f t="shared" si="0"/>
        <v>0.0383561643835616</v>
      </c>
      <c r="C17" s="12">
        <f>EXP(-r_free*B17)</f>
        <v>0.99884997685254</v>
      </c>
    </row>
    <row r="18" spans="1:3">
      <c r="A18" s="4">
        <v>15</v>
      </c>
      <c r="B18" s="6">
        <f t="shared" si="0"/>
        <v>0.0410958904109589</v>
      </c>
      <c r="C18" s="6">
        <f>EXP(-r_free*B18)</f>
        <v>0.998767882967936</v>
      </c>
    </row>
    <row r="19" spans="1:3">
      <c r="A19" s="10">
        <v>16</v>
      </c>
      <c r="B19" s="12">
        <f t="shared" si="0"/>
        <v>0.0438356164383562</v>
      </c>
      <c r="C19" s="12">
        <f>EXP(-r_free*B19)</f>
        <v>0.998685795830497</v>
      </c>
    </row>
    <row r="20" spans="1:3">
      <c r="A20" s="4">
        <v>17</v>
      </c>
      <c r="B20" s="6">
        <f t="shared" si="0"/>
        <v>0.0465753424657534</v>
      </c>
      <c r="C20" s="6">
        <f>EXP(-r_free*B20)</f>
        <v>0.998603715439669</v>
      </c>
    </row>
    <row r="21" spans="1:3">
      <c r="A21" s="10">
        <v>18</v>
      </c>
      <c r="B21" s="12">
        <f t="shared" si="0"/>
        <v>0.0493150684931507</v>
      </c>
      <c r="C21" s="12">
        <f>EXP(-r_free*B21)</f>
        <v>0.998521641794897</v>
      </c>
    </row>
    <row r="22" spans="1:3">
      <c r="A22" s="4">
        <v>19</v>
      </c>
      <c r="B22" s="6">
        <f t="shared" si="0"/>
        <v>0.0520547945205479</v>
      </c>
      <c r="C22" s="6">
        <f>EXP(-r_free*B22)</f>
        <v>0.998439574895628</v>
      </c>
    </row>
    <row r="23" spans="1:3">
      <c r="A23" s="10">
        <v>20</v>
      </c>
      <c r="B23" s="12">
        <f t="shared" si="0"/>
        <v>0.0547945205479452</v>
      </c>
      <c r="C23" s="12">
        <f>EXP(-r_free*B23)</f>
        <v>0.998357514741305</v>
      </c>
    </row>
    <row r="24" spans="1:3">
      <c r="A24" s="4">
        <v>21</v>
      </c>
      <c r="B24" s="6">
        <f t="shared" si="0"/>
        <v>0.0575342465753425</v>
      </c>
      <c r="C24" s="6">
        <f>EXP(-r_free*B24)</f>
        <v>0.998275461331376</v>
      </c>
    </row>
    <row r="25" spans="1:3">
      <c r="A25" s="10">
        <v>22</v>
      </c>
      <c r="B25" s="12">
        <f t="shared" si="0"/>
        <v>0.0602739726027397</v>
      </c>
      <c r="C25" s="12">
        <f>EXP(-r_free*B25)</f>
        <v>0.998193414665285</v>
      </c>
    </row>
    <row r="26" spans="1:3">
      <c r="A26" s="4">
        <v>23</v>
      </c>
      <c r="B26" s="6">
        <f t="shared" si="0"/>
        <v>0.063013698630137</v>
      </c>
      <c r="C26" s="6">
        <f>EXP(-r_free*B26)</f>
        <v>0.998111374742479</v>
      </c>
    </row>
    <row r="27" spans="1:3">
      <c r="A27" s="10">
        <v>24</v>
      </c>
      <c r="B27" s="12">
        <f t="shared" si="0"/>
        <v>0.0657534246575342</v>
      </c>
      <c r="C27" s="12">
        <f>EXP(-r_free*B27)</f>
        <v>0.998029341562403</v>
      </c>
    </row>
    <row r="28" spans="1:3">
      <c r="A28" s="4">
        <v>25</v>
      </c>
      <c r="B28" s="6">
        <f t="shared" si="0"/>
        <v>0.0684931506849315</v>
      </c>
      <c r="C28" s="6">
        <f>EXP(-r_free*B28)</f>
        <v>0.997947315124503</v>
      </c>
    </row>
    <row r="29" spans="1:3">
      <c r="A29" s="10">
        <v>26</v>
      </c>
      <c r="B29" s="12">
        <f t="shared" si="0"/>
        <v>0.0712328767123288</v>
      </c>
      <c r="C29" s="12">
        <f>EXP(-r_free*B29)</f>
        <v>0.997865295428225</v>
      </c>
    </row>
    <row r="30" spans="1:3">
      <c r="A30" s="4">
        <v>27</v>
      </c>
      <c r="B30" s="6">
        <f t="shared" si="0"/>
        <v>0.073972602739726</v>
      </c>
      <c r="C30" s="6">
        <f>EXP(-r_free*B30)</f>
        <v>0.997783282473015</v>
      </c>
    </row>
    <row r="31" spans="1:3">
      <c r="A31" s="10">
        <v>28</v>
      </c>
      <c r="B31" s="12">
        <f t="shared" si="0"/>
        <v>0.0767123287671233</v>
      </c>
      <c r="C31" s="12">
        <f>EXP(-r_free*B31)</f>
        <v>0.997701276258319</v>
      </c>
    </row>
    <row r="32" spans="1:3">
      <c r="A32" s="4">
        <v>29</v>
      </c>
      <c r="B32" s="6">
        <f t="shared" si="0"/>
        <v>0.0794520547945206</v>
      </c>
      <c r="C32" s="6">
        <f>EXP(-r_free*B32)</f>
        <v>0.997619276783583</v>
      </c>
    </row>
    <row r="33" spans="1:3">
      <c r="A33" s="10">
        <v>30</v>
      </c>
      <c r="B33" s="12">
        <f t="shared" si="0"/>
        <v>0.0821917808219178</v>
      </c>
      <c r="C33" s="12">
        <f>EXP(-r_free*B33)</f>
        <v>0.997537284048252</v>
      </c>
    </row>
    <row r="34" spans="1:3">
      <c r="A34" s="4">
        <v>31</v>
      </c>
      <c r="B34" s="6">
        <f t="shared" si="0"/>
        <v>0.0849315068493151</v>
      </c>
      <c r="C34" s="6">
        <f>EXP(-r_free*B34)</f>
        <v>0.997455298051774</v>
      </c>
    </row>
    <row r="35" spans="1:3">
      <c r="A35" s="10">
        <v>32</v>
      </c>
      <c r="B35" s="12">
        <f t="shared" si="0"/>
        <v>0.0876712328767123</v>
      </c>
      <c r="C35" s="12">
        <f>EXP(-r_free*B35)</f>
        <v>0.997373318793593</v>
      </c>
    </row>
    <row r="36" spans="1:3">
      <c r="A36" s="4">
        <v>33</v>
      </c>
      <c r="B36" s="6">
        <f t="shared" si="0"/>
        <v>0.0904109589041096</v>
      </c>
      <c r="C36" s="6">
        <f>EXP(-r_free*B36)</f>
        <v>0.997291346273157</v>
      </c>
    </row>
    <row r="37" spans="1:3">
      <c r="A37" s="10">
        <v>34</v>
      </c>
      <c r="B37" s="12">
        <f t="shared" si="0"/>
        <v>0.0931506849315069</v>
      </c>
      <c r="C37" s="12">
        <f>EXP(-r_free*B37)</f>
        <v>0.997209380489912</v>
      </c>
    </row>
    <row r="38" spans="1:3">
      <c r="A38" s="4">
        <v>35</v>
      </c>
      <c r="B38" s="6">
        <f t="shared" si="0"/>
        <v>0.0958904109589041</v>
      </c>
      <c r="C38" s="6">
        <f>EXP(-r_free*B38)</f>
        <v>0.997127421443303</v>
      </c>
    </row>
    <row r="39" spans="1:3">
      <c r="A39" s="10">
        <v>36</v>
      </c>
      <c r="B39" s="12">
        <f t="shared" si="0"/>
        <v>0.0986301369863014</v>
      </c>
      <c r="C39" s="12">
        <f>EXP(-r_free*B39)</f>
        <v>0.997045469132778</v>
      </c>
    </row>
    <row r="40" spans="1:3">
      <c r="A40" s="4">
        <v>37</v>
      </c>
      <c r="B40" s="6">
        <f t="shared" si="0"/>
        <v>0.101369863013699</v>
      </c>
      <c r="C40" s="6">
        <f>EXP(-r_free*B40)</f>
        <v>0.996963523557782</v>
      </c>
    </row>
    <row r="41" spans="1:3">
      <c r="A41" s="10">
        <v>38</v>
      </c>
      <c r="B41" s="12">
        <f t="shared" si="0"/>
        <v>0.104109589041096</v>
      </c>
      <c r="C41" s="12">
        <f>EXP(-r_free*B41)</f>
        <v>0.996881584717762</v>
      </c>
    </row>
    <row r="42" spans="1:3">
      <c r="A42" s="4">
        <v>39</v>
      </c>
      <c r="B42" s="6">
        <f t="shared" si="0"/>
        <v>0.106849315068493</v>
      </c>
      <c r="C42" s="6">
        <f>EXP(-r_free*B42)</f>
        <v>0.996799652612164</v>
      </c>
    </row>
    <row r="43" spans="1:3">
      <c r="A43" s="10">
        <v>40</v>
      </c>
      <c r="B43" s="12">
        <f t="shared" si="0"/>
        <v>0.10958904109589</v>
      </c>
      <c r="C43" s="12">
        <f>EXP(-r_free*B43)</f>
        <v>0.996717727240435</v>
      </c>
    </row>
    <row r="44" spans="1:3">
      <c r="A44" s="4">
        <v>41</v>
      </c>
      <c r="B44" s="6">
        <f t="shared" si="0"/>
        <v>0.112328767123288</v>
      </c>
      <c r="C44" s="6">
        <f>EXP(-r_free*B44)</f>
        <v>0.996635808602022</v>
      </c>
    </row>
    <row r="45" spans="1:3">
      <c r="A45" s="10">
        <v>42</v>
      </c>
      <c r="B45" s="12">
        <f t="shared" si="0"/>
        <v>0.115068493150685</v>
      </c>
      <c r="C45" s="12">
        <f>EXP(-r_free*B45)</f>
        <v>0.996553896696371</v>
      </c>
    </row>
    <row r="46" spans="1:3">
      <c r="A46" s="4">
        <v>43</v>
      </c>
      <c r="B46" s="6">
        <f t="shared" si="0"/>
        <v>0.117808219178082</v>
      </c>
      <c r="C46" s="6">
        <f>EXP(-r_free*B46)</f>
        <v>0.996471991522929</v>
      </c>
    </row>
    <row r="47" spans="1:3">
      <c r="A47" s="10">
        <v>44</v>
      </c>
      <c r="B47" s="12">
        <f t="shared" si="0"/>
        <v>0.120547945205479</v>
      </c>
      <c r="C47" s="12">
        <f>EXP(-r_free*B47)</f>
        <v>0.996390093081142</v>
      </c>
    </row>
    <row r="48" spans="1:3">
      <c r="A48" s="4">
        <v>45</v>
      </c>
      <c r="B48" s="6">
        <f t="shared" si="0"/>
        <v>0.123287671232877</v>
      </c>
      <c r="C48" s="6">
        <f>EXP(-r_free*B48)</f>
        <v>0.996308201370457</v>
      </c>
    </row>
    <row r="49" spans="1:3">
      <c r="A49" s="10">
        <v>46</v>
      </c>
      <c r="B49" s="12">
        <f t="shared" si="0"/>
        <v>0.126027397260274</v>
      </c>
      <c r="C49" s="12">
        <f>EXP(-r_free*B49)</f>
        <v>0.996226316390321</v>
      </c>
    </row>
    <row r="50" spans="1:3">
      <c r="A50" s="4">
        <v>47</v>
      </c>
      <c r="B50" s="6">
        <f t="shared" si="0"/>
        <v>0.128767123287671</v>
      </c>
      <c r="C50" s="6">
        <f>EXP(-r_free*B50)</f>
        <v>0.996144438140181</v>
      </c>
    </row>
    <row r="51" spans="1:3">
      <c r="A51" s="10">
        <v>48</v>
      </c>
      <c r="B51" s="12">
        <f t="shared" si="0"/>
        <v>0.131506849315068</v>
      </c>
      <c r="C51" s="12">
        <f>EXP(-r_free*B51)</f>
        <v>0.996062566619484</v>
      </c>
    </row>
    <row r="52" spans="1:3">
      <c r="A52" s="4">
        <v>49</v>
      </c>
      <c r="B52" s="6">
        <f t="shared" si="0"/>
        <v>0.134246575342466</v>
      </c>
      <c r="C52" s="6">
        <f>EXP(-r_free*B52)</f>
        <v>0.995980701827676</v>
      </c>
    </row>
    <row r="53" spans="1:3">
      <c r="A53" s="10">
        <v>50</v>
      </c>
      <c r="B53" s="12">
        <f t="shared" si="0"/>
        <v>0.136986301369863</v>
      </c>
      <c r="C53" s="12">
        <f>EXP(-r_free*B53)</f>
        <v>0.995898843764204</v>
      </c>
    </row>
    <row r="54" spans="1:3">
      <c r="A54" s="4">
        <v>51</v>
      </c>
      <c r="B54" s="6">
        <f t="shared" si="0"/>
        <v>0.13972602739726</v>
      </c>
      <c r="C54" s="6">
        <f>EXP(-r_free*B54)</f>
        <v>0.995816992428517</v>
      </c>
    </row>
    <row r="55" spans="1:3">
      <c r="A55" s="10">
        <v>52</v>
      </c>
      <c r="B55" s="12">
        <f t="shared" si="0"/>
        <v>0.142465753424658</v>
      </c>
      <c r="C55" s="12">
        <f>EXP(-r_free*B55)</f>
        <v>0.995735147820059</v>
      </c>
    </row>
    <row r="56" spans="1:3">
      <c r="A56" s="4">
        <v>53</v>
      </c>
      <c r="B56" s="6">
        <f t="shared" si="0"/>
        <v>0.145205479452055</v>
      </c>
      <c r="C56" s="6">
        <f>EXP(-r_free*B56)</f>
        <v>0.99565330993828</v>
      </c>
    </row>
    <row r="57" spans="1:3">
      <c r="A57" s="10">
        <v>54</v>
      </c>
      <c r="B57" s="12">
        <f t="shared" si="0"/>
        <v>0.147945205479452</v>
      </c>
      <c r="C57" s="12">
        <f>EXP(-r_free*B57)</f>
        <v>0.995571478782625</v>
      </c>
    </row>
    <row r="58" spans="1:3">
      <c r="A58" s="4">
        <v>55</v>
      </c>
      <c r="B58" s="6">
        <f t="shared" si="0"/>
        <v>0.150684931506849</v>
      </c>
      <c r="C58" s="6">
        <f>EXP(-r_free*B58)</f>
        <v>0.995489654352542</v>
      </c>
    </row>
    <row r="59" spans="1:3">
      <c r="A59" s="10">
        <v>56</v>
      </c>
      <c r="B59" s="12">
        <f t="shared" si="0"/>
        <v>0.153424657534247</v>
      </c>
      <c r="C59" s="12">
        <f>EXP(-r_free*B59)</f>
        <v>0.995407836647478</v>
      </c>
    </row>
    <row r="60" spans="1:3">
      <c r="A60" s="4">
        <v>57</v>
      </c>
      <c r="B60" s="6">
        <f t="shared" si="0"/>
        <v>0.156164383561644</v>
      </c>
      <c r="C60" s="6">
        <f>EXP(-r_free*B60)</f>
        <v>0.995326025666881</v>
      </c>
    </row>
    <row r="61" spans="1:3">
      <c r="A61" s="10">
        <v>58</v>
      </c>
      <c r="B61" s="12">
        <f t="shared" si="0"/>
        <v>0.158904109589041</v>
      </c>
      <c r="C61" s="12">
        <f>EXP(-r_free*B61)</f>
        <v>0.995244221410198</v>
      </c>
    </row>
    <row r="62" spans="1:3">
      <c r="A62" s="4">
        <v>59</v>
      </c>
      <c r="B62" s="6">
        <f t="shared" si="0"/>
        <v>0.161643835616438</v>
      </c>
      <c r="C62" s="6">
        <f>EXP(-r_free*B62)</f>
        <v>0.995162423876876</v>
      </c>
    </row>
    <row r="63" spans="1:3">
      <c r="A63" s="10">
        <v>60</v>
      </c>
      <c r="B63" s="12">
        <f t="shared" si="0"/>
        <v>0.164383561643836</v>
      </c>
      <c r="C63" s="12">
        <f>EXP(-r_free*B63)</f>
        <v>0.995080633066363</v>
      </c>
    </row>
    <row r="64" spans="1:3">
      <c r="A64" s="4">
        <v>61</v>
      </c>
      <c r="B64" s="6">
        <f t="shared" si="0"/>
        <v>0.167123287671233</v>
      </c>
      <c r="C64" s="6">
        <f>EXP(-r_free*B64)</f>
        <v>0.994998848978106</v>
      </c>
    </row>
    <row r="65" spans="1:3">
      <c r="A65" s="10">
        <v>62</v>
      </c>
      <c r="B65" s="12">
        <f t="shared" si="0"/>
        <v>0.16986301369863</v>
      </c>
      <c r="C65" s="12">
        <f>EXP(-r_free*B65)</f>
        <v>0.994917071611553</v>
      </c>
    </row>
    <row r="66" spans="1:3">
      <c r="A66" s="4">
        <v>63</v>
      </c>
      <c r="B66" s="6">
        <f t="shared" si="0"/>
        <v>0.172602739726027</v>
      </c>
      <c r="C66" s="6">
        <f>EXP(-r_free*B66)</f>
        <v>0.99483530096615</v>
      </c>
    </row>
    <row r="67" spans="1:3">
      <c r="A67" s="10">
        <v>64</v>
      </c>
      <c r="B67" s="12">
        <f t="shared" ref="B67:B130" si="1">A67/365</f>
        <v>0.175342465753425</v>
      </c>
      <c r="C67" s="12">
        <f>EXP(-r_free*B67)</f>
        <v>0.994753537041347</v>
      </c>
    </row>
    <row r="68" spans="1:3">
      <c r="A68" s="4">
        <v>65</v>
      </c>
      <c r="B68" s="6">
        <f t="shared" si="1"/>
        <v>0.178082191780822</v>
      </c>
      <c r="C68" s="6">
        <f>EXP(-r_free*B68)</f>
        <v>0.994671779836589</v>
      </c>
    </row>
    <row r="69" spans="1:3">
      <c r="A69" s="10">
        <v>66</v>
      </c>
      <c r="B69" s="12">
        <f t="shared" si="1"/>
        <v>0.180821917808219</v>
      </c>
      <c r="C69" s="12">
        <f>EXP(-r_free*B69)</f>
        <v>0.994590029351326</v>
      </c>
    </row>
    <row r="70" spans="1:3">
      <c r="A70" s="4">
        <v>67</v>
      </c>
      <c r="B70" s="6">
        <f t="shared" si="1"/>
        <v>0.183561643835616</v>
      </c>
      <c r="C70" s="6">
        <f>EXP(-r_free*B70)</f>
        <v>0.994508285585005</v>
      </c>
    </row>
    <row r="71" spans="1:3">
      <c r="A71" s="10">
        <v>68</v>
      </c>
      <c r="B71" s="12">
        <f t="shared" si="1"/>
        <v>0.186301369863014</v>
      </c>
      <c r="C71" s="12">
        <f>EXP(-r_free*B71)</f>
        <v>0.994426548537073</v>
      </c>
    </row>
    <row r="72" spans="1:3">
      <c r="A72" s="4">
        <v>69</v>
      </c>
      <c r="B72" s="6">
        <f t="shared" si="1"/>
        <v>0.189041095890411</v>
      </c>
      <c r="C72" s="6">
        <f>EXP(-r_free*B72)</f>
        <v>0.994344818206979</v>
      </c>
    </row>
    <row r="73" spans="1:3">
      <c r="A73" s="10">
        <v>70</v>
      </c>
      <c r="B73" s="12">
        <f t="shared" si="1"/>
        <v>0.191780821917808</v>
      </c>
      <c r="C73" s="12">
        <f>EXP(-r_free*B73)</f>
        <v>0.99426309459417</v>
      </c>
    </row>
    <row r="74" spans="1:3">
      <c r="A74" s="4">
        <v>71</v>
      </c>
      <c r="B74" s="6">
        <f t="shared" si="1"/>
        <v>0.194520547945205</v>
      </c>
      <c r="C74" s="6">
        <f>EXP(-r_free*B74)</f>
        <v>0.994181377698095</v>
      </c>
    </row>
    <row r="75" spans="1:3">
      <c r="A75" s="10">
        <v>72</v>
      </c>
      <c r="B75" s="12">
        <f t="shared" si="1"/>
        <v>0.197260273972603</v>
      </c>
      <c r="C75" s="12">
        <f>EXP(-r_free*B75)</f>
        <v>0.9940996675182</v>
      </c>
    </row>
    <row r="76" spans="1:3">
      <c r="A76" s="4">
        <v>73</v>
      </c>
      <c r="B76" s="6">
        <f t="shared" si="1"/>
        <v>0.2</v>
      </c>
      <c r="C76" s="6">
        <f>EXP(-r_free*B76)</f>
        <v>0.994017964053935</v>
      </c>
    </row>
    <row r="77" spans="1:3">
      <c r="A77" s="10">
        <v>74</v>
      </c>
      <c r="B77" s="12">
        <f t="shared" si="1"/>
        <v>0.202739726027397</v>
      </c>
      <c r="C77" s="12">
        <f>EXP(-r_free*B77)</f>
        <v>0.993936267304747</v>
      </c>
    </row>
    <row r="78" spans="1:3">
      <c r="A78" s="4">
        <v>75</v>
      </c>
      <c r="B78" s="6">
        <f t="shared" si="1"/>
        <v>0.205479452054795</v>
      </c>
      <c r="C78" s="6">
        <f>EXP(-r_free*B78)</f>
        <v>0.993854577270085</v>
      </c>
    </row>
    <row r="79" spans="1:3">
      <c r="A79" s="10">
        <v>76</v>
      </c>
      <c r="B79" s="12">
        <f t="shared" si="1"/>
        <v>0.208219178082192</v>
      </c>
      <c r="C79" s="12">
        <f>EXP(-r_free*B79)</f>
        <v>0.993772893949396</v>
      </c>
    </row>
    <row r="80" spans="1:3">
      <c r="A80" s="4">
        <v>77</v>
      </c>
      <c r="B80" s="6">
        <f t="shared" si="1"/>
        <v>0.210958904109589</v>
      </c>
      <c r="C80" s="6">
        <f>EXP(-r_free*B80)</f>
        <v>0.993691217342128</v>
      </c>
    </row>
    <row r="81" spans="1:4">
      <c r="A81" s="10">
        <v>78</v>
      </c>
      <c r="B81" s="12">
        <f t="shared" si="1"/>
        <v>0.213698630136986</v>
      </c>
      <c r="C81" s="12">
        <f>EXP(-r_free*B81)</f>
        <v>0.993609547447731</v>
      </c>
    </row>
    <row r="82" spans="1:4">
      <c r="A82" s="4">
        <v>79</v>
      </c>
      <c r="B82" s="6">
        <f t="shared" si="1"/>
        <v>0.216438356164384</v>
      </c>
      <c r="C82" s="6">
        <f>EXP(-r_free*B82)</f>
        <v>0.993527884265652</v>
      </c>
    </row>
    <row r="83" spans="1:4">
      <c r="A83" s="10">
        <v>80</v>
      </c>
      <c r="B83" s="12">
        <f t="shared" si="1"/>
        <v>0.219178082191781</v>
      </c>
      <c r="C83" s="12">
        <f>EXP(-r_free*B83)</f>
        <v>0.993446227795339</v>
      </c>
    </row>
    <row r="84" spans="1:4">
      <c r="A84" s="4">
        <v>81</v>
      </c>
      <c r="B84" s="6">
        <f t="shared" si="1"/>
        <v>0.221917808219178</v>
      </c>
      <c r="C84" s="6">
        <f>EXP(-r_free*B84)</f>
        <v>0.993364578036241</v>
      </c>
    </row>
    <row r="85" spans="1:4">
      <c r="A85" s="10">
        <v>82</v>
      </c>
      <c r="B85" s="12">
        <f t="shared" si="1"/>
        <v>0.224657534246575</v>
      </c>
      <c r="C85" s="12">
        <f>EXP(-r_free*B85)</f>
        <v>0.993282934987807</v>
      </c>
    </row>
    <row r="86" spans="1:4">
      <c r="A86" s="4">
        <v>83</v>
      </c>
      <c r="B86" s="6">
        <f t="shared" si="1"/>
        <v>0.227397260273973</v>
      </c>
      <c r="C86" s="6">
        <f>EXP(-r_free*B86)</f>
        <v>0.993201298649484</v>
      </c>
    </row>
    <row r="87" spans="1:4">
      <c r="A87" s="10">
        <v>84</v>
      </c>
      <c r="B87" s="12">
        <f t="shared" si="1"/>
        <v>0.23013698630137</v>
      </c>
      <c r="C87" s="12">
        <f>EXP(-r_free*B87)</f>
        <v>0.993119669020722</v>
      </c>
    </row>
    <row r="88" spans="1:4">
      <c r="A88" s="4">
        <v>85</v>
      </c>
      <c r="B88" s="6">
        <f t="shared" si="1"/>
        <v>0.232876712328767</v>
      </c>
      <c r="C88" s="6">
        <f>EXP(-r_free*B88)</f>
        <v>0.993038046100968</v>
      </c>
    </row>
    <row r="89" spans="1:4">
      <c r="A89" s="10">
        <v>86</v>
      </c>
      <c r="B89" s="12">
        <f t="shared" si="1"/>
        <v>0.235616438356164</v>
      </c>
      <c r="C89" s="12">
        <f>EXP(-r_free*B89)</f>
        <v>0.992956429889672</v>
      </c>
    </row>
    <row r="90" spans="1:4">
      <c r="A90" s="4">
        <v>87</v>
      </c>
      <c r="B90" s="6">
        <f t="shared" si="1"/>
        <v>0.238356164383562</v>
      </c>
      <c r="C90" s="6">
        <f>EXP(-r_free*B90)</f>
        <v>0.992874820386282</v>
      </c>
    </row>
    <row r="91" spans="1:4">
      <c r="A91" s="10">
        <v>88</v>
      </c>
      <c r="B91" s="12">
        <f t="shared" si="1"/>
        <v>0.241095890410959</v>
      </c>
      <c r="C91" s="12">
        <f>EXP(-r_free*B91)</f>
        <v>0.992793217590247</v>
      </c>
    </row>
    <row r="92" spans="1:4">
      <c r="A92" s="4">
        <v>89</v>
      </c>
      <c r="B92" s="6">
        <f t="shared" si="1"/>
        <v>0.243835616438356</v>
      </c>
      <c r="C92" s="6">
        <f>EXP(-r_free*B92)</f>
        <v>0.992711621501015</v>
      </c>
    </row>
    <row r="93" spans="1:4">
      <c r="A93" s="10">
        <v>90</v>
      </c>
      <c r="B93" s="12">
        <f t="shared" si="1"/>
        <v>0.246575342465753</v>
      </c>
      <c r="C93" s="12">
        <f>EXP(-r_free*B93)</f>
        <v>0.992630032118035</v>
      </c>
    </row>
    <row r="94" spans="1:4">
      <c r="A94" s="4">
        <v>91</v>
      </c>
      <c r="B94" s="6">
        <f t="shared" si="1"/>
        <v>0.249315068493151</v>
      </c>
      <c r="C94" s="6">
        <f>EXP(-r_free*B94)</f>
        <v>0.992548449440757</v>
      </c>
      <c r="D94" s="43" t="s">
        <v>35</v>
      </c>
    </row>
    <row r="95" spans="1:4">
      <c r="A95" s="10">
        <v>92</v>
      </c>
      <c r="B95" s="12">
        <f t="shared" si="1"/>
        <v>0.252054794520548</v>
      </c>
      <c r="C95" s="12">
        <f>EXP(-r_free*B95)</f>
        <v>0.992466873468628</v>
      </c>
    </row>
    <row r="96" spans="1:4">
      <c r="A96" s="4">
        <v>93</v>
      </c>
      <c r="B96" s="6">
        <f t="shared" si="1"/>
        <v>0.254794520547945</v>
      </c>
      <c r="C96" s="6">
        <f>EXP(-r_free*B96)</f>
        <v>0.992385304201099</v>
      </c>
    </row>
    <row r="97" spans="1:3">
      <c r="A97" s="10">
        <v>94</v>
      </c>
      <c r="B97" s="12">
        <f t="shared" si="1"/>
        <v>0.257534246575342</v>
      </c>
      <c r="C97" s="12">
        <f>EXP(-r_free*B97)</f>
        <v>0.992303741637617</v>
      </c>
    </row>
    <row r="98" spans="1:3">
      <c r="A98" s="4">
        <v>95</v>
      </c>
      <c r="B98" s="6">
        <f t="shared" si="1"/>
        <v>0.26027397260274</v>
      </c>
      <c r="C98" s="6">
        <f>EXP(-r_free*B98)</f>
        <v>0.992222185777632</v>
      </c>
    </row>
    <row r="99" spans="1:3">
      <c r="A99" s="10">
        <v>96</v>
      </c>
      <c r="B99" s="12">
        <f t="shared" si="1"/>
        <v>0.263013698630137</v>
      </c>
      <c r="C99" s="12">
        <f>EXP(-r_free*B99)</f>
        <v>0.992140636620593</v>
      </c>
    </row>
    <row r="100" spans="1:3">
      <c r="A100" s="4">
        <v>97</v>
      </c>
      <c r="B100" s="6">
        <f t="shared" si="1"/>
        <v>0.265753424657534</v>
      </c>
      <c r="C100" s="6">
        <f>EXP(-r_free*B100)</f>
        <v>0.992059094165949</v>
      </c>
    </row>
    <row r="101" spans="1:3">
      <c r="A101" s="10">
        <v>98</v>
      </c>
      <c r="B101" s="12">
        <f t="shared" si="1"/>
        <v>0.268493150684932</v>
      </c>
      <c r="C101" s="12">
        <f>EXP(-r_free*B101)</f>
        <v>0.99197755841315</v>
      </c>
    </row>
    <row r="102" spans="1:3">
      <c r="A102" s="4">
        <v>99</v>
      </c>
      <c r="B102" s="6">
        <f t="shared" si="1"/>
        <v>0.271232876712329</v>
      </c>
      <c r="C102" s="6">
        <f>EXP(-r_free*B102)</f>
        <v>0.991896029361643</v>
      </c>
    </row>
    <row r="103" spans="1:3">
      <c r="A103" s="10">
        <v>100</v>
      </c>
      <c r="B103" s="12">
        <f t="shared" si="1"/>
        <v>0.273972602739726</v>
      </c>
      <c r="C103" s="12">
        <f>EXP(-r_free*B103)</f>
        <v>0.991814507010879</v>
      </c>
    </row>
    <row r="104" spans="1:3">
      <c r="A104" s="4">
        <v>101</v>
      </c>
      <c r="B104" s="6">
        <f t="shared" si="1"/>
        <v>0.276712328767123</v>
      </c>
      <c r="C104" s="6">
        <f>EXP(-r_free*B104)</f>
        <v>0.991732991360307</v>
      </c>
    </row>
    <row r="105" spans="1:3">
      <c r="A105" s="10">
        <v>102</v>
      </c>
      <c r="B105" s="12">
        <f t="shared" si="1"/>
        <v>0.279452054794521</v>
      </c>
      <c r="C105" s="12">
        <f>EXP(-r_free*B105)</f>
        <v>0.991651482409376</v>
      </c>
    </row>
    <row r="106" spans="1:3">
      <c r="A106" s="4">
        <v>103</v>
      </c>
      <c r="B106" s="6">
        <f t="shared" si="1"/>
        <v>0.282191780821918</v>
      </c>
      <c r="C106" s="6">
        <f>EXP(-r_free*B106)</f>
        <v>0.991569980157536</v>
      </c>
    </row>
    <row r="107" spans="1:3">
      <c r="A107" s="10">
        <v>104</v>
      </c>
      <c r="B107" s="12">
        <f t="shared" si="1"/>
        <v>0.284931506849315</v>
      </c>
      <c r="C107" s="12">
        <f>EXP(-r_free*B107)</f>
        <v>0.991488484604235</v>
      </c>
    </row>
    <row r="108" spans="1:3">
      <c r="A108" s="4">
        <v>105</v>
      </c>
      <c r="B108" s="6">
        <f t="shared" si="1"/>
        <v>0.287671232876712</v>
      </c>
      <c r="C108" s="6">
        <f>EXP(-r_free*B108)</f>
        <v>0.991406995748924</v>
      </c>
    </row>
    <row r="109" spans="1:3">
      <c r="A109" s="10">
        <v>106</v>
      </c>
      <c r="B109" s="12">
        <f t="shared" si="1"/>
        <v>0.29041095890411</v>
      </c>
      <c r="C109" s="12">
        <f>EXP(-r_free*B109)</f>
        <v>0.991325513591052</v>
      </c>
    </row>
    <row r="110" spans="1:3">
      <c r="A110" s="4">
        <v>107</v>
      </c>
      <c r="B110" s="6">
        <f t="shared" si="1"/>
        <v>0.293150684931507</v>
      </c>
      <c r="C110" s="6">
        <f>EXP(-r_free*B110)</f>
        <v>0.991244038130068</v>
      </c>
    </row>
    <row r="111" spans="1:3">
      <c r="A111" s="10">
        <v>108</v>
      </c>
      <c r="B111" s="12">
        <f t="shared" si="1"/>
        <v>0.295890410958904</v>
      </c>
      <c r="C111" s="12">
        <f>EXP(-r_free*B111)</f>
        <v>0.991162569365422</v>
      </c>
    </row>
    <row r="112" spans="1:3">
      <c r="A112" s="4">
        <v>109</v>
      </c>
      <c r="B112" s="6">
        <f t="shared" si="1"/>
        <v>0.298630136986301</v>
      </c>
      <c r="C112" s="6">
        <f>EXP(-r_free*B112)</f>
        <v>0.991081107296564</v>
      </c>
    </row>
    <row r="113" spans="1:3">
      <c r="A113" s="10">
        <v>110</v>
      </c>
      <c r="B113" s="12">
        <f t="shared" si="1"/>
        <v>0.301369863013699</v>
      </c>
      <c r="C113" s="12">
        <f>EXP(-r_free*B113)</f>
        <v>0.990999651922944</v>
      </c>
    </row>
    <row r="114" spans="1:3">
      <c r="A114" s="4">
        <v>111</v>
      </c>
      <c r="B114" s="6">
        <f t="shared" si="1"/>
        <v>0.304109589041096</v>
      </c>
      <c r="C114" s="6">
        <f>EXP(-r_free*B114)</f>
        <v>0.99091820324401</v>
      </c>
    </row>
    <row r="115" spans="1:3">
      <c r="A115" s="10">
        <v>112</v>
      </c>
      <c r="B115" s="12">
        <f t="shared" si="1"/>
        <v>0.306849315068493</v>
      </c>
      <c r="C115" s="12">
        <f>EXP(-r_free*B115)</f>
        <v>0.990836761259213</v>
      </c>
    </row>
    <row r="116" spans="1:3">
      <c r="A116" s="4">
        <v>113</v>
      </c>
      <c r="B116" s="6">
        <f t="shared" si="1"/>
        <v>0.30958904109589</v>
      </c>
      <c r="C116" s="6">
        <f>EXP(-r_free*B116)</f>
        <v>0.990755325968003</v>
      </c>
    </row>
    <row r="117" spans="1:3">
      <c r="A117" s="10">
        <v>114</v>
      </c>
      <c r="B117" s="12">
        <f t="shared" si="1"/>
        <v>0.312328767123288</v>
      </c>
      <c r="C117" s="12">
        <f>EXP(-r_free*B117)</f>
        <v>0.99067389736983</v>
      </c>
    </row>
    <row r="118" spans="1:3">
      <c r="A118" s="4">
        <v>115</v>
      </c>
      <c r="B118" s="6">
        <f t="shared" si="1"/>
        <v>0.315068493150685</v>
      </c>
      <c r="C118" s="6">
        <f>EXP(-r_free*B118)</f>
        <v>0.990592475464143</v>
      </c>
    </row>
    <row r="119" spans="1:3">
      <c r="A119" s="10">
        <v>116</v>
      </c>
      <c r="B119" s="12">
        <f t="shared" si="1"/>
        <v>0.317808219178082</v>
      </c>
      <c r="C119" s="12">
        <f>EXP(-r_free*B119)</f>
        <v>0.990511060250392</v>
      </c>
    </row>
    <row r="120" spans="1:3">
      <c r="A120" s="4">
        <v>117</v>
      </c>
      <c r="B120" s="6">
        <f t="shared" si="1"/>
        <v>0.320547945205479</v>
      </c>
      <c r="C120" s="6">
        <f>EXP(-r_free*B120)</f>
        <v>0.990429651728028</v>
      </c>
    </row>
    <row r="121" spans="1:3">
      <c r="A121" s="10">
        <v>118</v>
      </c>
      <c r="B121" s="12">
        <f t="shared" si="1"/>
        <v>0.323287671232877</v>
      </c>
      <c r="C121" s="12">
        <f>EXP(-r_free*B121)</f>
        <v>0.9903482498965</v>
      </c>
    </row>
    <row r="122" spans="1:3">
      <c r="A122" s="4">
        <v>119</v>
      </c>
      <c r="B122" s="6">
        <f t="shared" si="1"/>
        <v>0.326027397260274</v>
      </c>
      <c r="C122" s="6">
        <f>EXP(-r_free*B122)</f>
        <v>0.990266854755259</v>
      </c>
    </row>
    <row r="123" spans="1:3">
      <c r="A123" s="10">
        <v>120</v>
      </c>
      <c r="B123" s="12">
        <f t="shared" si="1"/>
        <v>0.328767123287671</v>
      </c>
      <c r="C123" s="12">
        <f>EXP(-r_free*B123)</f>
        <v>0.990185466303754</v>
      </c>
    </row>
    <row r="124" spans="1:3">
      <c r="A124" s="4">
        <v>121</v>
      </c>
      <c r="B124" s="6">
        <f t="shared" si="1"/>
        <v>0.331506849315069</v>
      </c>
      <c r="C124" s="6">
        <f>EXP(-r_free*B124)</f>
        <v>0.990104084541436</v>
      </c>
    </row>
    <row r="125" spans="1:3">
      <c r="A125" s="10">
        <v>122</v>
      </c>
      <c r="B125" s="12">
        <f t="shared" si="1"/>
        <v>0.334246575342466</v>
      </c>
      <c r="C125" s="12">
        <f>EXP(-r_free*B125)</f>
        <v>0.990022709467756</v>
      </c>
    </row>
    <row r="126" spans="1:3">
      <c r="A126" s="4">
        <v>123</v>
      </c>
      <c r="B126" s="6">
        <f t="shared" si="1"/>
        <v>0.336986301369863</v>
      </c>
      <c r="C126" s="6">
        <f>EXP(-r_free*B126)</f>
        <v>0.989941341082163</v>
      </c>
    </row>
    <row r="127" spans="1:3">
      <c r="A127" s="10">
        <v>124</v>
      </c>
      <c r="B127" s="12">
        <f t="shared" si="1"/>
        <v>0.33972602739726</v>
      </c>
      <c r="C127" s="12">
        <f>EXP(-r_free*B127)</f>
        <v>0.989859979384107</v>
      </c>
    </row>
    <row r="128" spans="1:3">
      <c r="A128" s="4">
        <v>125</v>
      </c>
      <c r="B128" s="6">
        <f t="shared" si="1"/>
        <v>0.342465753424658</v>
      </c>
      <c r="C128" s="6">
        <f>EXP(-r_free*B128)</f>
        <v>0.98977862437304</v>
      </c>
    </row>
    <row r="129" spans="1:3">
      <c r="A129" s="10">
        <v>126</v>
      </c>
      <c r="B129" s="12">
        <f t="shared" si="1"/>
        <v>0.345205479452055</v>
      </c>
      <c r="C129" s="12">
        <f>EXP(-r_free*B129)</f>
        <v>0.989697276048411</v>
      </c>
    </row>
    <row r="130" spans="1:3">
      <c r="A130" s="4">
        <v>127</v>
      </c>
      <c r="B130" s="6">
        <f t="shared" si="1"/>
        <v>0.347945205479452</v>
      </c>
      <c r="C130" s="6">
        <f>EXP(-r_free*B130)</f>
        <v>0.98961593440967</v>
      </c>
    </row>
    <row r="131" spans="1:3">
      <c r="A131" s="10">
        <v>128</v>
      </c>
      <c r="B131" s="12">
        <f t="shared" ref="B131:B194" si="2">A131/365</f>
        <v>0.350684931506849</v>
      </c>
      <c r="C131" s="12">
        <f>EXP(-r_free*B131)</f>
        <v>0.98953459945627</v>
      </c>
    </row>
    <row r="132" spans="1:3">
      <c r="A132" s="4">
        <v>129</v>
      </c>
      <c r="B132" s="6">
        <f t="shared" si="2"/>
        <v>0.353424657534247</v>
      </c>
      <c r="C132" s="6">
        <f>EXP(-r_free*B132)</f>
        <v>0.989453271187659</v>
      </c>
    </row>
    <row r="133" spans="1:3">
      <c r="A133" s="10">
        <v>130</v>
      </c>
      <c r="B133" s="12">
        <f t="shared" si="2"/>
        <v>0.356164383561644</v>
      </c>
      <c r="C133" s="12">
        <f>EXP(-r_free*B133)</f>
        <v>0.989371949603288</v>
      </c>
    </row>
    <row r="134" spans="1:3">
      <c r="A134" s="4">
        <v>131</v>
      </c>
      <c r="B134" s="6">
        <f t="shared" si="2"/>
        <v>0.358904109589041</v>
      </c>
      <c r="C134" s="6">
        <f>EXP(-r_free*B134)</f>
        <v>0.989290634702609</v>
      </c>
    </row>
    <row r="135" spans="1:3">
      <c r="A135" s="10">
        <v>132</v>
      </c>
      <c r="B135" s="12">
        <f t="shared" si="2"/>
        <v>0.361643835616438</v>
      </c>
      <c r="C135" s="12">
        <f>EXP(-r_free*B135)</f>
        <v>0.989209326485072</v>
      </c>
    </row>
    <row r="136" spans="1:3">
      <c r="A136" s="4">
        <v>133</v>
      </c>
      <c r="B136" s="6">
        <f t="shared" si="2"/>
        <v>0.364383561643836</v>
      </c>
      <c r="C136" s="6">
        <f>EXP(-r_free*B136)</f>
        <v>0.989128024950127</v>
      </c>
    </row>
    <row r="137" spans="1:3">
      <c r="A137" s="10">
        <v>134</v>
      </c>
      <c r="B137" s="12">
        <f t="shared" si="2"/>
        <v>0.367123287671233</v>
      </c>
      <c r="C137" s="12">
        <f>EXP(-r_free*B137)</f>
        <v>0.989046730097226</v>
      </c>
    </row>
    <row r="138" spans="1:3">
      <c r="A138" s="4">
        <v>135</v>
      </c>
      <c r="B138" s="6">
        <f t="shared" si="2"/>
        <v>0.36986301369863</v>
      </c>
      <c r="C138" s="6">
        <f>EXP(-r_free*B138)</f>
        <v>0.988965441925819</v>
      </c>
    </row>
    <row r="139" spans="1:3">
      <c r="A139" s="10">
        <v>136</v>
      </c>
      <c r="B139" s="12">
        <f t="shared" si="2"/>
        <v>0.372602739726027</v>
      </c>
      <c r="C139" s="12">
        <f>EXP(-r_free*B139)</f>
        <v>0.988884160435356</v>
      </c>
    </row>
    <row r="140" spans="1:3">
      <c r="A140" s="4">
        <v>137</v>
      </c>
      <c r="B140" s="6">
        <f t="shared" si="2"/>
        <v>0.375342465753425</v>
      </c>
      <c r="C140" s="6">
        <f>EXP(-r_free*B140)</f>
        <v>0.98880288562529</v>
      </c>
    </row>
    <row r="141" spans="1:3">
      <c r="A141" s="10">
        <v>138</v>
      </c>
      <c r="B141" s="12">
        <f t="shared" si="2"/>
        <v>0.378082191780822</v>
      </c>
      <c r="C141" s="12">
        <f>EXP(-r_free*B141)</f>
        <v>0.988721617495071</v>
      </c>
    </row>
    <row r="142" spans="1:3">
      <c r="A142" s="4">
        <v>139</v>
      </c>
      <c r="B142" s="6">
        <f t="shared" si="2"/>
        <v>0.380821917808219</v>
      </c>
      <c r="C142" s="6">
        <f>EXP(-r_free*B142)</f>
        <v>0.988640356044149</v>
      </c>
    </row>
    <row r="143" spans="1:3">
      <c r="A143" s="10">
        <v>140</v>
      </c>
      <c r="B143" s="12">
        <f t="shared" si="2"/>
        <v>0.383561643835616</v>
      </c>
      <c r="C143" s="12">
        <f>EXP(-r_free*B143)</f>
        <v>0.988559101271976</v>
      </c>
    </row>
    <row r="144" spans="1:3">
      <c r="A144" s="4">
        <v>141</v>
      </c>
      <c r="B144" s="6">
        <f t="shared" si="2"/>
        <v>0.386301369863014</v>
      </c>
      <c r="C144" s="6">
        <f>EXP(-r_free*B144)</f>
        <v>0.988477853178004</v>
      </c>
    </row>
    <row r="145" spans="1:3">
      <c r="A145" s="10">
        <v>142</v>
      </c>
      <c r="B145" s="12">
        <f t="shared" si="2"/>
        <v>0.389041095890411</v>
      </c>
      <c r="C145" s="12">
        <f>EXP(-r_free*B145)</f>
        <v>0.988396611761682</v>
      </c>
    </row>
    <row r="146" spans="1:3">
      <c r="A146" s="4">
        <v>143</v>
      </c>
      <c r="B146" s="6">
        <f t="shared" si="2"/>
        <v>0.391780821917808</v>
      </c>
      <c r="C146" s="6">
        <f>EXP(-r_free*B146)</f>
        <v>0.988315377022463</v>
      </c>
    </row>
    <row r="147" spans="1:3">
      <c r="A147" s="10">
        <v>144</v>
      </c>
      <c r="B147" s="12">
        <f t="shared" si="2"/>
        <v>0.394520547945205</v>
      </c>
      <c r="C147" s="12">
        <f>EXP(-r_free*B147)</f>
        <v>0.988234148959797</v>
      </c>
    </row>
    <row r="148" spans="1:3">
      <c r="A148" s="4">
        <v>145</v>
      </c>
      <c r="B148" s="6">
        <f t="shared" si="2"/>
        <v>0.397260273972603</v>
      </c>
      <c r="C148" s="6">
        <f>EXP(-r_free*B148)</f>
        <v>0.988152927573136</v>
      </c>
    </row>
    <row r="149" spans="1:3">
      <c r="A149" s="10">
        <v>146</v>
      </c>
      <c r="B149" s="12">
        <f t="shared" si="2"/>
        <v>0.4</v>
      </c>
      <c r="C149" s="12">
        <f>EXP(-r_free*B149)</f>
        <v>0.988071712861931</v>
      </c>
    </row>
    <row r="150" spans="1:3">
      <c r="A150" s="4">
        <v>147</v>
      </c>
      <c r="B150" s="6">
        <f t="shared" si="2"/>
        <v>0.402739726027397</v>
      </c>
      <c r="C150" s="6">
        <f>EXP(-r_free*B150)</f>
        <v>0.987990504825633</v>
      </c>
    </row>
    <row r="151" spans="1:3">
      <c r="A151" s="10">
        <v>148</v>
      </c>
      <c r="B151" s="12">
        <f t="shared" si="2"/>
        <v>0.405479452054795</v>
      </c>
      <c r="C151" s="12">
        <f>EXP(-r_free*B151)</f>
        <v>0.987909303463694</v>
      </c>
    </row>
    <row r="152" spans="1:3">
      <c r="A152" s="4">
        <v>149</v>
      </c>
      <c r="B152" s="6">
        <f t="shared" si="2"/>
        <v>0.408219178082192</v>
      </c>
      <c r="C152" s="6">
        <f>EXP(-r_free*B152)</f>
        <v>0.987828108775566</v>
      </c>
    </row>
    <row r="153" spans="1:3">
      <c r="A153" s="10">
        <v>150</v>
      </c>
      <c r="B153" s="12">
        <f t="shared" si="2"/>
        <v>0.410958904109589</v>
      </c>
      <c r="C153" s="12">
        <f>EXP(-r_free*B153)</f>
        <v>0.987746920760699</v>
      </c>
    </row>
    <row r="154" spans="1:3">
      <c r="A154" s="4">
        <v>151</v>
      </c>
      <c r="B154" s="6">
        <f t="shared" si="2"/>
        <v>0.413698630136986</v>
      </c>
      <c r="C154" s="6">
        <f>EXP(-r_free*B154)</f>
        <v>0.987665739418545</v>
      </c>
    </row>
    <row r="155" spans="1:3">
      <c r="A155" s="10">
        <v>152</v>
      </c>
      <c r="B155" s="12">
        <f t="shared" si="2"/>
        <v>0.416438356164384</v>
      </c>
      <c r="C155" s="12">
        <f>EXP(-r_free*B155)</f>
        <v>0.987584564748557</v>
      </c>
    </row>
    <row r="156" spans="1:3">
      <c r="A156" s="4">
        <v>153</v>
      </c>
      <c r="B156" s="6">
        <f t="shared" si="2"/>
        <v>0.419178082191781</v>
      </c>
      <c r="C156" s="6">
        <f>EXP(-r_free*B156)</f>
        <v>0.987503396750185</v>
      </c>
    </row>
    <row r="157" spans="1:3">
      <c r="A157" s="10">
        <v>154</v>
      </c>
      <c r="B157" s="12">
        <f t="shared" si="2"/>
        <v>0.421917808219178</v>
      </c>
      <c r="C157" s="12">
        <f>EXP(-r_free*B157)</f>
        <v>0.987422235422881</v>
      </c>
    </row>
    <row r="158" spans="1:3">
      <c r="A158" s="4">
        <v>155</v>
      </c>
      <c r="B158" s="6">
        <f t="shared" si="2"/>
        <v>0.424657534246575</v>
      </c>
      <c r="C158" s="6">
        <f>EXP(-r_free*B158)</f>
        <v>0.987341080766097</v>
      </c>
    </row>
    <row r="159" spans="1:3">
      <c r="A159" s="10">
        <v>156</v>
      </c>
      <c r="B159" s="12">
        <f t="shared" si="2"/>
        <v>0.427397260273973</v>
      </c>
      <c r="C159" s="12">
        <f>EXP(-r_free*B159)</f>
        <v>0.987259932779285</v>
      </c>
    </row>
    <row r="160" spans="1:3">
      <c r="A160" s="4">
        <v>157</v>
      </c>
      <c r="B160" s="6">
        <f t="shared" si="2"/>
        <v>0.43013698630137</v>
      </c>
      <c r="C160" s="6">
        <f>EXP(-r_free*B160)</f>
        <v>0.987178791461896</v>
      </c>
    </row>
    <row r="161" spans="1:3">
      <c r="A161" s="10">
        <v>158</v>
      </c>
      <c r="B161" s="12">
        <f t="shared" si="2"/>
        <v>0.432876712328767</v>
      </c>
      <c r="C161" s="12">
        <f>EXP(-r_free*B161)</f>
        <v>0.987097656813382</v>
      </c>
    </row>
    <row r="162" spans="1:3">
      <c r="A162" s="4">
        <v>159</v>
      </c>
      <c r="B162" s="6">
        <f t="shared" si="2"/>
        <v>0.435616438356164</v>
      </c>
      <c r="C162" s="6">
        <f>EXP(-r_free*B162)</f>
        <v>0.987016528833196</v>
      </c>
    </row>
    <row r="163" spans="1:3">
      <c r="A163" s="10">
        <v>160</v>
      </c>
      <c r="B163" s="12">
        <f t="shared" si="2"/>
        <v>0.438356164383562</v>
      </c>
      <c r="C163" s="12">
        <f>EXP(-r_free*B163)</f>
        <v>0.986935407520788</v>
      </c>
    </row>
    <row r="164" spans="1:3">
      <c r="A164" s="4">
        <v>161</v>
      </c>
      <c r="B164" s="6">
        <f t="shared" si="2"/>
        <v>0.441095890410959</v>
      </c>
      <c r="C164" s="6">
        <f>EXP(-r_free*B164)</f>
        <v>0.986854292875612</v>
      </c>
    </row>
    <row r="165" spans="1:3">
      <c r="A165" s="10">
        <v>162</v>
      </c>
      <c r="B165" s="12">
        <f t="shared" si="2"/>
        <v>0.443835616438356</v>
      </c>
      <c r="C165" s="12">
        <f>EXP(-r_free*B165)</f>
        <v>0.986773184897119</v>
      </c>
    </row>
    <row r="166" spans="1:3">
      <c r="A166" s="4">
        <v>163</v>
      </c>
      <c r="B166" s="6">
        <f t="shared" si="2"/>
        <v>0.446575342465753</v>
      </c>
      <c r="C166" s="6">
        <f>EXP(-r_free*B166)</f>
        <v>0.986692083584762</v>
      </c>
    </row>
    <row r="167" spans="1:3">
      <c r="A167" s="10">
        <v>164</v>
      </c>
      <c r="B167" s="12">
        <f t="shared" si="2"/>
        <v>0.449315068493151</v>
      </c>
      <c r="C167" s="12">
        <f>EXP(-r_free*B167)</f>
        <v>0.986610988937991</v>
      </c>
    </row>
    <row r="168" spans="1:3">
      <c r="A168" s="4">
        <v>165</v>
      </c>
      <c r="B168" s="6">
        <f t="shared" si="2"/>
        <v>0.452054794520548</v>
      </c>
      <c r="C168" s="6">
        <f>EXP(-r_free*B168)</f>
        <v>0.986529900956261</v>
      </c>
    </row>
    <row r="169" spans="1:3">
      <c r="A169" s="10">
        <v>166</v>
      </c>
      <c r="B169" s="12">
        <f t="shared" si="2"/>
        <v>0.454794520547945</v>
      </c>
      <c r="C169" s="12">
        <f>EXP(-r_free*B169)</f>
        <v>0.986448819639021</v>
      </c>
    </row>
    <row r="170" spans="1:3">
      <c r="A170" s="4">
        <v>167</v>
      </c>
      <c r="B170" s="6">
        <f t="shared" si="2"/>
        <v>0.457534246575342</v>
      </c>
      <c r="C170" s="6">
        <f>EXP(-r_free*B170)</f>
        <v>0.986367744985726</v>
      </c>
    </row>
    <row r="171" spans="1:3">
      <c r="A171" s="10">
        <v>168</v>
      </c>
      <c r="B171" s="12">
        <f t="shared" si="2"/>
        <v>0.46027397260274</v>
      </c>
      <c r="C171" s="12">
        <f>EXP(-r_free*B171)</f>
        <v>0.986286676995828</v>
      </c>
    </row>
    <row r="172" spans="1:3">
      <c r="A172" s="4">
        <v>169</v>
      </c>
      <c r="B172" s="6">
        <f t="shared" si="2"/>
        <v>0.463013698630137</v>
      </c>
      <c r="C172" s="6">
        <f>EXP(-r_free*B172)</f>
        <v>0.986205615668777</v>
      </c>
    </row>
    <row r="173" spans="1:3">
      <c r="A173" s="10">
        <v>170</v>
      </c>
      <c r="B173" s="12">
        <f t="shared" si="2"/>
        <v>0.465753424657534</v>
      </c>
      <c r="C173" s="12">
        <f>EXP(-r_free*B173)</f>
        <v>0.986124561004028</v>
      </c>
    </row>
    <row r="174" spans="1:3">
      <c r="A174" s="4">
        <v>171</v>
      </c>
      <c r="B174" s="6">
        <f t="shared" si="2"/>
        <v>0.468493150684932</v>
      </c>
      <c r="C174" s="6">
        <f>EXP(-r_free*B174)</f>
        <v>0.986043513001033</v>
      </c>
    </row>
    <row r="175" spans="1:3">
      <c r="A175" s="10">
        <v>172</v>
      </c>
      <c r="B175" s="12">
        <f t="shared" si="2"/>
        <v>0.471232876712329</v>
      </c>
      <c r="C175" s="12">
        <f>EXP(-r_free*B175)</f>
        <v>0.985962471659243</v>
      </c>
    </row>
    <row r="176" spans="1:3">
      <c r="A176" s="4">
        <v>173</v>
      </c>
      <c r="B176" s="6">
        <f t="shared" si="2"/>
        <v>0.473972602739726</v>
      </c>
      <c r="C176" s="6">
        <f>EXP(-r_free*B176)</f>
        <v>0.985881436978112</v>
      </c>
    </row>
    <row r="177" spans="1:4">
      <c r="A177" s="10">
        <v>174</v>
      </c>
      <c r="B177" s="12">
        <f t="shared" si="2"/>
        <v>0.476712328767123</v>
      </c>
      <c r="C177" s="12">
        <f>EXP(-r_free*B177)</f>
        <v>0.985800408957091</v>
      </c>
    </row>
    <row r="178" spans="1:4">
      <c r="A178" s="4">
        <v>175</v>
      </c>
      <c r="B178" s="6">
        <f t="shared" si="2"/>
        <v>0.479452054794521</v>
      </c>
      <c r="C178" s="6">
        <f>EXP(-r_free*B178)</f>
        <v>0.985719387595635</v>
      </c>
    </row>
    <row r="179" spans="1:4">
      <c r="A179" s="10">
        <v>176</v>
      </c>
      <c r="B179" s="12">
        <f t="shared" si="2"/>
        <v>0.482191780821918</v>
      </c>
      <c r="C179" s="12">
        <f>EXP(-r_free*B179)</f>
        <v>0.985638372893195</v>
      </c>
    </row>
    <row r="180" spans="1:4">
      <c r="A180" s="4">
        <v>177</v>
      </c>
      <c r="B180" s="6">
        <f t="shared" si="2"/>
        <v>0.484931506849315</v>
      </c>
      <c r="C180" s="6">
        <f>EXP(-r_free*B180)</f>
        <v>0.985557364849223</v>
      </c>
    </row>
    <row r="181" spans="1:4">
      <c r="A181" s="10">
        <v>178</v>
      </c>
      <c r="B181" s="12">
        <f t="shared" si="2"/>
        <v>0.487671232876712</v>
      </c>
      <c r="C181" s="12">
        <f>EXP(-r_free*B181)</f>
        <v>0.985476363463174</v>
      </c>
    </row>
    <row r="182" spans="1:4">
      <c r="A182" s="4">
        <v>179</v>
      </c>
      <c r="B182" s="6">
        <f t="shared" si="2"/>
        <v>0.49041095890411</v>
      </c>
      <c r="C182" s="6">
        <f>EXP(-r_free*B182)</f>
        <v>0.985395368734499</v>
      </c>
    </row>
    <row r="183" spans="1:4">
      <c r="A183" s="10">
        <v>180</v>
      </c>
      <c r="B183" s="12">
        <f t="shared" si="2"/>
        <v>0.493150684931507</v>
      </c>
      <c r="C183" s="12">
        <f>EXP(-r_free*B183)</f>
        <v>0.985314380662652</v>
      </c>
    </row>
    <row r="184" spans="1:4">
      <c r="A184" s="4">
        <v>181</v>
      </c>
      <c r="B184" s="6">
        <f t="shared" si="2"/>
        <v>0.495890410958904</v>
      </c>
      <c r="C184" s="6">
        <f>EXP(-r_free*B184)</f>
        <v>0.985233399247085</v>
      </c>
    </row>
    <row r="185" spans="1:4">
      <c r="A185" s="10">
        <v>182</v>
      </c>
      <c r="B185" s="12">
        <f t="shared" si="2"/>
        <v>0.498630136986301</v>
      </c>
      <c r="C185" s="12">
        <f>EXP(-r_free*B185)</f>
        <v>0.985152424487251</v>
      </c>
      <c r="D185" s="43" t="s">
        <v>36</v>
      </c>
    </row>
    <row r="186" spans="1:4">
      <c r="A186" s="4">
        <v>183</v>
      </c>
      <c r="B186" s="6">
        <f t="shared" si="2"/>
        <v>0.501369863013699</v>
      </c>
      <c r="C186" s="6">
        <f>EXP(-r_free*B186)</f>
        <v>0.985071456382603</v>
      </c>
    </row>
    <row r="187" spans="1:4">
      <c r="A187" s="10">
        <v>184</v>
      </c>
      <c r="B187" s="12">
        <f t="shared" si="2"/>
        <v>0.504109589041096</v>
      </c>
      <c r="C187" s="12">
        <f>EXP(-r_free*B187)</f>
        <v>0.984990494932594</v>
      </c>
    </row>
    <row r="188" spans="1:4">
      <c r="A188" s="4">
        <v>185</v>
      </c>
      <c r="B188" s="6">
        <f t="shared" si="2"/>
        <v>0.506849315068493</v>
      </c>
      <c r="C188" s="6">
        <f>EXP(-r_free*B188)</f>
        <v>0.984909540136678</v>
      </c>
    </row>
    <row r="189" spans="1:4">
      <c r="A189" s="10">
        <v>186</v>
      </c>
      <c r="B189" s="12">
        <f t="shared" si="2"/>
        <v>0.50958904109589</v>
      </c>
      <c r="C189" s="12">
        <f>EXP(-r_free*B189)</f>
        <v>0.984828591994308</v>
      </c>
    </row>
    <row r="190" spans="1:4">
      <c r="A190" s="4">
        <v>187</v>
      </c>
      <c r="B190" s="6">
        <f t="shared" si="2"/>
        <v>0.512328767123288</v>
      </c>
      <c r="C190" s="6">
        <f>EXP(-r_free*B190)</f>
        <v>0.984747650504935</v>
      </c>
    </row>
    <row r="191" spans="1:4">
      <c r="A191" s="10">
        <v>188</v>
      </c>
      <c r="B191" s="12">
        <f t="shared" si="2"/>
        <v>0.515068493150685</v>
      </c>
      <c r="C191" s="12">
        <f>EXP(-r_free*B191)</f>
        <v>0.984666715668015</v>
      </c>
    </row>
    <row r="192" spans="1:4">
      <c r="A192" s="4">
        <v>189</v>
      </c>
      <c r="B192" s="6">
        <f t="shared" si="2"/>
        <v>0.517808219178082</v>
      </c>
      <c r="C192" s="6">
        <f>EXP(-r_free*B192)</f>
        <v>0.984585787482999</v>
      </c>
    </row>
    <row r="193" spans="1:3">
      <c r="A193" s="10">
        <v>190</v>
      </c>
      <c r="B193" s="12">
        <f t="shared" si="2"/>
        <v>0.520547945205479</v>
      </c>
      <c r="C193" s="12">
        <f>EXP(-r_free*B193)</f>
        <v>0.984504865949342</v>
      </c>
    </row>
    <row r="194" spans="1:3">
      <c r="A194" s="4">
        <v>191</v>
      </c>
      <c r="B194" s="6">
        <f t="shared" si="2"/>
        <v>0.523287671232877</v>
      </c>
      <c r="C194" s="6">
        <f>EXP(-r_free*B194)</f>
        <v>0.984423951066497</v>
      </c>
    </row>
    <row r="195" spans="1:3">
      <c r="A195" s="10">
        <v>192</v>
      </c>
      <c r="B195" s="12">
        <f t="shared" ref="B195:B258" si="3">A195/365</f>
        <v>0.526027397260274</v>
      </c>
      <c r="C195" s="12">
        <f>EXP(-r_free*B195)</f>
        <v>0.984343042833916</v>
      </c>
    </row>
    <row r="196" spans="1:3">
      <c r="A196" s="4">
        <v>193</v>
      </c>
      <c r="B196" s="6">
        <f t="shared" si="3"/>
        <v>0.528767123287671</v>
      </c>
      <c r="C196" s="6">
        <f>EXP(-r_free*B196)</f>
        <v>0.984262141251054</v>
      </c>
    </row>
    <row r="197" spans="1:3">
      <c r="A197" s="10">
        <v>194</v>
      </c>
      <c r="B197" s="12">
        <f t="shared" si="3"/>
        <v>0.531506849315069</v>
      </c>
      <c r="C197" s="12">
        <f>EXP(-r_free*B197)</f>
        <v>0.984181246317364</v>
      </c>
    </row>
    <row r="198" spans="1:3">
      <c r="A198" s="4">
        <v>195</v>
      </c>
      <c r="B198" s="6">
        <f t="shared" si="3"/>
        <v>0.534246575342466</v>
      </c>
      <c r="C198" s="6">
        <f>EXP(-r_free*B198)</f>
        <v>0.984100358032299</v>
      </c>
    </row>
    <row r="199" spans="1:3">
      <c r="A199" s="10">
        <v>196</v>
      </c>
      <c r="B199" s="12">
        <f t="shared" si="3"/>
        <v>0.536986301369863</v>
      </c>
      <c r="C199" s="12">
        <f>EXP(-r_free*B199)</f>
        <v>0.984019476395314</v>
      </c>
    </row>
    <row r="200" spans="1:3">
      <c r="A200" s="4">
        <v>197</v>
      </c>
      <c r="B200" s="6">
        <f t="shared" si="3"/>
        <v>0.53972602739726</v>
      </c>
      <c r="C200" s="6">
        <f>EXP(-r_free*B200)</f>
        <v>0.98393860140586</v>
      </c>
    </row>
    <row r="201" spans="1:3">
      <c r="A201" s="10">
        <v>198</v>
      </c>
      <c r="B201" s="12">
        <f t="shared" si="3"/>
        <v>0.542465753424658</v>
      </c>
      <c r="C201" s="12">
        <f>EXP(-r_free*B201)</f>
        <v>0.983857733063394</v>
      </c>
    </row>
    <row r="202" spans="1:3">
      <c r="A202" s="4">
        <v>199</v>
      </c>
      <c r="B202" s="6">
        <f t="shared" si="3"/>
        <v>0.545205479452055</v>
      </c>
      <c r="C202" s="6">
        <f>EXP(-r_free*B202)</f>
        <v>0.983776871367367</v>
      </c>
    </row>
    <row r="203" spans="1:3">
      <c r="A203" s="10">
        <v>200</v>
      </c>
      <c r="B203" s="12">
        <f t="shared" si="3"/>
        <v>0.547945205479452</v>
      </c>
      <c r="C203" s="12">
        <f>EXP(-r_free*B203)</f>
        <v>0.983696016317233</v>
      </c>
    </row>
    <row r="204" spans="1:3">
      <c r="A204" s="4">
        <v>201</v>
      </c>
      <c r="B204" s="6">
        <f t="shared" si="3"/>
        <v>0.550684931506849</v>
      </c>
      <c r="C204" s="6">
        <f>EXP(-r_free*B204)</f>
        <v>0.983615167912447</v>
      </c>
    </row>
    <row r="205" spans="1:3">
      <c r="A205" s="10">
        <v>202</v>
      </c>
      <c r="B205" s="12">
        <f t="shared" si="3"/>
        <v>0.553424657534247</v>
      </c>
      <c r="C205" s="12">
        <f>EXP(-r_free*B205)</f>
        <v>0.983534326152463</v>
      </c>
    </row>
    <row r="206" spans="1:3">
      <c r="A206" s="4">
        <v>203</v>
      </c>
      <c r="B206" s="6">
        <f t="shared" si="3"/>
        <v>0.556164383561644</v>
      </c>
      <c r="C206" s="6">
        <f>EXP(-r_free*B206)</f>
        <v>0.983453491036733</v>
      </c>
    </row>
    <row r="207" spans="1:3">
      <c r="A207" s="10">
        <v>204</v>
      </c>
      <c r="B207" s="12">
        <f t="shared" si="3"/>
        <v>0.558904109589041</v>
      </c>
      <c r="C207" s="12">
        <f>EXP(-r_free*B207)</f>
        <v>0.983372662564713</v>
      </c>
    </row>
    <row r="208" spans="1:3">
      <c r="A208" s="4">
        <v>205</v>
      </c>
      <c r="B208" s="6">
        <f t="shared" si="3"/>
        <v>0.561643835616438</v>
      </c>
      <c r="C208" s="6">
        <f>EXP(-r_free*B208)</f>
        <v>0.983291840735856</v>
      </c>
    </row>
    <row r="209" spans="1:3">
      <c r="A209" s="10">
        <v>206</v>
      </c>
      <c r="B209" s="12">
        <f t="shared" si="3"/>
        <v>0.564383561643836</v>
      </c>
      <c r="C209" s="12">
        <f>EXP(-r_free*B209)</f>
        <v>0.983211025549616</v>
      </c>
    </row>
    <row r="210" spans="1:3">
      <c r="A210" s="4">
        <v>207</v>
      </c>
      <c r="B210" s="6">
        <f t="shared" si="3"/>
        <v>0.567123287671233</v>
      </c>
      <c r="C210" s="6">
        <f>EXP(-r_free*B210)</f>
        <v>0.983130217005447</v>
      </c>
    </row>
    <row r="211" spans="1:3">
      <c r="A211" s="10">
        <v>208</v>
      </c>
      <c r="B211" s="12">
        <f t="shared" si="3"/>
        <v>0.56986301369863</v>
      </c>
      <c r="C211" s="12">
        <f>EXP(-r_free*B211)</f>
        <v>0.983049415102803</v>
      </c>
    </row>
    <row r="212" spans="1:3">
      <c r="A212" s="4">
        <v>209</v>
      </c>
      <c r="B212" s="6">
        <f t="shared" si="3"/>
        <v>0.572602739726027</v>
      </c>
      <c r="C212" s="6">
        <f>EXP(-r_free*B212)</f>
        <v>0.982968619841138</v>
      </c>
    </row>
    <row r="213" spans="1:3">
      <c r="A213" s="10">
        <v>210</v>
      </c>
      <c r="B213" s="12">
        <f t="shared" si="3"/>
        <v>0.575342465753425</v>
      </c>
      <c r="C213" s="12">
        <f>EXP(-r_free*B213)</f>
        <v>0.982887831219907</v>
      </c>
    </row>
    <row r="214" spans="1:3">
      <c r="A214" s="4">
        <v>211</v>
      </c>
      <c r="B214" s="6">
        <f t="shared" si="3"/>
        <v>0.578082191780822</v>
      </c>
      <c r="C214" s="6">
        <f>EXP(-r_free*B214)</f>
        <v>0.982807049238564</v>
      </c>
    </row>
    <row r="215" spans="1:3">
      <c r="A215" s="10">
        <v>212</v>
      </c>
      <c r="B215" s="12">
        <f t="shared" si="3"/>
        <v>0.580821917808219</v>
      </c>
      <c r="C215" s="12">
        <f>EXP(-r_free*B215)</f>
        <v>0.982726273896563</v>
      </c>
    </row>
    <row r="216" spans="1:3">
      <c r="A216" s="4">
        <v>213</v>
      </c>
      <c r="B216" s="6">
        <f t="shared" si="3"/>
        <v>0.583561643835616</v>
      </c>
      <c r="C216" s="6">
        <f>EXP(-r_free*B216)</f>
        <v>0.982645505193358</v>
      </c>
    </row>
    <row r="217" spans="1:3">
      <c r="A217" s="10">
        <v>214</v>
      </c>
      <c r="B217" s="12">
        <f t="shared" si="3"/>
        <v>0.586301369863014</v>
      </c>
      <c r="C217" s="12">
        <f>EXP(-r_free*B217)</f>
        <v>0.982564743128404</v>
      </c>
    </row>
    <row r="218" spans="1:3">
      <c r="A218" s="4">
        <v>215</v>
      </c>
      <c r="B218" s="6">
        <f t="shared" si="3"/>
        <v>0.589041095890411</v>
      </c>
      <c r="C218" s="6">
        <f>EXP(-r_free*B218)</f>
        <v>0.982483987701155</v>
      </c>
    </row>
    <row r="219" spans="1:3">
      <c r="A219" s="10">
        <v>216</v>
      </c>
      <c r="B219" s="12">
        <f t="shared" si="3"/>
        <v>0.591780821917808</v>
      </c>
      <c r="C219" s="12">
        <f>EXP(-r_free*B219)</f>
        <v>0.982403238911066</v>
      </c>
    </row>
    <row r="220" spans="1:3">
      <c r="A220" s="4">
        <v>217</v>
      </c>
      <c r="B220" s="6">
        <f t="shared" si="3"/>
        <v>0.594520547945205</v>
      </c>
      <c r="C220" s="6">
        <f>EXP(-r_free*B220)</f>
        <v>0.982322496757591</v>
      </c>
    </row>
    <row r="221" spans="1:3">
      <c r="A221" s="10">
        <v>218</v>
      </c>
      <c r="B221" s="12">
        <f t="shared" si="3"/>
        <v>0.597260273972603</v>
      </c>
      <c r="C221" s="12">
        <f>EXP(-r_free*B221)</f>
        <v>0.982241761240184</v>
      </c>
    </row>
    <row r="222" spans="1:3">
      <c r="A222" s="4">
        <v>219</v>
      </c>
      <c r="B222" s="6">
        <f t="shared" si="3"/>
        <v>0.6</v>
      </c>
      <c r="C222" s="6">
        <f>EXP(-r_free*B222)</f>
        <v>0.982161032358301</v>
      </c>
    </row>
    <row r="223" spans="1:3">
      <c r="A223" s="10">
        <v>220</v>
      </c>
      <c r="B223" s="12">
        <f t="shared" si="3"/>
        <v>0.602739726027397</v>
      </c>
      <c r="C223" s="12">
        <f>EXP(-r_free*B223)</f>
        <v>0.982080310111395</v>
      </c>
    </row>
    <row r="224" spans="1:3">
      <c r="A224" s="4">
        <v>221</v>
      </c>
      <c r="B224" s="6">
        <f t="shared" si="3"/>
        <v>0.605479452054794</v>
      </c>
      <c r="C224" s="6">
        <f>EXP(-r_free*B224)</f>
        <v>0.981999594498923</v>
      </c>
    </row>
    <row r="225" spans="1:3">
      <c r="A225" s="10">
        <v>222</v>
      </c>
      <c r="B225" s="12">
        <f t="shared" si="3"/>
        <v>0.608219178082192</v>
      </c>
      <c r="C225" s="12">
        <f>EXP(-r_free*B225)</f>
        <v>0.981918885520337</v>
      </c>
    </row>
    <row r="226" spans="1:3">
      <c r="A226" s="4">
        <v>223</v>
      </c>
      <c r="B226" s="6">
        <f t="shared" si="3"/>
        <v>0.610958904109589</v>
      </c>
      <c r="C226" s="6">
        <f>EXP(-r_free*B226)</f>
        <v>0.981838183175094</v>
      </c>
    </row>
    <row r="227" spans="1:3">
      <c r="A227" s="10">
        <v>224</v>
      </c>
      <c r="B227" s="12">
        <f t="shared" si="3"/>
        <v>0.613698630136986</v>
      </c>
      <c r="C227" s="12">
        <f>EXP(-r_free*B227)</f>
        <v>0.981757487462647</v>
      </c>
    </row>
    <row r="228" spans="1:3">
      <c r="A228" s="4">
        <v>225</v>
      </c>
      <c r="B228" s="6">
        <f t="shared" si="3"/>
        <v>0.616438356164384</v>
      </c>
      <c r="C228" s="6">
        <f>EXP(-r_free*B228)</f>
        <v>0.981676798382452</v>
      </c>
    </row>
    <row r="229" spans="1:3">
      <c r="A229" s="10">
        <v>226</v>
      </c>
      <c r="B229" s="12">
        <f t="shared" si="3"/>
        <v>0.619178082191781</v>
      </c>
      <c r="C229" s="12">
        <f>EXP(-r_free*B229)</f>
        <v>0.981596115933964</v>
      </c>
    </row>
    <row r="230" spans="1:3">
      <c r="A230" s="4">
        <v>227</v>
      </c>
      <c r="B230" s="6">
        <f t="shared" si="3"/>
        <v>0.621917808219178</v>
      </c>
      <c r="C230" s="6">
        <f>EXP(-r_free*B230)</f>
        <v>0.981515440116638</v>
      </c>
    </row>
    <row r="231" spans="1:3">
      <c r="A231" s="10">
        <v>228</v>
      </c>
      <c r="B231" s="12">
        <f t="shared" si="3"/>
        <v>0.624657534246575</v>
      </c>
      <c r="C231" s="12">
        <f>EXP(-r_free*B231)</f>
        <v>0.981434770929928</v>
      </c>
    </row>
    <row r="232" spans="1:3">
      <c r="A232" s="4">
        <v>229</v>
      </c>
      <c r="B232" s="6">
        <f t="shared" si="3"/>
        <v>0.627397260273973</v>
      </c>
      <c r="C232" s="6">
        <f>EXP(-r_free*B232)</f>
        <v>0.98135410837329</v>
      </c>
    </row>
    <row r="233" spans="1:3">
      <c r="A233" s="10">
        <v>230</v>
      </c>
      <c r="B233" s="12">
        <f t="shared" si="3"/>
        <v>0.63013698630137</v>
      </c>
      <c r="C233" s="12">
        <f>EXP(-r_free*B233)</f>
        <v>0.981273452446178</v>
      </c>
    </row>
    <row r="234" spans="1:3">
      <c r="A234" s="4">
        <v>231</v>
      </c>
      <c r="B234" s="6">
        <f t="shared" si="3"/>
        <v>0.632876712328767</v>
      </c>
      <c r="C234" s="6">
        <f>EXP(-r_free*B234)</f>
        <v>0.981192803148048</v>
      </c>
    </row>
    <row r="235" spans="1:3">
      <c r="A235" s="10">
        <v>232</v>
      </c>
      <c r="B235" s="12">
        <f t="shared" si="3"/>
        <v>0.635616438356164</v>
      </c>
      <c r="C235" s="12">
        <f>EXP(-r_free*B235)</f>
        <v>0.981112160478355</v>
      </c>
    </row>
    <row r="236" spans="1:3">
      <c r="A236" s="4">
        <v>233</v>
      </c>
      <c r="B236" s="6">
        <f t="shared" si="3"/>
        <v>0.638356164383562</v>
      </c>
      <c r="C236" s="6">
        <f>EXP(-r_free*B236)</f>
        <v>0.981031524436555</v>
      </c>
    </row>
    <row r="237" spans="1:3">
      <c r="A237" s="10">
        <v>234</v>
      </c>
      <c r="B237" s="12">
        <f t="shared" si="3"/>
        <v>0.641095890410959</v>
      </c>
      <c r="C237" s="12">
        <f>EXP(-r_free*B237)</f>
        <v>0.980950895022102</v>
      </c>
    </row>
    <row r="238" spans="1:3">
      <c r="A238" s="4">
        <v>235</v>
      </c>
      <c r="B238" s="6">
        <f t="shared" si="3"/>
        <v>0.643835616438356</v>
      </c>
      <c r="C238" s="6">
        <f>EXP(-r_free*B238)</f>
        <v>0.980870272234452</v>
      </c>
    </row>
    <row r="239" spans="1:3">
      <c r="A239" s="10">
        <v>236</v>
      </c>
      <c r="B239" s="12">
        <f t="shared" si="3"/>
        <v>0.646575342465753</v>
      </c>
      <c r="C239" s="12">
        <f>EXP(-r_free*B239)</f>
        <v>0.98078965607306</v>
      </c>
    </row>
    <row r="240" spans="1:3">
      <c r="A240" s="4">
        <v>237</v>
      </c>
      <c r="B240" s="6">
        <f t="shared" si="3"/>
        <v>0.649315068493151</v>
      </c>
      <c r="C240" s="6">
        <f>EXP(-r_free*B240)</f>
        <v>0.980709046537382</v>
      </c>
    </row>
    <row r="241" spans="1:3">
      <c r="A241" s="10">
        <v>238</v>
      </c>
      <c r="B241" s="12">
        <f t="shared" si="3"/>
        <v>0.652054794520548</v>
      </c>
      <c r="C241" s="12">
        <f>EXP(-r_free*B241)</f>
        <v>0.980628443626873</v>
      </c>
    </row>
    <row r="242" spans="1:3">
      <c r="A242" s="4">
        <v>239</v>
      </c>
      <c r="B242" s="6">
        <f t="shared" si="3"/>
        <v>0.654794520547945</v>
      </c>
      <c r="C242" s="6">
        <f>EXP(-r_free*B242)</f>
        <v>0.980547847340988</v>
      </c>
    </row>
    <row r="243" spans="1:3">
      <c r="A243" s="10">
        <v>240</v>
      </c>
      <c r="B243" s="12">
        <f t="shared" si="3"/>
        <v>0.657534246575342</v>
      </c>
      <c r="C243" s="12">
        <f>EXP(-r_free*B243)</f>
        <v>0.980467257679183</v>
      </c>
    </row>
    <row r="244" spans="1:3">
      <c r="A244" s="4">
        <v>241</v>
      </c>
      <c r="B244" s="6">
        <f t="shared" si="3"/>
        <v>0.66027397260274</v>
      </c>
      <c r="C244" s="6">
        <f>EXP(-r_free*B244)</f>
        <v>0.980386674640914</v>
      </c>
    </row>
    <row r="245" spans="1:3">
      <c r="A245" s="10">
        <v>242</v>
      </c>
      <c r="B245" s="12">
        <f t="shared" si="3"/>
        <v>0.663013698630137</v>
      </c>
      <c r="C245" s="12">
        <f>EXP(-r_free*B245)</f>
        <v>0.980306098225636</v>
      </c>
    </row>
    <row r="246" spans="1:3">
      <c r="A246" s="4">
        <v>243</v>
      </c>
      <c r="B246" s="6">
        <f t="shared" si="3"/>
        <v>0.665753424657534</v>
      </c>
      <c r="C246" s="6">
        <f>EXP(-r_free*B246)</f>
        <v>0.980225528432805</v>
      </c>
    </row>
    <row r="247" spans="1:3">
      <c r="A247" s="10">
        <v>244</v>
      </c>
      <c r="B247" s="12">
        <f t="shared" si="3"/>
        <v>0.668493150684932</v>
      </c>
      <c r="C247" s="12">
        <f>EXP(-r_free*B247)</f>
        <v>0.980144965261876</v>
      </c>
    </row>
    <row r="248" spans="1:3">
      <c r="A248" s="4">
        <v>245</v>
      </c>
      <c r="B248" s="6">
        <f t="shared" si="3"/>
        <v>0.671232876712329</v>
      </c>
      <c r="C248" s="6">
        <f>EXP(-r_free*B248)</f>
        <v>0.980064408712306</v>
      </c>
    </row>
    <row r="249" spans="1:3">
      <c r="A249" s="10">
        <v>246</v>
      </c>
      <c r="B249" s="12">
        <f t="shared" si="3"/>
        <v>0.673972602739726</v>
      </c>
      <c r="C249" s="12">
        <f>EXP(-r_free*B249)</f>
        <v>0.979983858783551</v>
      </c>
    </row>
    <row r="250" spans="1:3">
      <c r="A250" s="4">
        <v>247</v>
      </c>
      <c r="B250" s="6">
        <f t="shared" si="3"/>
        <v>0.676712328767123</v>
      </c>
      <c r="C250" s="6">
        <f>EXP(-r_free*B250)</f>
        <v>0.979903315475065</v>
      </c>
    </row>
    <row r="251" spans="1:3">
      <c r="A251" s="10">
        <v>248</v>
      </c>
      <c r="B251" s="12">
        <f t="shared" si="3"/>
        <v>0.679452054794521</v>
      </c>
      <c r="C251" s="12">
        <f>EXP(-r_free*B251)</f>
        <v>0.979822778786305</v>
      </c>
    </row>
    <row r="252" spans="1:3">
      <c r="A252" s="4">
        <v>249</v>
      </c>
      <c r="B252" s="6">
        <f t="shared" si="3"/>
        <v>0.682191780821918</v>
      </c>
      <c r="C252" s="6">
        <f>EXP(-r_free*B252)</f>
        <v>0.979742248716727</v>
      </c>
    </row>
    <row r="253" spans="1:3">
      <c r="A253" s="10">
        <v>250</v>
      </c>
      <c r="B253" s="12">
        <f t="shared" si="3"/>
        <v>0.684931506849315</v>
      </c>
      <c r="C253" s="12">
        <f>EXP(-r_free*B253)</f>
        <v>0.979661725265786</v>
      </c>
    </row>
    <row r="254" spans="1:3">
      <c r="A254" s="4">
        <v>251</v>
      </c>
      <c r="B254" s="6">
        <f t="shared" si="3"/>
        <v>0.687671232876712</v>
      </c>
      <c r="C254" s="6">
        <f>EXP(-r_free*B254)</f>
        <v>0.97958120843294</v>
      </c>
    </row>
    <row r="255" spans="1:3">
      <c r="A255" s="10">
        <v>252</v>
      </c>
      <c r="B255" s="12">
        <f t="shared" si="3"/>
        <v>0.69041095890411</v>
      </c>
      <c r="C255" s="12">
        <f>EXP(-r_free*B255)</f>
        <v>0.979500698217644</v>
      </c>
    </row>
    <row r="256" spans="1:3">
      <c r="A256" s="4">
        <v>253</v>
      </c>
      <c r="B256" s="6">
        <f t="shared" si="3"/>
        <v>0.693150684931507</v>
      </c>
      <c r="C256" s="6">
        <f>EXP(-r_free*B256)</f>
        <v>0.979420194619353</v>
      </c>
    </row>
    <row r="257" spans="1:3">
      <c r="A257" s="10">
        <v>254</v>
      </c>
      <c r="B257" s="12">
        <f t="shared" si="3"/>
        <v>0.695890410958904</v>
      </c>
      <c r="C257" s="12">
        <f>EXP(-r_free*B257)</f>
        <v>0.979339697637525</v>
      </c>
    </row>
    <row r="258" spans="1:3">
      <c r="A258" s="4">
        <v>255</v>
      </c>
      <c r="B258" s="6">
        <f t="shared" si="3"/>
        <v>0.698630136986301</v>
      </c>
      <c r="C258" s="6">
        <f>EXP(-r_free*B258)</f>
        <v>0.979259207271615</v>
      </c>
    </row>
    <row r="259" spans="1:3">
      <c r="A259" s="10">
        <v>256</v>
      </c>
      <c r="B259" s="12">
        <f t="shared" ref="B259:B322" si="4">A259/365</f>
        <v>0.701369863013699</v>
      </c>
      <c r="C259" s="12">
        <f>EXP(-r_free*B259)</f>
        <v>0.97917872352108</v>
      </c>
    </row>
    <row r="260" spans="1:3">
      <c r="A260" s="4">
        <v>257</v>
      </c>
      <c r="B260" s="6">
        <f t="shared" si="4"/>
        <v>0.704109589041096</v>
      </c>
      <c r="C260" s="6">
        <f>EXP(-r_free*B260)</f>
        <v>0.979098246385376</v>
      </c>
    </row>
    <row r="261" spans="1:3">
      <c r="A261" s="10">
        <v>258</v>
      </c>
      <c r="B261" s="12">
        <f t="shared" si="4"/>
        <v>0.706849315068493</v>
      </c>
      <c r="C261" s="12">
        <f>EXP(-r_free*B261)</f>
        <v>0.979017775863959</v>
      </c>
    </row>
    <row r="262" spans="1:3">
      <c r="A262" s="4">
        <v>259</v>
      </c>
      <c r="B262" s="6">
        <f t="shared" si="4"/>
        <v>0.70958904109589</v>
      </c>
      <c r="C262" s="6">
        <f>EXP(-r_free*B262)</f>
        <v>0.978937311956285</v>
      </c>
    </row>
    <row r="263" spans="1:3">
      <c r="A263" s="10">
        <v>260</v>
      </c>
      <c r="B263" s="12">
        <f t="shared" si="4"/>
        <v>0.712328767123288</v>
      </c>
      <c r="C263" s="12">
        <f>EXP(-r_free*B263)</f>
        <v>0.978856854661812</v>
      </c>
    </row>
    <row r="264" spans="1:3">
      <c r="A264" s="4">
        <v>261</v>
      </c>
      <c r="B264" s="6">
        <f t="shared" si="4"/>
        <v>0.715068493150685</v>
      </c>
      <c r="C264" s="6">
        <f>EXP(-r_free*B264)</f>
        <v>0.978776403979995</v>
      </c>
    </row>
    <row r="265" spans="1:3">
      <c r="A265" s="10">
        <v>262</v>
      </c>
      <c r="B265" s="12">
        <f t="shared" si="4"/>
        <v>0.717808219178082</v>
      </c>
      <c r="C265" s="12">
        <f>EXP(-r_free*B265)</f>
        <v>0.978695959910292</v>
      </c>
    </row>
    <row r="266" spans="1:3">
      <c r="A266" s="4">
        <v>263</v>
      </c>
      <c r="B266" s="6">
        <f t="shared" si="4"/>
        <v>0.720547945205479</v>
      </c>
      <c r="C266" s="6">
        <f>EXP(-r_free*B266)</f>
        <v>0.978615522452158</v>
      </c>
    </row>
    <row r="267" spans="1:3">
      <c r="A267" s="10">
        <v>264</v>
      </c>
      <c r="B267" s="12">
        <f t="shared" si="4"/>
        <v>0.723287671232877</v>
      </c>
      <c r="C267" s="12">
        <f>EXP(-r_free*B267)</f>
        <v>0.97853509160505</v>
      </c>
    </row>
    <row r="268" spans="1:3">
      <c r="A268" s="4">
        <v>265</v>
      </c>
      <c r="B268" s="6">
        <f t="shared" si="4"/>
        <v>0.726027397260274</v>
      </c>
      <c r="C268" s="6">
        <f>EXP(-r_free*B268)</f>
        <v>0.978454667368425</v>
      </c>
    </row>
    <row r="269" spans="1:3">
      <c r="A269" s="10">
        <v>266</v>
      </c>
      <c r="B269" s="12">
        <f t="shared" si="4"/>
        <v>0.728767123287671</v>
      </c>
      <c r="C269" s="12">
        <f>EXP(-r_free*B269)</f>
        <v>0.97837424974174</v>
      </c>
    </row>
    <row r="270" spans="1:3">
      <c r="A270" s="4">
        <v>267</v>
      </c>
      <c r="B270" s="6">
        <f t="shared" si="4"/>
        <v>0.731506849315068</v>
      </c>
      <c r="C270" s="6">
        <f>EXP(-r_free*B270)</f>
        <v>0.978293838724451</v>
      </c>
    </row>
    <row r="271" spans="1:3">
      <c r="A271" s="10">
        <v>268</v>
      </c>
      <c r="B271" s="12">
        <f t="shared" si="4"/>
        <v>0.734246575342466</v>
      </c>
      <c r="C271" s="12">
        <f>EXP(-r_free*B271)</f>
        <v>0.978213434316015</v>
      </c>
    </row>
    <row r="272" spans="1:3">
      <c r="A272" s="4">
        <v>269</v>
      </c>
      <c r="B272" s="6">
        <f t="shared" si="4"/>
        <v>0.736986301369863</v>
      </c>
      <c r="C272" s="6">
        <f>EXP(-r_free*B272)</f>
        <v>0.978133036515889</v>
      </c>
    </row>
    <row r="273" spans="1:4">
      <c r="A273" s="10">
        <v>270</v>
      </c>
      <c r="B273" s="12">
        <f t="shared" si="4"/>
        <v>0.73972602739726</v>
      </c>
      <c r="C273" s="12">
        <f>EXP(-r_free*B273)</f>
        <v>0.97805264532353</v>
      </c>
    </row>
    <row r="274" spans="1:4">
      <c r="A274" s="4">
        <v>271</v>
      </c>
      <c r="B274" s="6">
        <f t="shared" si="4"/>
        <v>0.742465753424657</v>
      </c>
      <c r="C274" s="6">
        <f>EXP(-r_free*B274)</f>
        <v>0.977972260738394</v>
      </c>
    </row>
    <row r="275" spans="1:4">
      <c r="A275" s="10">
        <v>272</v>
      </c>
      <c r="B275" s="12">
        <f t="shared" si="4"/>
        <v>0.745205479452055</v>
      </c>
      <c r="C275" s="12">
        <f>EXP(-r_free*B275)</f>
        <v>0.97789188275994</v>
      </c>
    </row>
    <row r="276" spans="1:4">
      <c r="A276" s="4">
        <v>273</v>
      </c>
      <c r="B276" s="6">
        <f t="shared" si="4"/>
        <v>0.747945205479452</v>
      </c>
      <c r="C276" s="6">
        <f>EXP(-r_free*B276)</f>
        <v>0.977811511387623</v>
      </c>
      <c r="D276" s="43" t="s">
        <v>37</v>
      </c>
    </row>
    <row r="277" spans="1:4">
      <c r="A277" s="10">
        <v>274</v>
      </c>
      <c r="B277" s="12">
        <f t="shared" si="4"/>
        <v>0.750684931506849</v>
      </c>
      <c r="C277" s="12">
        <f>EXP(-r_free*B277)</f>
        <v>0.977731146620901</v>
      </c>
    </row>
    <row r="278" spans="1:4">
      <c r="A278" s="4">
        <v>275</v>
      </c>
      <c r="B278" s="6">
        <f t="shared" si="4"/>
        <v>0.753424657534247</v>
      </c>
      <c r="C278" s="6">
        <f>EXP(-r_free*B278)</f>
        <v>0.97765078845923</v>
      </c>
    </row>
    <row r="279" spans="1:4">
      <c r="A279" s="10">
        <v>276</v>
      </c>
      <c r="B279" s="12">
        <f t="shared" si="4"/>
        <v>0.756164383561644</v>
      </c>
      <c r="C279" s="12">
        <f>EXP(-r_free*B279)</f>
        <v>0.977570436902069</v>
      </c>
    </row>
    <row r="280" spans="1:4">
      <c r="A280" s="4">
        <v>277</v>
      </c>
      <c r="B280" s="6">
        <f t="shared" si="4"/>
        <v>0.758904109589041</v>
      </c>
      <c r="C280" s="6">
        <f>EXP(-r_free*B280)</f>
        <v>0.977490091948874</v>
      </c>
    </row>
    <row r="281" spans="1:4">
      <c r="A281" s="10">
        <v>278</v>
      </c>
      <c r="B281" s="12">
        <f t="shared" si="4"/>
        <v>0.761643835616438</v>
      </c>
      <c r="C281" s="12">
        <f>EXP(-r_free*B281)</f>
        <v>0.977409753599102</v>
      </c>
    </row>
    <row r="282" spans="1:4">
      <c r="A282" s="4">
        <v>279</v>
      </c>
      <c r="B282" s="6">
        <f t="shared" si="4"/>
        <v>0.764383561643836</v>
      </c>
      <c r="C282" s="6">
        <f>EXP(-r_free*B282)</f>
        <v>0.977329421852211</v>
      </c>
    </row>
    <row r="283" spans="1:4">
      <c r="A283" s="10">
        <v>280</v>
      </c>
      <c r="B283" s="12">
        <f t="shared" si="4"/>
        <v>0.767123287671233</v>
      </c>
      <c r="C283" s="12">
        <f>EXP(-r_free*B283)</f>
        <v>0.977249096707658</v>
      </c>
    </row>
    <row r="284" spans="1:4">
      <c r="A284" s="4">
        <v>281</v>
      </c>
      <c r="B284" s="6">
        <f t="shared" si="4"/>
        <v>0.76986301369863</v>
      </c>
      <c r="C284" s="6">
        <f>EXP(-r_free*B284)</f>
        <v>0.9771687781649</v>
      </c>
    </row>
    <row r="285" spans="1:4">
      <c r="A285" s="10">
        <v>282</v>
      </c>
      <c r="B285" s="12">
        <f t="shared" si="4"/>
        <v>0.772602739726027</v>
      </c>
      <c r="C285" s="12">
        <f>EXP(-r_free*B285)</f>
        <v>0.977088466223395</v>
      </c>
    </row>
    <row r="286" spans="1:4">
      <c r="A286" s="4">
        <v>283</v>
      </c>
      <c r="B286" s="6">
        <f t="shared" si="4"/>
        <v>0.775342465753425</v>
      </c>
      <c r="C286" s="6">
        <f>EXP(-r_free*B286)</f>
        <v>0.9770081608826</v>
      </c>
    </row>
    <row r="287" spans="1:4">
      <c r="A287" s="10">
        <v>284</v>
      </c>
      <c r="B287" s="12">
        <f t="shared" si="4"/>
        <v>0.778082191780822</v>
      </c>
      <c r="C287" s="12">
        <f>EXP(-r_free*B287)</f>
        <v>0.976927862141973</v>
      </c>
    </row>
    <row r="288" spans="1:4">
      <c r="A288" s="4">
        <v>285</v>
      </c>
      <c r="B288" s="6">
        <f t="shared" si="4"/>
        <v>0.780821917808219</v>
      </c>
      <c r="C288" s="6">
        <f>EXP(-r_free*B288)</f>
        <v>0.976847570000971</v>
      </c>
    </row>
    <row r="289" spans="1:3">
      <c r="A289" s="10">
        <v>286</v>
      </c>
      <c r="B289" s="12">
        <f t="shared" si="4"/>
        <v>0.783561643835616</v>
      </c>
      <c r="C289" s="12">
        <f>EXP(-r_free*B289)</f>
        <v>0.976767284459052</v>
      </c>
    </row>
    <row r="290" spans="1:3">
      <c r="A290" s="4">
        <v>287</v>
      </c>
      <c r="B290" s="6">
        <f t="shared" si="4"/>
        <v>0.786301369863014</v>
      </c>
      <c r="C290" s="6">
        <f>EXP(-r_free*B290)</f>
        <v>0.976687005515674</v>
      </c>
    </row>
    <row r="291" spans="1:3">
      <c r="A291" s="10">
        <v>288</v>
      </c>
      <c r="B291" s="12">
        <f t="shared" si="4"/>
        <v>0.789041095890411</v>
      </c>
      <c r="C291" s="12">
        <f>EXP(-r_free*B291)</f>
        <v>0.976606733170294</v>
      </c>
    </row>
    <row r="292" spans="1:3">
      <c r="A292" s="4">
        <v>289</v>
      </c>
      <c r="B292" s="6">
        <f t="shared" si="4"/>
        <v>0.791780821917808</v>
      </c>
      <c r="C292" s="6">
        <f>EXP(-r_free*B292)</f>
        <v>0.976526467422369</v>
      </c>
    </row>
    <row r="293" spans="1:3">
      <c r="A293" s="10">
        <v>290</v>
      </c>
      <c r="B293" s="12">
        <f t="shared" si="4"/>
        <v>0.794520547945205</v>
      </c>
      <c r="C293" s="12">
        <f>EXP(-r_free*B293)</f>
        <v>0.976446208271359</v>
      </c>
    </row>
    <row r="294" spans="1:3">
      <c r="A294" s="4">
        <v>291</v>
      </c>
      <c r="B294" s="6">
        <f t="shared" si="4"/>
        <v>0.797260273972603</v>
      </c>
      <c r="C294" s="6">
        <f>EXP(-r_free*B294)</f>
        <v>0.976365955716719</v>
      </c>
    </row>
    <row r="295" spans="1:3">
      <c r="A295" s="10">
        <v>292</v>
      </c>
      <c r="B295" s="12">
        <f t="shared" si="4"/>
        <v>0.8</v>
      </c>
      <c r="C295" s="12">
        <f>EXP(-r_free*B295)</f>
        <v>0.976285709757909</v>
      </c>
    </row>
    <row r="296" spans="1:3">
      <c r="A296" s="4">
        <v>293</v>
      </c>
      <c r="B296" s="6">
        <f t="shared" si="4"/>
        <v>0.802739726027397</v>
      </c>
      <c r="C296" s="6">
        <f>EXP(-r_free*B296)</f>
        <v>0.976205470394387</v>
      </c>
    </row>
    <row r="297" spans="1:3">
      <c r="A297" s="10">
        <v>294</v>
      </c>
      <c r="B297" s="12">
        <f t="shared" si="4"/>
        <v>0.805479452054795</v>
      </c>
      <c r="C297" s="12">
        <f>EXP(-r_free*B297)</f>
        <v>0.976125237625609</v>
      </c>
    </row>
    <row r="298" spans="1:3">
      <c r="A298" s="4">
        <v>295</v>
      </c>
      <c r="B298" s="6">
        <f t="shared" si="4"/>
        <v>0.808219178082192</v>
      </c>
      <c r="C298" s="6">
        <f>EXP(-r_free*B298)</f>
        <v>0.976045011451035</v>
      </c>
    </row>
    <row r="299" spans="1:3">
      <c r="A299" s="10">
        <v>296</v>
      </c>
      <c r="B299" s="12">
        <f t="shared" si="4"/>
        <v>0.810958904109589</v>
      </c>
      <c r="C299" s="12">
        <f>EXP(-r_free*B299)</f>
        <v>0.975964791870121</v>
      </c>
    </row>
    <row r="300" spans="1:3">
      <c r="A300" s="4">
        <v>297</v>
      </c>
      <c r="B300" s="6">
        <f t="shared" si="4"/>
        <v>0.813698630136986</v>
      </c>
      <c r="C300" s="6">
        <f>EXP(-r_free*B300)</f>
        <v>0.975884578882327</v>
      </c>
    </row>
    <row r="301" spans="1:3">
      <c r="A301" s="10">
        <v>298</v>
      </c>
      <c r="B301" s="12">
        <f t="shared" si="4"/>
        <v>0.816438356164384</v>
      </c>
      <c r="C301" s="12">
        <f>EXP(-r_free*B301)</f>
        <v>0.975804372487111</v>
      </c>
    </row>
    <row r="302" spans="1:3">
      <c r="A302" s="4">
        <v>299</v>
      </c>
      <c r="B302" s="6">
        <f t="shared" si="4"/>
        <v>0.819178082191781</v>
      </c>
      <c r="C302" s="6">
        <f>EXP(-r_free*B302)</f>
        <v>0.97572417268393</v>
      </c>
    </row>
    <row r="303" spans="1:3">
      <c r="A303" s="10">
        <v>300</v>
      </c>
      <c r="B303" s="12">
        <f t="shared" si="4"/>
        <v>0.821917808219178</v>
      </c>
      <c r="C303" s="12">
        <f>EXP(-r_free*B303)</f>
        <v>0.975643979472242</v>
      </c>
    </row>
    <row r="304" spans="1:3">
      <c r="A304" s="4">
        <v>301</v>
      </c>
      <c r="B304" s="6">
        <f t="shared" si="4"/>
        <v>0.824657534246575</v>
      </c>
      <c r="C304" s="6">
        <f>EXP(-r_free*B304)</f>
        <v>0.975563792851507</v>
      </c>
    </row>
    <row r="305" spans="1:3">
      <c r="A305" s="10">
        <v>302</v>
      </c>
      <c r="B305" s="12">
        <f t="shared" si="4"/>
        <v>0.827397260273973</v>
      </c>
      <c r="C305" s="12">
        <f>EXP(-r_free*B305)</f>
        <v>0.975483612821182</v>
      </c>
    </row>
    <row r="306" spans="1:3">
      <c r="A306" s="4">
        <v>303</v>
      </c>
      <c r="B306" s="6">
        <f t="shared" si="4"/>
        <v>0.83013698630137</v>
      </c>
      <c r="C306" s="6">
        <f>EXP(-r_free*B306)</f>
        <v>0.975403439380726</v>
      </c>
    </row>
    <row r="307" spans="1:3">
      <c r="A307" s="10">
        <v>304</v>
      </c>
      <c r="B307" s="12">
        <f t="shared" si="4"/>
        <v>0.832876712328767</v>
      </c>
      <c r="C307" s="12">
        <f>EXP(-r_free*B307)</f>
        <v>0.975323272529597</v>
      </c>
    </row>
    <row r="308" spans="1:3">
      <c r="A308" s="4">
        <v>305</v>
      </c>
      <c r="B308" s="6">
        <f t="shared" si="4"/>
        <v>0.835616438356164</v>
      </c>
      <c r="C308" s="6">
        <f>EXP(-r_free*B308)</f>
        <v>0.975243112267253</v>
      </c>
    </row>
    <row r="309" spans="1:3">
      <c r="A309" s="10">
        <v>306</v>
      </c>
      <c r="B309" s="12">
        <f t="shared" si="4"/>
        <v>0.838356164383562</v>
      </c>
      <c r="C309" s="12">
        <f>EXP(-r_free*B309)</f>
        <v>0.975162958593153</v>
      </c>
    </row>
    <row r="310" spans="1:3">
      <c r="A310" s="4">
        <v>307</v>
      </c>
      <c r="B310" s="6">
        <f t="shared" si="4"/>
        <v>0.841095890410959</v>
      </c>
      <c r="C310" s="6">
        <f>EXP(-r_free*B310)</f>
        <v>0.975082811506756</v>
      </c>
    </row>
    <row r="311" spans="1:3">
      <c r="A311" s="10">
        <v>308</v>
      </c>
      <c r="B311" s="12">
        <f t="shared" si="4"/>
        <v>0.843835616438356</v>
      </c>
      <c r="C311" s="12">
        <f>EXP(-r_free*B311)</f>
        <v>0.975002671007519</v>
      </c>
    </row>
    <row r="312" spans="1:3">
      <c r="A312" s="4">
        <v>309</v>
      </c>
      <c r="B312" s="6">
        <f t="shared" si="4"/>
        <v>0.846575342465753</v>
      </c>
      <c r="C312" s="6">
        <f>EXP(-r_free*B312)</f>
        <v>0.974922537094903</v>
      </c>
    </row>
    <row r="313" spans="1:3">
      <c r="A313" s="10">
        <v>310</v>
      </c>
      <c r="B313" s="12">
        <f t="shared" si="4"/>
        <v>0.849315068493151</v>
      </c>
      <c r="C313" s="12">
        <f>EXP(-r_free*B313)</f>
        <v>0.974842409768364</v>
      </c>
    </row>
    <row r="314" spans="1:3">
      <c r="A314" s="4">
        <v>311</v>
      </c>
      <c r="B314" s="6">
        <f t="shared" si="4"/>
        <v>0.852054794520548</v>
      </c>
      <c r="C314" s="6">
        <f>EXP(-r_free*B314)</f>
        <v>0.974762289027363</v>
      </c>
    </row>
    <row r="315" spans="1:3">
      <c r="A315" s="10">
        <v>312</v>
      </c>
      <c r="B315" s="12">
        <f t="shared" si="4"/>
        <v>0.854794520547945</v>
      </c>
      <c r="C315" s="12">
        <f>EXP(-r_free*B315)</f>
        <v>0.974682174871358</v>
      </c>
    </row>
    <row r="316" spans="1:3">
      <c r="A316" s="4">
        <v>313</v>
      </c>
      <c r="B316" s="6">
        <f t="shared" si="4"/>
        <v>0.857534246575342</v>
      </c>
      <c r="C316" s="6">
        <f>EXP(-r_free*B316)</f>
        <v>0.974602067299807</v>
      </c>
    </row>
    <row r="317" spans="1:3">
      <c r="A317" s="10">
        <v>314</v>
      </c>
      <c r="B317" s="12">
        <f t="shared" si="4"/>
        <v>0.86027397260274</v>
      </c>
      <c r="C317" s="12">
        <f>EXP(-r_free*B317)</f>
        <v>0.974521966312169</v>
      </c>
    </row>
    <row r="318" spans="1:3">
      <c r="A318" s="4">
        <v>315</v>
      </c>
      <c r="B318" s="6">
        <f t="shared" si="4"/>
        <v>0.863013698630137</v>
      </c>
      <c r="C318" s="6">
        <f>EXP(-r_free*B318)</f>
        <v>0.974441871907904</v>
      </c>
    </row>
    <row r="319" spans="1:3">
      <c r="A319" s="10">
        <v>316</v>
      </c>
      <c r="B319" s="12">
        <f t="shared" si="4"/>
        <v>0.865753424657534</v>
      </c>
      <c r="C319" s="12">
        <f>EXP(-r_free*B319)</f>
        <v>0.97436178408647</v>
      </c>
    </row>
    <row r="320" spans="1:3">
      <c r="A320" s="4">
        <v>317</v>
      </c>
      <c r="B320" s="6">
        <f t="shared" si="4"/>
        <v>0.868493150684931</v>
      </c>
      <c r="C320" s="6">
        <f>EXP(-r_free*B320)</f>
        <v>0.974281702847326</v>
      </c>
    </row>
    <row r="321" spans="1:3">
      <c r="A321" s="10">
        <v>318</v>
      </c>
      <c r="B321" s="12">
        <f t="shared" si="4"/>
        <v>0.871232876712329</v>
      </c>
      <c r="C321" s="12">
        <f>EXP(-r_free*B321)</f>
        <v>0.974201628189931</v>
      </c>
    </row>
    <row r="322" spans="1:3">
      <c r="A322" s="4">
        <v>319</v>
      </c>
      <c r="B322" s="6">
        <f t="shared" si="4"/>
        <v>0.873972602739726</v>
      </c>
      <c r="C322" s="6">
        <f>EXP(-r_free*B322)</f>
        <v>0.974121560113744</v>
      </c>
    </row>
    <row r="323" spans="1:3">
      <c r="A323" s="10">
        <v>320</v>
      </c>
      <c r="B323" s="12">
        <f t="shared" ref="B323:B386" si="5">A323/365</f>
        <v>0.876712328767123</v>
      </c>
      <c r="C323" s="12">
        <f>EXP(-r_free*B323)</f>
        <v>0.974041498618225</v>
      </c>
    </row>
    <row r="324" spans="1:3">
      <c r="A324" s="4">
        <v>321</v>
      </c>
      <c r="B324" s="6">
        <f t="shared" si="5"/>
        <v>0.879452054794521</v>
      </c>
      <c r="C324" s="6">
        <f>EXP(-r_free*B324)</f>
        <v>0.973961443702832</v>
      </c>
    </row>
    <row r="325" spans="1:3">
      <c r="A325" s="10">
        <v>322</v>
      </c>
      <c r="B325" s="12">
        <f t="shared" si="5"/>
        <v>0.882191780821918</v>
      </c>
      <c r="C325" s="12">
        <f>EXP(-r_free*B325)</f>
        <v>0.973881395367025</v>
      </c>
    </row>
    <row r="326" spans="1:3">
      <c r="A326" s="4">
        <v>323</v>
      </c>
      <c r="B326" s="6">
        <f t="shared" si="5"/>
        <v>0.884931506849315</v>
      </c>
      <c r="C326" s="6">
        <f>EXP(-r_free*B326)</f>
        <v>0.973801353610263</v>
      </c>
    </row>
    <row r="327" spans="1:3">
      <c r="A327" s="10">
        <v>324</v>
      </c>
      <c r="B327" s="12">
        <f t="shared" si="5"/>
        <v>0.887671232876712</v>
      </c>
      <c r="C327" s="12">
        <f>EXP(-r_free*B327)</f>
        <v>0.973721318432005</v>
      </c>
    </row>
    <row r="328" spans="1:3">
      <c r="A328" s="4">
        <v>325</v>
      </c>
      <c r="B328" s="6">
        <f t="shared" si="5"/>
        <v>0.89041095890411</v>
      </c>
      <c r="C328" s="6">
        <f>EXP(-r_free*B328)</f>
        <v>0.97364128983171</v>
      </c>
    </row>
    <row r="329" spans="1:3">
      <c r="A329" s="10">
        <v>326</v>
      </c>
      <c r="B329" s="12">
        <f t="shared" si="5"/>
        <v>0.893150684931507</v>
      </c>
      <c r="C329" s="12">
        <f>EXP(-r_free*B329)</f>
        <v>0.973561267808838</v>
      </c>
    </row>
    <row r="330" spans="1:3">
      <c r="A330" s="4">
        <v>327</v>
      </c>
      <c r="B330" s="6">
        <f t="shared" si="5"/>
        <v>0.895890410958904</v>
      </c>
      <c r="C330" s="6">
        <f>EXP(-r_free*B330)</f>
        <v>0.973481252362849</v>
      </c>
    </row>
    <row r="331" spans="1:3">
      <c r="A331" s="10">
        <v>328</v>
      </c>
      <c r="B331" s="12">
        <f t="shared" si="5"/>
        <v>0.898630136986301</v>
      </c>
      <c r="C331" s="12">
        <f>EXP(-r_free*B331)</f>
        <v>0.973401243493201</v>
      </c>
    </row>
    <row r="332" spans="1:3">
      <c r="A332" s="4">
        <v>329</v>
      </c>
      <c r="B332" s="6">
        <f t="shared" si="5"/>
        <v>0.901369863013699</v>
      </c>
      <c r="C332" s="6">
        <f>EXP(-r_free*B332)</f>
        <v>0.973321241199355</v>
      </c>
    </row>
    <row r="333" spans="1:3">
      <c r="A333" s="10">
        <v>330</v>
      </c>
      <c r="B333" s="12">
        <f t="shared" si="5"/>
        <v>0.904109589041096</v>
      </c>
      <c r="C333" s="12">
        <f>EXP(-r_free*B333)</f>
        <v>0.973241245480769</v>
      </c>
    </row>
    <row r="334" spans="1:3">
      <c r="A334" s="4">
        <v>331</v>
      </c>
      <c r="B334" s="6">
        <f t="shared" si="5"/>
        <v>0.906849315068493</v>
      </c>
      <c r="C334" s="6">
        <f>EXP(-r_free*B334)</f>
        <v>0.973161256336904</v>
      </c>
    </row>
    <row r="335" spans="1:3">
      <c r="A335" s="10">
        <v>332</v>
      </c>
      <c r="B335" s="12">
        <f t="shared" si="5"/>
        <v>0.90958904109589</v>
      </c>
      <c r="C335" s="12">
        <f>EXP(-r_free*B335)</f>
        <v>0.973081273767219</v>
      </c>
    </row>
    <row r="336" spans="1:3">
      <c r="A336" s="4">
        <v>333</v>
      </c>
      <c r="B336" s="6">
        <f t="shared" si="5"/>
        <v>0.912328767123288</v>
      </c>
      <c r="C336" s="6">
        <f>EXP(-r_free*B336)</f>
        <v>0.973001297771173</v>
      </c>
    </row>
    <row r="337" spans="1:3">
      <c r="A337" s="10">
        <v>334</v>
      </c>
      <c r="B337" s="12">
        <f t="shared" si="5"/>
        <v>0.915068493150685</v>
      </c>
      <c r="C337" s="12">
        <f>EXP(-r_free*B337)</f>
        <v>0.972921328348227</v>
      </c>
    </row>
    <row r="338" spans="1:3">
      <c r="A338" s="4">
        <v>335</v>
      </c>
      <c r="B338" s="6">
        <f t="shared" si="5"/>
        <v>0.917808219178082</v>
      </c>
      <c r="C338" s="6">
        <f>EXP(-r_free*B338)</f>
        <v>0.97284136549784</v>
      </c>
    </row>
    <row r="339" spans="1:3">
      <c r="A339" s="10">
        <v>336</v>
      </c>
      <c r="B339" s="12">
        <f t="shared" si="5"/>
        <v>0.920547945205479</v>
      </c>
      <c r="C339" s="12">
        <f>EXP(-r_free*B339)</f>
        <v>0.972761409219472</v>
      </c>
    </row>
    <row r="340" spans="1:3">
      <c r="A340" s="4">
        <v>337</v>
      </c>
      <c r="B340" s="6">
        <f t="shared" si="5"/>
        <v>0.923287671232877</v>
      </c>
      <c r="C340" s="6">
        <f>EXP(-r_free*B340)</f>
        <v>0.972681459512583</v>
      </c>
    </row>
    <row r="341" spans="1:3">
      <c r="A341" s="10">
        <v>338</v>
      </c>
      <c r="B341" s="12">
        <f t="shared" si="5"/>
        <v>0.926027397260274</v>
      </c>
      <c r="C341" s="12">
        <f>EXP(-r_free*B341)</f>
        <v>0.972601516376632</v>
      </c>
    </row>
    <row r="342" spans="1:3">
      <c r="A342" s="4">
        <v>339</v>
      </c>
      <c r="B342" s="6">
        <f t="shared" si="5"/>
        <v>0.928767123287671</v>
      </c>
      <c r="C342" s="6">
        <f>EXP(-r_free*B342)</f>
        <v>0.972521579811081</v>
      </c>
    </row>
    <row r="343" spans="1:3">
      <c r="A343" s="10">
        <v>340</v>
      </c>
      <c r="B343" s="12">
        <f t="shared" si="5"/>
        <v>0.931506849315068</v>
      </c>
      <c r="C343" s="12">
        <f>EXP(-r_free*B343)</f>
        <v>0.972441649815387</v>
      </c>
    </row>
    <row r="344" spans="1:3">
      <c r="A344" s="4">
        <v>341</v>
      </c>
      <c r="B344" s="6">
        <f t="shared" si="5"/>
        <v>0.934246575342466</v>
      </c>
      <c r="C344" s="6">
        <f>EXP(-r_free*B344)</f>
        <v>0.972361726389013</v>
      </c>
    </row>
    <row r="345" spans="1:3">
      <c r="A345" s="10">
        <v>342</v>
      </c>
      <c r="B345" s="12">
        <f t="shared" si="5"/>
        <v>0.936986301369863</v>
      </c>
      <c r="C345" s="12">
        <f>EXP(-r_free*B345)</f>
        <v>0.972281809531418</v>
      </c>
    </row>
    <row r="346" spans="1:3">
      <c r="A346" s="4">
        <v>343</v>
      </c>
      <c r="B346" s="6">
        <f t="shared" si="5"/>
        <v>0.93972602739726</v>
      </c>
      <c r="C346" s="6">
        <f>EXP(-r_free*B346)</f>
        <v>0.972201899242061</v>
      </c>
    </row>
    <row r="347" spans="1:3">
      <c r="A347" s="10">
        <v>344</v>
      </c>
      <c r="B347" s="12">
        <f t="shared" si="5"/>
        <v>0.942465753424658</v>
      </c>
      <c r="C347" s="12">
        <f>EXP(-r_free*B347)</f>
        <v>0.972121995520403</v>
      </c>
    </row>
    <row r="348" spans="1:3">
      <c r="A348" s="4">
        <v>345</v>
      </c>
      <c r="B348" s="6">
        <f t="shared" si="5"/>
        <v>0.945205479452055</v>
      </c>
      <c r="C348" s="6">
        <f>EXP(-r_free*B348)</f>
        <v>0.972042098365905</v>
      </c>
    </row>
    <row r="349" spans="1:3">
      <c r="A349" s="10">
        <v>346</v>
      </c>
      <c r="B349" s="12">
        <f t="shared" si="5"/>
        <v>0.947945205479452</v>
      </c>
      <c r="C349" s="12">
        <f>EXP(-r_free*B349)</f>
        <v>0.971962207778026</v>
      </c>
    </row>
    <row r="350" spans="1:3">
      <c r="A350" s="4">
        <v>347</v>
      </c>
      <c r="B350" s="6">
        <f t="shared" si="5"/>
        <v>0.950684931506849</v>
      </c>
      <c r="C350" s="6">
        <f>EXP(-r_free*B350)</f>
        <v>0.971882323756227</v>
      </c>
    </row>
    <row r="351" spans="1:3">
      <c r="A351" s="10">
        <v>348</v>
      </c>
      <c r="B351" s="12">
        <f t="shared" si="5"/>
        <v>0.953424657534247</v>
      </c>
      <c r="C351" s="12">
        <f>EXP(-r_free*B351)</f>
        <v>0.971802446299969</v>
      </c>
    </row>
    <row r="352" spans="1:3">
      <c r="A352" s="4">
        <v>349</v>
      </c>
      <c r="B352" s="6">
        <f t="shared" si="5"/>
        <v>0.956164383561644</v>
      </c>
      <c r="C352" s="6">
        <f>EXP(-r_free*B352)</f>
        <v>0.97172257540871</v>
      </c>
    </row>
    <row r="353" spans="1:4">
      <c r="A353" s="10">
        <v>350</v>
      </c>
      <c r="B353" s="12">
        <f t="shared" si="5"/>
        <v>0.958904109589041</v>
      </c>
      <c r="C353" s="12">
        <f>EXP(-r_free*B353)</f>
        <v>0.971642711081913</v>
      </c>
    </row>
    <row r="354" spans="1:4">
      <c r="A354" s="4">
        <v>351</v>
      </c>
      <c r="B354" s="6">
        <f t="shared" si="5"/>
        <v>0.961643835616438</v>
      </c>
      <c r="C354" s="6">
        <f>EXP(-r_free*B354)</f>
        <v>0.971562853319038</v>
      </c>
    </row>
    <row r="355" spans="1:4">
      <c r="A355" s="10">
        <v>352</v>
      </c>
      <c r="B355" s="12">
        <f t="shared" si="5"/>
        <v>0.964383561643836</v>
      </c>
      <c r="C355" s="12">
        <f>EXP(-r_free*B355)</f>
        <v>0.971483002119544</v>
      </c>
    </row>
    <row r="356" spans="1:4">
      <c r="A356" s="4">
        <v>353</v>
      </c>
      <c r="B356" s="6">
        <f t="shared" si="5"/>
        <v>0.967123287671233</v>
      </c>
      <c r="C356" s="6">
        <f>EXP(-r_free*B356)</f>
        <v>0.971403157482893</v>
      </c>
    </row>
    <row r="357" spans="1:4">
      <c r="A357" s="10">
        <v>354</v>
      </c>
      <c r="B357" s="12">
        <f t="shared" si="5"/>
        <v>0.96986301369863</v>
      </c>
      <c r="C357" s="12">
        <f>EXP(-r_free*B357)</f>
        <v>0.971323319408545</v>
      </c>
    </row>
    <row r="358" spans="1:4">
      <c r="A358" s="4">
        <v>355</v>
      </c>
      <c r="B358" s="6">
        <f t="shared" si="5"/>
        <v>0.972602739726027</v>
      </c>
      <c r="C358" s="6">
        <f>EXP(-r_free*B358)</f>
        <v>0.971243487895961</v>
      </c>
    </row>
    <row r="359" spans="1:4">
      <c r="A359" s="10">
        <v>356</v>
      </c>
      <c r="B359" s="12">
        <f t="shared" si="5"/>
        <v>0.975342465753425</v>
      </c>
      <c r="C359" s="12">
        <f>EXP(-r_free*B359)</f>
        <v>0.971163662944602</v>
      </c>
    </row>
    <row r="360" spans="1:4">
      <c r="A360" s="4">
        <v>357</v>
      </c>
      <c r="B360" s="6">
        <f t="shared" si="5"/>
        <v>0.978082191780822</v>
      </c>
      <c r="C360" s="6">
        <f>EXP(-r_free*B360)</f>
        <v>0.971083844553927</v>
      </c>
    </row>
    <row r="361" spans="1:4">
      <c r="A361" s="10">
        <v>358</v>
      </c>
      <c r="B361" s="12">
        <f t="shared" si="5"/>
        <v>0.980821917808219</v>
      </c>
      <c r="C361" s="12">
        <f>EXP(-r_free*B361)</f>
        <v>0.971004032723399</v>
      </c>
    </row>
    <row r="362" spans="1:4">
      <c r="A362" s="4">
        <v>359</v>
      </c>
      <c r="B362" s="6">
        <f t="shared" si="5"/>
        <v>0.983561643835616</v>
      </c>
      <c r="C362" s="6">
        <f>EXP(-r_free*B362)</f>
        <v>0.970924227452478</v>
      </c>
    </row>
    <row r="363" spans="1:4">
      <c r="A363" s="10">
        <v>360</v>
      </c>
      <c r="B363" s="12">
        <f t="shared" si="5"/>
        <v>0.986301369863014</v>
      </c>
      <c r="C363" s="12">
        <f>EXP(-r_free*B363)</f>
        <v>0.970844428740625</v>
      </c>
    </row>
    <row r="364" spans="1:4">
      <c r="A364" s="4">
        <v>361</v>
      </c>
      <c r="B364" s="6">
        <f t="shared" si="5"/>
        <v>0.989041095890411</v>
      </c>
      <c r="C364" s="6">
        <f>EXP(-r_free*B364)</f>
        <v>0.9707646365873</v>
      </c>
    </row>
    <row r="365" spans="1:4">
      <c r="A365" s="10">
        <v>362</v>
      </c>
      <c r="B365" s="12">
        <f t="shared" si="5"/>
        <v>0.991780821917808</v>
      </c>
      <c r="C365" s="12">
        <f>EXP(-r_free*B365)</f>
        <v>0.970684850991965</v>
      </c>
    </row>
    <row r="366" spans="1:4">
      <c r="A366" s="4">
        <v>363</v>
      </c>
      <c r="B366" s="6">
        <f t="shared" si="5"/>
        <v>0.994520547945206</v>
      </c>
      <c r="C366" s="6">
        <f>EXP(-r_free*B366)</f>
        <v>0.970605071954081</v>
      </c>
    </row>
    <row r="367" spans="1:4">
      <c r="A367" s="10">
        <v>364</v>
      </c>
      <c r="B367" s="12">
        <f t="shared" si="5"/>
        <v>0.997260273972603</v>
      </c>
      <c r="C367" s="12">
        <f>EXP(-r_free*B367)</f>
        <v>0.970525299473108</v>
      </c>
    </row>
    <row r="368" spans="1:4">
      <c r="A368" s="4">
        <v>365</v>
      </c>
      <c r="B368" s="6">
        <f t="shared" si="5"/>
        <v>1</v>
      </c>
      <c r="C368" s="6">
        <f>EXP(-r_free*B368)</f>
        <v>0.970445533548508</v>
      </c>
      <c r="D368" s="43" t="s">
        <v>38</v>
      </c>
    </row>
    <row r="369" spans="1:3">
      <c r="A369" s="10">
        <v>366</v>
      </c>
      <c r="B369" s="12">
        <f t="shared" si="5"/>
        <v>1.0027397260274</v>
      </c>
      <c r="C369" s="12">
        <f>EXP(-r_free*B369)</f>
        <v>0.970365774179742</v>
      </c>
    </row>
    <row r="370" spans="1:3">
      <c r="A370" s="4">
        <v>367</v>
      </c>
      <c r="B370" s="6">
        <f t="shared" si="5"/>
        <v>1.00547945205479</v>
      </c>
      <c r="C370" s="6">
        <f>EXP(-r_free*B370)</f>
        <v>0.970286021366272</v>
      </c>
    </row>
    <row r="371" spans="1:3">
      <c r="A371" s="10">
        <v>368</v>
      </c>
      <c r="B371" s="12">
        <f t="shared" si="5"/>
        <v>1.00821917808219</v>
      </c>
      <c r="C371" s="12">
        <f>EXP(-r_free*B371)</f>
        <v>0.970206275107557</v>
      </c>
    </row>
    <row r="372" spans="1:3">
      <c r="A372" s="4">
        <v>369</v>
      </c>
      <c r="B372" s="6">
        <f t="shared" si="5"/>
        <v>1.01095890410959</v>
      </c>
      <c r="C372" s="6">
        <f>EXP(-r_free*B372)</f>
        <v>0.970126535403061</v>
      </c>
    </row>
    <row r="373" spans="1:3">
      <c r="A373" s="10">
        <v>370</v>
      </c>
      <c r="B373" s="12">
        <f t="shared" si="5"/>
        <v>1.01369863013699</v>
      </c>
      <c r="C373" s="12">
        <f>EXP(-r_free*B373)</f>
        <v>0.970046802252243</v>
      </c>
    </row>
    <row r="374" spans="1:3">
      <c r="A374" s="4">
        <v>371</v>
      </c>
      <c r="B374" s="6">
        <f t="shared" si="5"/>
        <v>1.01643835616438</v>
      </c>
      <c r="C374" s="6">
        <f>EXP(-r_free*B374)</f>
        <v>0.969967075654566</v>
      </c>
    </row>
    <row r="375" spans="1:3">
      <c r="A375" s="10">
        <v>372</v>
      </c>
      <c r="B375" s="12">
        <f t="shared" si="5"/>
        <v>1.01917808219178</v>
      </c>
      <c r="C375" s="12">
        <f>EXP(-r_free*B375)</f>
        <v>0.96988735560949</v>
      </c>
    </row>
    <row r="376" spans="1:3">
      <c r="A376" s="4">
        <v>373</v>
      </c>
      <c r="B376" s="6">
        <f t="shared" si="5"/>
        <v>1.02191780821918</v>
      </c>
      <c r="C376" s="6">
        <f>EXP(-r_free*B376)</f>
        <v>0.969807642116478</v>
      </c>
    </row>
    <row r="377" spans="1:3">
      <c r="A377" s="10">
        <v>374</v>
      </c>
      <c r="B377" s="12">
        <f t="shared" si="5"/>
        <v>1.02465753424658</v>
      </c>
      <c r="C377" s="12">
        <f>EXP(-r_free*B377)</f>
        <v>0.96972793517499</v>
      </c>
    </row>
    <row r="378" spans="1:3">
      <c r="A378" s="4">
        <v>375</v>
      </c>
      <c r="B378" s="6">
        <f t="shared" si="5"/>
        <v>1.02739726027397</v>
      </c>
      <c r="C378" s="6">
        <f>EXP(-r_free*B378)</f>
        <v>0.969648234784489</v>
      </c>
    </row>
    <row r="379" spans="1:3">
      <c r="A379" s="10">
        <v>376</v>
      </c>
      <c r="B379" s="12">
        <f t="shared" si="5"/>
        <v>1.03013698630137</v>
      </c>
      <c r="C379" s="12">
        <f>EXP(-r_free*B379)</f>
        <v>0.969568540944435</v>
      </c>
    </row>
    <row r="380" spans="1:3">
      <c r="A380" s="4">
        <v>377</v>
      </c>
      <c r="B380" s="6">
        <f t="shared" si="5"/>
        <v>1.03287671232877</v>
      </c>
      <c r="C380" s="6">
        <f>EXP(-r_free*B380)</f>
        <v>0.969488853654291</v>
      </c>
    </row>
    <row r="381" spans="1:3">
      <c r="A381" s="10">
        <v>378</v>
      </c>
      <c r="B381" s="12">
        <f t="shared" si="5"/>
        <v>1.03561643835616</v>
      </c>
      <c r="C381" s="12">
        <f>EXP(-r_free*B381)</f>
        <v>0.969409172913518</v>
      </c>
    </row>
    <row r="382" spans="1:3">
      <c r="A382" s="4">
        <v>379</v>
      </c>
      <c r="B382" s="6">
        <f t="shared" si="5"/>
        <v>1.03835616438356</v>
      </c>
      <c r="C382" s="6">
        <f>EXP(-r_free*B382)</f>
        <v>0.969329498721578</v>
      </c>
    </row>
    <row r="383" spans="1:3">
      <c r="A383" s="10">
        <v>380</v>
      </c>
      <c r="B383" s="12">
        <f t="shared" si="5"/>
        <v>1.04109589041096</v>
      </c>
      <c r="C383" s="12">
        <f>EXP(-r_free*B383)</f>
        <v>0.969249831077932</v>
      </c>
    </row>
    <row r="384" spans="1:3">
      <c r="A384" s="4">
        <v>381</v>
      </c>
      <c r="B384" s="6">
        <f t="shared" si="5"/>
        <v>1.04383561643836</v>
      </c>
      <c r="C384" s="6">
        <f>EXP(-r_free*B384)</f>
        <v>0.969170169982043</v>
      </c>
    </row>
    <row r="385" spans="1:3">
      <c r="A385" s="10">
        <v>382</v>
      </c>
      <c r="B385" s="12">
        <f t="shared" si="5"/>
        <v>1.04657534246575</v>
      </c>
      <c r="C385" s="12">
        <f>EXP(-r_free*B385)</f>
        <v>0.969090515433372</v>
      </c>
    </row>
    <row r="386" spans="1:3">
      <c r="A386" s="4">
        <v>383</v>
      </c>
      <c r="B386" s="6">
        <f t="shared" si="5"/>
        <v>1.04931506849315</v>
      </c>
      <c r="C386" s="6">
        <f>EXP(-r_free*B386)</f>
        <v>0.969010867431382</v>
      </c>
    </row>
    <row r="387" spans="1:3">
      <c r="A387" s="10">
        <v>384</v>
      </c>
      <c r="B387" s="12">
        <f t="shared" ref="B387:B450" si="6">A387/365</f>
        <v>1.05205479452055</v>
      </c>
      <c r="C387" s="12">
        <f>EXP(-r_free*B387)</f>
        <v>0.968931225975533</v>
      </c>
    </row>
    <row r="388" spans="1:3">
      <c r="A388" s="4">
        <v>385</v>
      </c>
      <c r="B388" s="6">
        <f t="shared" si="6"/>
        <v>1.05479452054795</v>
      </c>
      <c r="C388" s="6">
        <f>EXP(-r_free*B388)</f>
        <v>0.968851591065289</v>
      </c>
    </row>
    <row r="389" spans="1:3">
      <c r="A389" s="10">
        <v>386</v>
      </c>
      <c r="B389" s="12">
        <f t="shared" si="6"/>
        <v>1.05753424657534</v>
      </c>
      <c r="C389" s="12">
        <f>EXP(-r_free*B389)</f>
        <v>0.96877196270011</v>
      </c>
    </row>
    <row r="390" spans="1:3">
      <c r="A390" s="4">
        <v>387</v>
      </c>
      <c r="B390" s="6">
        <f t="shared" si="6"/>
        <v>1.06027397260274</v>
      </c>
      <c r="C390" s="6">
        <f>EXP(-r_free*B390)</f>
        <v>0.96869234087946</v>
      </c>
    </row>
    <row r="391" spans="1:3">
      <c r="A391" s="10">
        <v>388</v>
      </c>
      <c r="B391" s="12">
        <f t="shared" si="6"/>
        <v>1.06301369863014</v>
      </c>
      <c r="C391" s="12">
        <f>EXP(-r_free*B391)</f>
        <v>0.9686127256028</v>
      </c>
    </row>
    <row r="392" spans="1:3">
      <c r="A392" s="4">
        <v>389</v>
      </c>
      <c r="B392" s="6">
        <f t="shared" si="6"/>
        <v>1.06575342465753</v>
      </c>
      <c r="C392" s="6">
        <f>EXP(-r_free*B392)</f>
        <v>0.968533116869593</v>
      </c>
    </row>
    <row r="393" spans="1:3">
      <c r="A393" s="10">
        <v>390</v>
      </c>
      <c r="B393" s="12">
        <f t="shared" si="6"/>
        <v>1.06849315068493</v>
      </c>
      <c r="C393" s="12">
        <f>EXP(-r_free*B393)</f>
        <v>0.9684535146793</v>
      </c>
    </row>
    <row r="394" spans="1:3">
      <c r="A394" s="4">
        <v>391</v>
      </c>
      <c r="B394" s="6">
        <f t="shared" si="6"/>
        <v>1.07123287671233</v>
      </c>
      <c r="C394" s="6">
        <f>EXP(-r_free*B394)</f>
        <v>0.968373919031384</v>
      </c>
    </row>
    <row r="395" spans="1:3">
      <c r="A395" s="10">
        <v>392</v>
      </c>
      <c r="B395" s="12">
        <f t="shared" si="6"/>
        <v>1.07397260273973</v>
      </c>
      <c r="C395" s="12">
        <f>EXP(-r_free*B395)</f>
        <v>0.968294329925307</v>
      </c>
    </row>
    <row r="396" spans="1:3">
      <c r="A396" s="4">
        <v>393</v>
      </c>
      <c r="B396" s="6">
        <f t="shared" si="6"/>
        <v>1.07671232876712</v>
      </c>
      <c r="C396" s="6">
        <f>EXP(-r_free*B396)</f>
        <v>0.968214747360532</v>
      </c>
    </row>
    <row r="397" spans="1:3">
      <c r="A397" s="10">
        <v>394</v>
      </c>
      <c r="B397" s="12">
        <f t="shared" si="6"/>
        <v>1.07945205479452</v>
      </c>
      <c r="C397" s="12">
        <f>EXP(-r_free*B397)</f>
        <v>0.968135171336521</v>
      </c>
    </row>
    <row r="398" spans="1:3">
      <c r="A398" s="4">
        <v>395</v>
      </c>
      <c r="B398" s="6">
        <f t="shared" si="6"/>
        <v>1.08219178082192</v>
      </c>
      <c r="C398" s="6">
        <f>EXP(-r_free*B398)</f>
        <v>0.968055601852736</v>
      </c>
    </row>
    <row r="399" spans="1:3">
      <c r="A399" s="10">
        <v>396</v>
      </c>
      <c r="B399" s="12">
        <f t="shared" si="6"/>
        <v>1.08493150684932</v>
      </c>
      <c r="C399" s="12">
        <f>EXP(-r_free*B399)</f>
        <v>0.96797603890864</v>
      </c>
    </row>
    <row r="400" spans="1:3">
      <c r="A400" s="4">
        <v>397</v>
      </c>
      <c r="B400" s="6">
        <f t="shared" si="6"/>
        <v>1.08767123287671</v>
      </c>
      <c r="C400" s="6">
        <f>EXP(-r_free*B400)</f>
        <v>0.967896482503695</v>
      </c>
    </row>
    <row r="401" spans="1:3">
      <c r="A401" s="10">
        <v>398</v>
      </c>
      <c r="B401" s="12">
        <f t="shared" si="6"/>
        <v>1.09041095890411</v>
      </c>
      <c r="C401" s="12">
        <f>EXP(-r_free*B401)</f>
        <v>0.967816932637364</v>
      </c>
    </row>
    <row r="402" spans="1:3">
      <c r="A402" s="4">
        <v>399</v>
      </c>
      <c r="B402" s="6">
        <f t="shared" si="6"/>
        <v>1.09315068493151</v>
      </c>
      <c r="C402" s="6">
        <f>EXP(-r_free*B402)</f>
        <v>0.96773738930911</v>
      </c>
    </row>
    <row r="403" spans="1:3">
      <c r="A403" s="10">
        <v>400</v>
      </c>
      <c r="B403" s="12">
        <f t="shared" si="6"/>
        <v>1.0958904109589</v>
      </c>
      <c r="C403" s="12">
        <f>EXP(-r_free*B403)</f>
        <v>0.967657852518394</v>
      </c>
    </row>
    <row r="404" spans="1:3">
      <c r="A404" s="4">
        <v>401</v>
      </c>
      <c r="B404" s="6">
        <f t="shared" si="6"/>
        <v>1.0986301369863</v>
      </c>
      <c r="C404" s="6">
        <f>EXP(-r_free*B404)</f>
        <v>0.967578322264681</v>
      </c>
    </row>
    <row r="405" spans="1:3">
      <c r="A405" s="10">
        <v>402</v>
      </c>
      <c r="B405" s="12">
        <f t="shared" si="6"/>
        <v>1.1013698630137</v>
      </c>
      <c r="C405" s="12">
        <f>EXP(-r_free*B405)</f>
        <v>0.967498798547432</v>
      </c>
    </row>
    <row r="406" spans="1:3">
      <c r="A406" s="4">
        <v>403</v>
      </c>
      <c r="B406" s="6">
        <f t="shared" si="6"/>
        <v>1.1041095890411</v>
      </c>
      <c r="C406" s="6">
        <f>EXP(-r_free*B406)</f>
        <v>0.967419281366111</v>
      </c>
    </row>
    <row r="407" spans="1:3">
      <c r="A407" s="10">
        <v>404</v>
      </c>
      <c r="B407" s="12">
        <f t="shared" si="6"/>
        <v>1.10684931506849</v>
      </c>
      <c r="C407" s="12">
        <f>EXP(-r_free*B407)</f>
        <v>0.967339770720179</v>
      </c>
    </row>
    <row r="408" spans="1:3">
      <c r="A408" s="4">
        <v>405</v>
      </c>
      <c r="B408" s="6">
        <f t="shared" si="6"/>
        <v>1.10958904109589</v>
      </c>
      <c r="C408" s="6">
        <f>EXP(-r_free*B408)</f>
        <v>0.967260266609101</v>
      </c>
    </row>
    <row r="409" spans="1:3">
      <c r="A409" s="10">
        <v>406</v>
      </c>
      <c r="B409" s="12">
        <f t="shared" si="6"/>
        <v>1.11232876712329</v>
      </c>
      <c r="C409" s="12">
        <f>EXP(-r_free*B409)</f>
        <v>0.967180769032338</v>
      </c>
    </row>
    <row r="410" spans="1:3">
      <c r="A410" s="4">
        <v>407</v>
      </c>
      <c r="B410" s="6">
        <f t="shared" si="6"/>
        <v>1.11506849315068</v>
      </c>
      <c r="C410" s="6">
        <f>EXP(-r_free*B410)</f>
        <v>0.967101277989355</v>
      </c>
    </row>
    <row r="411" spans="1:3">
      <c r="A411" s="10">
        <v>408</v>
      </c>
      <c r="B411" s="12">
        <f t="shared" si="6"/>
        <v>1.11780821917808</v>
      </c>
      <c r="C411" s="12">
        <f>EXP(-r_free*B411)</f>
        <v>0.967021793479613</v>
      </c>
    </row>
    <row r="412" spans="1:3">
      <c r="A412" s="4">
        <v>409</v>
      </c>
      <c r="B412" s="6">
        <f t="shared" si="6"/>
        <v>1.12054794520548</v>
      </c>
      <c r="C412" s="6">
        <f>EXP(-r_free*B412)</f>
        <v>0.966942315502576</v>
      </c>
    </row>
    <row r="413" spans="1:3">
      <c r="A413" s="10">
        <v>410</v>
      </c>
      <c r="B413" s="12">
        <f t="shared" si="6"/>
        <v>1.12328767123288</v>
      </c>
      <c r="C413" s="12">
        <f>EXP(-r_free*B413)</f>
        <v>0.966862844057708</v>
      </c>
    </row>
    <row r="414" spans="1:3">
      <c r="A414" s="4">
        <v>411</v>
      </c>
      <c r="B414" s="6">
        <f t="shared" si="6"/>
        <v>1.12602739726027</v>
      </c>
      <c r="C414" s="6">
        <f>EXP(-r_free*B414)</f>
        <v>0.96678337914447</v>
      </c>
    </row>
    <row r="415" spans="1:3">
      <c r="A415" s="10">
        <v>412</v>
      </c>
      <c r="B415" s="12">
        <f t="shared" si="6"/>
        <v>1.12876712328767</v>
      </c>
      <c r="C415" s="12">
        <f>EXP(-r_free*B415)</f>
        <v>0.966703920762327</v>
      </c>
    </row>
    <row r="416" spans="1:3">
      <c r="A416" s="4">
        <v>413</v>
      </c>
      <c r="B416" s="6">
        <f t="shared" si="6"/>
        <v>1.13150684931507</v>
      </c>
      <c r="C416" s="6">
        <f>EXP(-r_free*B416)</f>
        <v>0.966624468910741</v>
      </c>
    </row>
    <row r="417" spans="1:3">
      <c r="A417" s="10">
        <v>414</v>
      </c>
      <c r="B417" s="12">
        <f t="shared" si="6"/>
        <v>1.13424657534247</v>
      </c>
      <c r="C417" s="12">
        <f>EXP(-r_free*B417)</f>
        <v>0.966545023589176</v>
      </c>
    </row>
    <row r="418" spans="1:3">
      <c r="A418" s="4">
        <v>415</v>
      </c>
      <c r="B418" s="6">
        <f t="shared" si="6"/>
        <v>1.13698630136986</v>
      </c>
      <c r="C418" s="6">
        <f>EXP(-r_free*B418)</f>
        <v>0.966465584797096</v>
      </c>
    </row>
    <row r="419" spans="1:3">
      <c r="A419" s="10">
        <v>416</v>
      </c>
      <c r="B419" s="12">
        <f t="shared" si="6"/>
        <v>1.13972602739726</v>
      </c>
      <c r="C419" s="12">
        <f>EXP(-r_free*B419)</f>
        <v>0.966386152533962</v>
      </c>
    </row>
    <row r="420" spans="1:3">
      <c r="A420" s="4">
        <v>417</v>
      </c>
      <c r="B420" s="6">
        <f t="shared" si="6"/>
        <v>1.14246575342466</v>
      </c>
      <c r="C420" s="6">
        <f>EXP(-r_free*B420)</f>
        <v>0.96630672679924</v>
      </c>
    </row>
    <row r="421" spans="1:3">
      <c r="A421" s="10">
        <v>418</v>
      </c>
      <c r="B421" s="12">
        <f t="shared" si="6"/>
        <v>1.14520547945205</v>
      </c>
      <c r="C421" s="12">
        <f>EXP(-r_free*B421)</f>
        <v>0.966227307592392</v>
      </c>
    </row>
    <row r="422" spans="1:3">
      <c r="A422" s="4">
        <v>419</v>
      </c>
      <c r="B422" s="6">
        <f t="shared" si="6"/>
        <v>1.14794520547945</v>
      </c>
      <c r="C422" s="6">
        <f>EXP(-r_free*B422)</f>
        <v>0.966147894912882</v>
      </c>
    </row>
    <row r="423" spans="1:3">
      <c r="A423" s="10">
        <v>420</v>
      </c>
      <c r="B423" s="12">
        <f t="shared" si="6"/>
        <v>1.15068493150685</v>
      </c>
      <c r="C423" s="12">
        <f>EXP(-r_free*B423)</f>
        <v>0.966068488760173</v>
      </c>
    </row>
    <row r="424" spans="1:3">
      <c r="A424" s="4">
        <v>421</v>
      </c>
      <c r="B424" s="6">
        <f t="shared" si="6"/>
        <v>1.15342465753425</v>
      </c>
      <c r="C424" s="6">
        <f>EXP(-r_free*B424)</f>
        <v>0.965989089133728</v>
      </c>
    </row>
    <row r="425" spans="1:3">
      <c r="A425" s="10">
        <v>422</v>
      </c>
      <c r="B425" s="12">
        <f t="shared" si="6"/>
        <v>1.15616438356164</v>
      </c>
      <c r="C425" s="12">
        <f>EXP(-r_free*B425)</f>
        <v>0.965909696033013</v>
      </c>
    </row>
    <row r="426" spans="1:3">
      <c r="A426" s="4">
        <v>423</v>
      </c>
      <c r="B426" s="6">
        <f t="shared" si="6"/>
        <v>1.15890410958904</v>
      </c>
      <c r="C426" s="6">
        <f>EXP(-r_free*B426)</f>
        <v>0.96583030945749</v>
      </c>
    </row>
    <row r="427" spans="1:3">
      <c r="A427" s="10">
        <v>424</v>
      </c>
      <c r="B427" s="12">
        <f t="shared" si="6"/>
        <v>1.16164383561644</v>
      </c>
      <c r="C427" s="12">
        <f>EXP(-r_free*B427)</f>
        <v>0.965750929406622</v>
      </c>
    </row>
    <row r="428" spans="1:3">
      <c r="A428" s="4">
        <v>425</v>
      </c>
      <c r="B428" s="6">
        <f t="shared" si="6"/>
        <v>1.16438356164384</v>
      </c>
      <c r="C428" s="6">
        <f>EXP(-r_free*B428)</f>
        <v>0.965671555879874</v>
      </c>
    </row>
    <row r="429" spans="1:3">
      <c r="A429" s="10">
        <v>426</v>
      </c>
      <c r="B429" s="12">
        <f t="shared" si="6"/>
        <v>1.16712328767123</v>
      </c>
      <c r="C429" s="12">
        <f>EXP(-r_free*B429)</f>
        <v>0.96559218887671</v>
      </c>
    </row>
    <row r="430" spans="1:3">
      <c r="A430" s="4">
        <v>427</v>
      </c>
      <c r="B430" s="6">
        <f t="shared" si="6"/>
        <v>1.16986301369863</v>
      </c>
      <c r="C430" s="6">
        <f>EXP(-r_free*B430)</f>
        <v>0.965512828396592</v>
      </c>
    </row>
    <row r="431" spans="1:3">
      <c r="A431" s="10">
        <v>428</v>
      </c>
      <c r="B431" s="12">
        <f t="shared" si="6"/>
        <v>1.17260273972603</v>
      </c>
      <c r="C431" s="12">
        <f>EXP(-r_free*B431)</f>
        <v>0.965433474438986</v>
      </c>
    </row>
    <row r="432" spans="1:3">
      <c r="A432" s="4">
        <v>429</v>
      </c>
      <c r="B432" s="6">
        <f t="shared" si="6"/>
        <v>1.17534246575342</v>
      </c>
      <c r="C432" s="6">
        <f>EXP(-r_free*B432)</f>
        <v>0.965354127003355</v>
      </c>
    </row>
    <row r="433" spans="1:3">
      <c r="A433" s="10">
        <v>430</v>
      </c>
      <c r="B433" s="12">
        <f t="shared" si="6"/>
        <v>1.17808219178082</v>
      </c>
      <c r="C433" s="12">
        <f>EXP(-r_free*B433)</f>
        <v>0.965274786089163</v>
      </c>
    </row>
    <row r="434" spans="1:3">
      <c r="A434" s="4">
        <v>431</v>
      </c>
      <c r="B434" s="6">
        <f t="shared" si="6"/>
        <v>1.18082191780822</v>
      </c>
      <c r="C434" s="6">
        <f>EXP(-r_free*B434)</f>
        <v>0.965195451695874</v>
      </c>
    </row>
    <row r="435" spans="1:3">
      <c r="A435" s="10">
        <v>432</v>
      </c>
      <c r="B435" s="12">
        <f t="shared" si="6"/>
        <v>1.18356164383562</v>
      </c>
      <c r="C435" s="12">
        <f>EXP(-r_free*B435)</f>
        <v>0.965116123822952</v>
      </c>
    </row>
    <row r="436" spans="1:3">
      <c r="A436" s="4">
        <v>433</v>
      </c>
      <c r="B436" s="6">
        <f t="shared" si="6"/>
        <v>1.18630136986301</v>
      </c>
      <c r="C436" s="6">
        <f>EXP(-r_free*B436)</f>
        <v>0.965036802469862</v>
      </c>
    </row>
    <row r="437" spans="1:3">
      <c r="A437" s="10">
        <v>434</v>
      </c>
      <c r="B437" s="12">
        <f t="shared" si="6"/>
        <v>1.18904109589041</v>
      </c>
      <c r="C437" s="12">
        <f>EXP(-r_free*B437)</f>
        <v>0.964957487636066</v>
      </c>
    </row>
    <row r="438" spans="1:3">
      <c r="A438" s="4">
        <v>435</v>
      </c>
      <c r="B438" s="6">
        <f t="shared" si="6"/>
        <v>1.19178082191781</v>
      </c>
      <c r="C438" s="6">
        <f>EXP(-r_free*B438)</f>
        <v>0.964878179321031</v>
      </c>
    </row>
    <row r="439" spans="1:3">
      <c r="A439" s="10">
        <v>436</v>
      </c>
      <c r="B439" s="12">
        <f t="shared" si="6"/>
        <v>1.19452054794521</v>
      </c>
      <c r="C439" s="12">
        <f>EXP(-r_free*B439)</f>
        <v>0.964798877524219</v>
      </c>
    </row>
    <row r="440" spans="1:3">
      <c r="A440" s="4">
        <v>437</v>
      </c>
      <c r="B440" s="6">
        <f t="shared" si="6"/>
        <v>1.1972602739726</v>
      </c>
      <c r="C440" s="6">
        <f>EXP(-r_free*B440)</f>
        <v>0.964719582245095</v>
      </c>
    </row>
    <row r="441" spans="1:3">
      <c r="A441" s="10">
        <v>438</v>
      </c>
      <c r="B441" s="12">
        <f t="shared" si="6"/>
        <v>1.2</v>
      </c>
      <c r="C441" s="12">
        <f>EXP(-r_free*B441)</f>
        <v>0.964640293483123</v>
      </c>
    </row>
    <row r="442" spans="1:3">
      <c r="A442" s="4">
        <v>439</v>
      </c>
      <c r="B442" s="6">
        <f t="shared" si="6"/>
        <v>1.2027397260274</v>
      </c>
      <c r="C442" s="6">
        <f>EXP(-r_free*B442)</f>
        <v>0.964561011237768</v>
      </c>
    </row>
    <row r="443" spans="1:3">
      <c r="A443" s="10">
        <v>440</v>
      </c>
      <c r="B443" s="12">
        <f t="shared" si="6"/>
        <v>1.20547945205479</v>
      </c>
      <c r="C443" s="12">
        <f>EXP(-r_free*B443)</f>
        <v>0.964481735508494</v>
      </c>
    </row>
    <row r="444" spans="1:3">
      <c r="A444" s="4">
        <v>441</v>
      </c>
      <c r="B444" s="6">
        <f t="shared" si="6"/>
        <v>1.20821917808219</v>
      </c>
      <c r="C444" s="6">
        <f>EXP(-r_free*B444)</f>
        <v>0.964402466294766</v>
      </c>
    </row>
    <row r="445" spans="1:3">
      <c r="A445" s="10">
        <v>442</v>
      </c>
      <c r="B445" s="12">
        <f t="shared" si="6"/>
        <v>1.21095890410959</v>
      </c>
      <c r="C445" s="12">
        <f>EXP(-r_free*B445)</f>
        <v>0.964323203596048</v>
      </c>
    </row>
    <row r="446" spans="1:3">
      <c r="A446" s="4">
        <v>443</v>
      </c>
      <c r="B446" s="6">
        <f t="shared" si="6"/>
        <v>1.21369863013699</v>
      </c>
      <c r="C446" s="6">
        <f>EXP(-r_free*B446)</f>
        <v>0.964243947411805</v>
      </c>
    </row>
    <row r="447" spans="1:3">
      <c r="A447" s="10">
        <v>444</v>
      </c>
      <c r="B447" s="12">
        <f t="shared" si="6"/>
        <v>1.21643835616438</v>
      </c>
      <c r="C447" s="12">
        <f>EXP(-r_free*B447)</f>
        <v>0.964164697741501</v>
      </c>
    </row>
    <row r="448" spans="1:3">
      <c r="A448" s="4">
        <v>445</v>
      </c>
      <c r="B448" s="6">
        <f t="shared" si="6"/>
        <v>1.21917808219178</v>
      </c>
      <c r="C448" s="6">
        <f>EXP(-r_free*B448)</f>
        <v>0.9640854545846</v>
      </c>
    </row>
    <row r="449" spans="1:4">
      <c r="A449" s="10">
        <v>446</v>
      </c>
      <c r="B449" s="12">
        <f t="shared" si="6"/>
        <v>1.22191780821918</v>
      </c>
      <c r="C449" s="12">
        <f>EXP(-r_free*B449)</f>
        <v>0.964006217940569</v>
      </c>
    </row>
    <row r="450" spans="1:4">
      <c r="A450" s="4">
        <v>447</v>
      </c>
      <c r="B450" s="6">
        <f t="shared" si="6"/>
        <v>1.22465753424658</v>
      </c>
      <c r="C450" s="6">
        <f>EXP(-r_free*B450)</f>
        <v>0.96392698780887</v>
      </c>
    </row>
    <row r="451" spans="1:4">
      <c r="A451" s="10">
        <v>448</v>
      </c>
      <c r="B451" s="12">
        <f t="shared" ref="B451:B514" si="7">A451/365</f>
        <v>1.22739726027397</v>
      </c>
      <c r="C451" s="12">
        <f>EXP(-r_free*B451)</f>
        <v>0.96384776418897</v>
      </c>
    </row>
    <row r="452" spans="1:4">
      <c r="A452" s="4">
        <v>449</v>
      </c>
      <c r="B452" s="6">
        <f t="shared" si="7"/>
        <v>1.23013698630137</v>
      </c>
      <c r="C452" s="6">
        <f>EXP(-r_free*B452)</f>
        <v>0.963768547080332</v>
      </c>
    </row>
    <row r="453" spans="1:4">
      <c r="A453" s="10">
        <v>450</v>
      </c>
      <c r="B453" s="12">
        <f t="shared" si="7"/>
        <v>1.23287671232877</v>
      </c>
      <c r="C453" s="12">
        <f>EXP(-r_free*B453)</f>
        <v>0.963689336482422</v>
      </c>
    </row>
    <row r="454" spans="1:4">
      <c r="A454" s="4">
        <v>451</v>
      </c>
      <c r="B454" s="6">
        <f t="shared" si="7"/>
        <v>1.23561643835616</v>
      </c>
      <c r="C454" s="6">
        <f>EXP(-r_free*B454)</f>
        <v>0.963610132394704</v>
      </c>
    </row>
    <row r="455" spans="1:4">
      <c r="A455" s="10">
        <v>452</v>
      </c>
      <c r="B455" s="12">
        <f t="shared" si="7"/>
        <v>1.23835616438356</v>
      </c>
      <c r="C455" s="12">
        <f>EXP(-r_free*B455)</f>
        <v>0.963530934816644</v>
      </c>
    </row>
    <row r="456" spans="1:4">
      <c r="A456" s="4">
        <v>453</v>
      </c>
      <c r="B456" s="6">
        <f t="shared" si="7"/>
        <v>1.24109589041096</v>
      </c>
      <c r="C456" s="6">
        <f>EXP(-r_free*B456)</f>
        <v>0.963451743747707</v>
      </c>
    </row>
    <row r="457" spans="1:4">
      <c r="A457" s="10">
        <v>454</v>
      </c>
      <c r="B457" s="12">
        <f t="shared" si="7"/>
        <v>1.24383561643836</v>
      </c>
      <c r="C457" s="12">
        <f>EXP(-r_free*B457)</f>
        <v>0.963372559187357</v>
      </c>
    </row>
    <row r="458" spans="1:4">
      <c r="A458" s="4">
        <v>455</v>
      </c>
      <c r="B458" s="6">
        <f t="shared" si="7"/>
        <v>1.24657534246575</v>
      </c>
      <c r="C458" s="6">
        <f>EXP(-r_free*B458)</f>
        <v>0.963293381135059</v>
      </c>
    </row>
    <row r="459" spans="1:4">
      <c r="A459" s="10">
        <v>456</v>
      </c>
      <c r="B459" s="12">
        <f t="shared" si="7"/>
        <v>1.24931506849315</v>
      </c>
      <c r="C459" s="12">
        <f>EXP(-r_free*B459)</f>
        <v>0.96321420959028</v>
      </c>
      <c r="D459" s="43" t="s">
        <v>39</v>
      </c>
    </row>
    <row r="460" spans="1:4">
      <c r="A460" s="4">
        <v>457</v>
      </c>
      <c r="B460" s="6">
        <f t="shared" si="7"/>
        <v>1.25205479452055</v>
      </c>
      <c r="C460" s="6">
        <f>EXP(-r_free*B460)</f>
        <v>0.963135044552483</v>
      </c>
    </row>
    <row r="461" spans="1:4">
      <c r="A461" s="10">
        <v>458</v>
      </c>
      <c r="B461" s="12">
        <f t="shared" si="7"/>
        <v>1.25479452054795</v>
      </c>
      <c r="C461" s="12">
        <f>EXP(-r_free*B461)</f>
        <v>0.963055886021134</v>
      </c>
    </row>
    <row r="462" spans="1:4">
      <c r="A462" s="4">
        <v>459</v>
      </c>
      <c r="B462" s="6">
        <f t="shared" si="7"/>
        <v>1.25753424657534</v>
      </c>
      <c r="C462" s="6">
        <f>EXP(-r_free*B462)</f>
        <v>0.962976733995698</v>
      </c>
    </row>
    <row r="463" spans="1:4">
      <c r="A463" s="10">
        <v>460</v>
      </c>
      <c r="B463" s="12">
        <f t="shared" si="7"/>
        <v>1.26027397260274</v>
      </c>
      <c r="C463" s="12">
        <f>EXP(-r_free*B463)</f>
        <v>0.962897588475641</v>
      </c>
    </row>
    <row r="464" spans="1:4">
      <c r="A464" s="4">
        <v>461</v>
      </c>
      <c r="B464" s="6">
        <f t="shared" si="7"/>
        <v>1.26301369863014</v>
      </c>
      <c r="C464" s="6">
        <f>EXP(-r_free*B464)</f>
        <v>0.962818449460428</v>
      </c>
    </row>
    <row r="465" spans="1:3">
      <c r="A465" s="10">
        <v>462</v>
      </c>
      <c r="B465" s="12">
        <f t="shared" si="7"/>
        <v>1.26575342465753</v>
      </c>
      <c r="C465" s="12">
        <f>EXP(-r_free*B465)</f>
        <v>0.962739316949524</v>
      </c>
    </row>
    <row r="466" spans="1:3">
      <c r="A466" s="4">
        <v>463</v>
      </c>
      <c r="B466" s="6">
        <f t="shared" si="7"/>
        <v>1.26849315068493</v>
      </c>
      <c r="C466" s="6">
        <f>EXP(-r_free*B466)</f>
        <v>0.962660190942395</v>
      </c>
    </row>
    <row r="467" spans="1:3">
      <c r="A467" s="10">
        <v>464</v>
      </c>
      <c r="B467" s="12">
        <f t="shared" si="7"/>
        <v>1.27123287671233</v>
      </c>
      <c r="C467" s="12">
        <f>EXP(-r_free*B467)</f>
        <v>0.962581071438506</v>
      </c>
    </row>
    <row r="468" spans="1:3">
      <c r="A468" s="4">
        <v>465</v>
      </c>
      <c r="B468" s="6">
        <f t="shared" si="7"/>
        <v>1.27397260273973</v>
      </c>
      <c r="C468" s="6">
        <f>EXP(-r_free*B468)</f>
        <v>0.962501958437323</v>
      </c>
    </row>
    <row r="469" spans="1:3">
      <c r="A469" s="10">
        <v>466</v>
      </c>
      <c r="B469" s="12">
        <f t="shared" si="7"/>
        <v>1.27671232876712</v>
      </c>
      <c r="C469" s="12">
        <f>EXP(-r_free*B469)</f>
        <v>0.962422851938311</v>
      </c>
    </row>
    <row r="470" spans="1:3">
      <c r="A470" s="4">
        <v>467</v>
      </c>
      <c r="B470" s="6">
        <f t="shared" si="7"/>
        <v>1.27945205479452</v>
      </c>
      <c r="C470" s="6">
        <f>EXP(-r_free*B470)</f>
        <v>0.962343751940936</v>
      </c>
    </row>
    <row r="471" spans="1:3">
      <c r="A471" s="10">
        <v>468</v>
      </c>
      <c r="B471" s="12">
        <f t="shared" si="7"/>
        <v>1.28219178082192</v>
      </c>
      <c r="C471" s="12">
        <f>EXP(-r_free*B471)</f>
        <v>0.962264658444663</v>
      </c>
    </row>
    <row r="472" spans="1:3">
      <c r="A472" s="4">
        <v>469</v>
      </c>
      <c r="B472" s="6">
        <f t="shared" si="7"/>
        <v>1.28493150684932</v>
      </c>
      <c r="C472" s="6">
        <f>EXP(-r_free*B472)</f>
        <v>0.962185571448959</v>
      </c>
    </row>
    <row r="473" spans="1:3">
      <c r="A473" s="10">
        <v>470</v>
      </c>
      <c r="B473" s="12">
        <f t="shared" si="7"/>
        <v>1.28767123287671</v>
      </c>
      <c r="C473" s="12">
        <f>EXP(-r_free*B473)</f>
        <v>0.962106490953288</v>
      </c>
    </row>
    <row r="474" spans="1:3">
      <c r="A474" s="4">
        <v>471</v>
      </c>
      <c r="B474" s="6">
        <f t="shared" si="7"/>
        <v>1.29041095890411</v>
      </c>
      <c r="C474" s="6">
        <f>EXP(-r_free*B474)</f>
        <v>0.962027416957117</v>
      </c>
    </row>
    <row r="475" spans="1:3">
      <c r="A475" s="10">
        <v>472</v>
      </c>
      <c r="B475" s="12">
        <f t="shared" si="7"/>
        <v>1.29315068493151</v>
      </c>
      <c r="C475" s="12">
        <f>EXP(-r_free*B475)</f>
        <v>0.961948349459912</v>
      </c>
    </row>
    <row r="476" spans="1:3">
      <c r="A476" s="4">
        <v>473</v>
      </c>
      <c r="B476" s="6">
        <f t="shared" si="7"/>
        <v>1.2958904109589</v>
      </c>
      <c r="C476" s="6">
        <f>EXP(-r_free*B476)</f>
        <v>0.961869288461138</v>
      </c>
    </row>
    <row r="477" spans="1:3">
      <c r="A477" s="10">
        <v>474</v>
      </c>
      <c r="B477" s="12">
        <f t="shared" si="7"/>
        <v>1.2986301369863</v>
      </c>
      <c r="C477" s="12">
        <f>EXP(-r_free*B477)</f>
        <v>0.961790233960261</v>
      </c>
    </row>
    <row r="478" spans="1:3">
      <c r="A478" s="4">
        <v>475</v>
      </c>
      <c r="B478" s="6">
        <f t="shared" si="7"/>
        <v>1.3013698630137</v>
      </c>
      <c r="C478" s="6">
        <f>EXP(-r_free*B478)</f>
        <v>0.961711185956747</v>
      </c>
    </row>
    <row r="479" spans="1:3">
      <c r="A479" s="10">
        <v>476</v>
      </c>
      <c r="B479" s="12">
        <f t="shared" si="7"/>
        <v>1.3041095890411</v>
      </c>
      <c r="C479" s="12">
        <f>EXP(-r_free*B479)</f>
        <v>0.961632144450062</v>
      </c>
    </row>
    <row r="480" spans="1:3">
      <c r="A480" s="4">
        <v>477</v>
      </c>
      <c r="B480" s="6">
        <f t="shared" si="7"/>
        <v>1.30684931506849</v>
      </c>
      <c r="C480" s="6">
        <f>EXP(-r_free*B480)</f>
        <v>0.961553109439673</v>
      </c>
    </row>
    <row r="481" spans="1:3">
      <c r="A481" s="10">
        <v>478</v>
      </c>
      <c r="B481" s="12">
        <f t="shared" si="7"/>
        <v>1.30958904109589</v>
      </c>
      <c r="C481" s="12">
        <f>EXP(-r_free*B481)</f>
        <v>0.961474080925045</v>
      </c>
    </row>
    <row r="482" spans="1:3">
      <c r="A482" s="4">
        <v>479</v>
      </c>
      <c r="B482" s="6">
        <f t="shared" si="7"/>
        <v>1.31232876712329</v>
      </c>
      <c r="C482" s="6">
        <f>EXP(-r_free*B482)</f>
        <v>0.961395058905644</v>
      </c>
    </row>
    <row r="483" spans="1:3">
      <c r="A483" s="10">
        <v>480</v>
      </c>
      <c r="B483" s="12">
        <f t="shared" si="7"/>
        <v>1.31506849315068</v>
      </c>
      <c r="C483" s="12">
        <f>EXP(-r_free*B483)</f>
        <v>0.961316043380937</v>
      </c>
    </row>
    <row r="484" spans="1:3">
      <c r="A484" s="4">
        <v>481</v>
      </c>
      <c r="B484" s="6">
        <f t="shared" si="7"/>
        <v>1.31780821917808</v>
      </c>
      <c r="C484" s="6">
        <f>EXP(-r_free*B484)</f>
        <v>0.96123703435039</v>
      </c>
    </row>
    <row r="485" spans="1:3">
      <c r="A485" s="10">
        <v>482</v>
      </c>
      <c r="B485" s="12">
        <f t="shared" si="7"/>
        <v>1.32054794520548</v>
      </c>
      <c r="C485" s="12">
        <f>EXP(-r_free*B485)</f>
        <v>0.961158031813469</v>
      </c>
    </row>
    <row r="486" spans="1:3">
      <c r="A486" s="4">
        <v>483</v>
      </c>
      <c r="B486" s="6">
        <f t="shared" si="7"/>
        <v>1.32328767123288</v>
      </c>
      <c r="C486" s="6">
        <f>EXP(-r_free*B486)</f>
        <v>0.96107903576964</v>
      </c>
    </row>
    <row r="487" spans="1:3">
      <c r="A487" s="10">
        <v>484</v>
      </c>
      <c r="B487" s="12">
        <f t="shared" si="7"/>
        <v>1.32602739726027</v>
      </c>
      <c r="C487" s="12">
        <f>EXP(-r_free*B487)</f>
        <v>0.96100004621837</v>
      </c>
    </row>
    <row r="488" spans="1:3">
      <c r="A488" s="4">
        <v>485</v>
      </c>
      <c r="B488" s="6">
        <f t="shared" si="7"/>
        <v>1.32876712328767</v>
      </c>
      <c r="C488" s="6">
        <f>EXP(-r_free*B488)</f>
        <v>0.960921063159125</v>
      </c>
    </row>
    <row r="489" spans="1:3">
      <c r="A489" s="10">
        <v>486</v>
      </c>
      <c r="B489" s="12">
        <f t="shared" si="7"/>
        <v>1.33150684931507</v>
      </c>
      <c r="C489" s="12">
        <f>EXP(-r_free*B489)</f>
        <v>0.960842086591371</v>
      </c>
    </row>
    <row r="490" spans="1:3">
      <c r="A490" s="4">
        <v>487</v>
      </c>
      <c r="B490" s="6">
        <f t="shared" si="7"/>
        <v>1.33424657534247</v>
      </c>
      <c r="C490" s="6">
        <f>EXP(-r_free*B490)</f>
        <v>0.960763116514576</v>
      </c>
    </row>
    <row r="491" spans="1:3">
      <c r="A491" s="10">
        <v>488</v>
      </c>
      <c r="B491" s="12">
        <f t="shared" si="7"/>
        <v>1.33698630136986</v>
      </c>
      <c r="C491" s="12">
        <f>EXP(-r_free*B491)</f>
        <v>0.960684152928205</v>
      </c>
    </row>
    <row r="492" spans="1:3">
      <c r="A492" s="4">
        <v>489</v>
      </c>
      <c r="B492" s="6">
        <f t="shared" si="7"/>
        <v>1.33972602739726</v>
      </c>
      <c r="C492" s="6">
        <f>EXP(-r_free*B492)</f>
        <v>0.960605195831725</v>
      </c>
    </row>
    <row r="493" spans="1:3">
      <c r="A493" s="10">
        <v>490</v>
      </c>
      <c r="B493" s="12">
        <f t="shared" si="7"/>
        <v>1.34246575342466</v>
      </c>
      <c r="C493" s="12">
        <f>EXP(-r_free*B493)</f>
        <v>0.960526245224603</v>
      </c>
    </row>
    <row r="494" spans="1:3">
      <c r="A494" s="4">
        <v>491</v>
      </c>
      <c r="B494" s="6">
        <f t="shared" si="7"/>
        <v>1.34520547945205</v>
      </c>
      <c r="C494" s="6">
        <f>EXP(-r_free*B494)</f>
        <v>0.960447301106305</v>
      </c>
    </row>
    <row r="495" spans="1:3">
      <c r="A495" s="10">
        <v>492</v>
      </c>
      <c r="B495" s="12">
        <f t="shared" si="7"/>
        <v>1.34794520547945</v>
      </c>
      <c r="C495" s="12">
        <f>EXP(-r_free*B495)</f>
        <v>0.960368363476298</v>
      </c>
    </row>
    <row r="496" spans="1:3">
      <c r="A496" s="4">
        <v>493</v>
      </c>
      <c r="B496" s="6">
        <f t="shared" si="7"/>
        <v>1.35068493150685</v>
      </c>
      <c r="C496" s="6">
        <f>EXP(-r_free*B496)</f>
        <v>0.960289432334049</v>
      </c>
    </row>
    <row r="497" spans="1:3">
      <c r="A497" s="10">
        <v>494</v>
      </c>
      <c r="B497" s="12">
        <f t="shared" si="7"/>
        <v>1.35342465753425</v>
      </c>
      <c r="C497" s="12">
        <f>EXP(-r_free*B497)</f>
        <v>0.960210507679024</v>
      </c>
    </row>
    <row r="498" spans="1:3">
      <c r="A498" s="4">
        <v>495</v>
      </c>
      <c r="B498" s="6">
        <f t="shared" si="7"/>
        <v>1.35616438356164</v>
      </c>
      <c r="C498" s="6">
        <f>EXP(-r_free*B498)</f>
        <v>0.960131589510691</v>
      </c>
    </row>
    <row r="499" spans="1:3">
      <c r="A499" s="10">
        <v>496</v>
      </c>
      <c r="B499" s="12">
        <f t="shared" si="7"/>
        <v>1.35890410958904</v>
      </c>
      <c r="C499" s="12">
        <f>EXP(-r_free*B499)</f>
        <v>0.960052677828516</v>
      </c>
    </row>
    <row r="500" spans="1:3">
      <c r="A500" s="4">
        <v>497</v>
      </c>
      <c r="B500" s="6">
        <f t="shared" si="7"/>
        <v>1.36164383561644</v>
      </c>
      <c r="C500" s="6">
        <f>EXP(-r_free*B500)</f>
        <v>0.959973772631966</v>
      </c>
    </row>
    <row r="501" spans="1:3">
      <c r="A501" s="10">
        <v>498</v>
      </c>
      <c r="B501" s="12">
        <f t="shared" si="7"/>
        <v>1.36438356164384</v>
      </c>
      <c r="C501" s="12">
        <f>EXP(-r_free*B501)</f>
        <v>0.959894873920508</v>
      </c>
    </row>
    <row r="502" spans="1:3">
      <c r="A502" s="4">
        <v>499</v>
      </c>
      <c r="B502" s="6">
        <f t="shared" si="7"/>
        <v>1.36712328767123</v>
      </c>
      <c r="C502" s="6">
        <f>EXP(-r_free*B502)</f>
        <v>0.95981598169361</v>
      </c>
    </row>
    <row r="503" spans="1:3">
      <c r="A503" s="10">
        <v>500</v>
      </c>
      <c r="B503" s="12">
        <f t="shared" si="7"/>
        <v>1.36986301369863</v>
      </c>
      <c r="C503" s="12">
        <f>EXP(-r_free*B503)</f>
        <v>0.959737095950737</v>
      </c>
    </row>
    <row r="504" spans="1:3">
      <c r="A504" s="4">
        <v>501</v>
      </c>
      <c r="B504" s="6">
        <f t="shared" si="7"/>
        <v>1.37260273972603</v>
      </c>
      <c r="C504" s="6">
        <f>EXP(-r_free*B504)</f>
        <v>0.959658216691358</v>
      </c>
    </row>
    <row r="505" spans="1:3">
      <c r="A505" s="10">
        <v>502</v>
      </c>
      <c r="B505" s="12">
        <f t="shared" si="7"/>
        <v>1.37534246575342</v>
      </c>
      <c r="C505" s="12">
        <f>EXP(-r_free*B505)</f>
        <v>0.959579343914939</v>
      </c>
    </row>
    <row r="506" spans="1:3">
      <c r="A506" s="4">
        <v>503</v>
      </c>
      <c r="B506" s="6">
        <f t="shared" si="7"/>
        <v>1.37808219178082</v>
      </c>
      <c r="C506" s="6">
        <f>EXP(-r_free*B506)</f>
        <v>0.959500477620948</v>
      </c>
    </row>
    <row r="507" spans="1:3">
      <c r="A507" s="10">
        <v>504</v>
      </c>
      <c r="B507" s="12">
        <f t="shared" si="7"/>
        <v>1.38082191780822</v>
      </c>
      <c r="C507" s="12">
        <f>EXP(-r_free*B507)</f>
        <v>0.959421617808851</v>
      </c>
    </row>
    <row r="508" spans="1:3">
      <c r="A508" s="4">
        <v>505</v>
      </c>
      <c r="B508" s="6">
        <f t="shared" si="7"/>
        <v>1.38356164383562</v>
      </c>
      <c r="C508" s="6">
        <f>EXP(-r_free*B508)</f>
        <v>0.959342764478117</v>
      </c>
    </row>
    <row r="509" spans="1:3">
      <c r="A509" s="10">
        <v>506</v>
      </c>
      <c r="B509" s="12">
        <f t="shared" si="7"/>
        <v>1.38630136986301</v>
      </c>
      <c r="C509" s="12">
        <f>EXP(-r_free*B509)</f>
        <v>0.959263917628212</v>
      </c>
    </row>
    <row r="510" spans="1:3">
      <c r="A510" s="4">
        <v>507</v>
      </c>
      <c r="B510" s="6">
        <f t="shared" si="7"/>
        <v>1.38904109589041</v>
      </c>
      <c r="C510" s="6">
        <f>EXP(-r_free*B510)</f>
        <v>0.959185077258603</v>
      </c>
    </row>
    <row r="511" spans="1:3">
      <c r="A511" s="10">
        <v>508</v>
      </c>
      <c r="B511" s="12">
        <f t="shared" si="7"/>
        <v>1.39178082191781</v>
      </c>
      <c r="C511" s="12">
        <f>EXP(-r_free*B511)</f>
        <v>0.959106243368759</v>
      </c>
    </row>
    <row r="512" spans="1:3">
      <c r="A512" s="4">
        <v>509</v>
      </c>
      <c r="B512" s="6">
        <f t="shared" si="7"/>
        <v>1.39452054794521</v>
      </c>
      <c r="C512" s="6">
        <f>EXP(-r_free*B512)</f>
        <v>0.959027415958146</v>
      </c>
    </row>
    <row r="513" spans="1:3">
      <c r="A513" s="10">
        <v>510</v>
      </c>
      <c r="B513" s="12">
        <f t="shared" si="7"/>
        <v>1.3972602739726</v>
      </c>
      <c r="C513" s="12">
        <f>EXP(-r_free*B513)</f>
        <v>0.958948595026232</v>
      </c>
    </row>
    <row r="514" spans="1:3">
      <c r="A514" s="4">
        <v>511</v>
      </c>
      <c r="B514" s="6">
        <f t="shared" si="7"/>
        <v>1.4</v>
      </c>
      <c r="C514" s="6">
        <f>EXP(-r_free*B514)</f>
        <v>0.958869780572485</v>
      </c>
    </row>
    <row r="515" spans="1:3">
      <c r="A515" s="10">
        <v>512</v>
      </c>
      <c r="B515" s="12">
        <f t="shared" ref="B515:B578" si="8">A515/365</f>
        <v>1.4027397260274</v>
      </c>
      <c r="C515" s="12">
        <f>EXP(-r_free*B515)</f>
        <v>0.958790972596371</v>
      </c>
    </row>
    <row r="516" spans="1:3">
      <c r="A516" s="4">
        <v>513</v>
      </c>
      <c r="B516" s="6">
        <f t="shared" si="8"/>
        <v>1.40547945205479</v>
      </c>
      <c r="C516" s="6">
        <f>EXP(-r_free*B516)</f>
        <v>0.95871217109736</v>
      </c>
    </row>
    <row r="517" spans="1:3">
      <c r="A517" s="10">
        <v>514</v>
      </c>
      <c r="B517" s="12">
        <f t="shared" si="8"/>
        <v>1.40821917808219</v>
      </c>
      <c r="C517" s="12">
        <f>EXP(-r_free*B517)</f>
        <v>0.958633376074918</v>
      </c>
    </row>
    <row r="518" spans="1:3">
      <c r="A518" s="4">
        <v>515</v>
      </c>
      <c r="B518" s="6">
        <f t="shared" si="8"/>
        <v>1.41095890410959</v>
      </c>
      <c r="C518" s="6">
        <f>EXP(-r_free*B518)</f>
        <v>0.958554587528513</v>
      </c>
    </row>
    <row r="519" spans="1:3">
      <c r="A519" s="10">
        <v>516</v>
      </c>
      <c r="B519" s="12">
        <f t="shared" si="8"/>
        <v>1.41369863013699</v>
      </c>
      <c r="C519" s="12">
        <f>EXP(-r_free*B519)</f>
        <v>0.958475805457612</v>
      </c>
    </row>
    <row r="520" spans="1:3">
      <c r="A520" s="4">
        <v>517</v>
      </c>
      <c r="B520" s="6">
        <f t="shared" si="8"/>
        <v>1.41643835616438</v>
      </c>
      <c r="C520" s="6">
        <f>EXP(-r_free*B520)</f>
        <v>0.958397029861685</v>
      </c>
    </row>
    <row r="521" spans="1:3">
      <c r="A521" s="10">
        <v>518</v>
      </c>
      <c r="B521" s="12">
        <f t="shared" si="8"/>
        <v>1.41917808219178</v>
      </c>
      <c r="C521" s="12">
        <f>EXP(-r_free*B521)</f>
        <v>0.958318260740197</v>
      </c>
    </row>
    <row r="522" spans="1:3">
      <c r="A522" s="4">
        <v>519</v>
      </c>
      <c r="B522" s="6">
        <f t="shared" si="8"/>
        <v>1.42191780821918</v>
      </c>
      <c r="C522" s="6">
        <f>EXP(-r_free*B522)</f>
        <v>0.958239498092618</v>
      </c>
    </row>
    <row r="523" spans="1:3">
      <c r="A523" s="10">
        <v>520</v>
      </c>
      <c r="B523" s="12">
        <f t="shared" si="8"/>
        <v>1.42465753424658</v>
      </c>
      <c r="C523" s="12">
        <f>EXP(-r_free*B523)</f>
        <v>0.958160741918416</v>
      </c>
    </row>
    <row r="524" spans="1:3">
      <c r="A524" s="4">
        <v>521</v>
      </c>
      <c r="B524" s="6">
        <f t="shared" si="8"/>
        <v>1.42739726027397</v>
      </c>
      <c r="C524" s="6">
        <f>EXP(-r_free*B524)</f>
        <v>0.958081992217057</v>
      </c>
    </row>
    <row r="525" spans="1:3">
      <c r="A525" s="10">
        <v>522</v>
      </c>
      <c r="B525" s="12">
        <f t="shared" si="8"/>
        <v>1.43013698630137</v>
      </c>
      <c r="C525" s="12">
        <f>EXP(-r_free*B525)</f>
        <v>0.958003248988011</v>
      </c>
    </row>
    <row r="526" spans="1:3">
      <c r="A526" s="4">
        <v>523</v>
      </c>
      <c r="B526" s="6">
        <f t="shared" si="8"/>
        <v>1.43287671232877</v>
      </c>
      <c r="C526" s="6">
        <f>EXP(-r_free*B526)</f>
        <v>0.957924512230745</v>
      </c>
    </row>
    <row r="527" spans="1:3">
      <c r="A527" s="10">
        <v>524</v>
      </c>
      <c r="B527" s="12">
        <f t="shared" si="8"/>
        <v>1.43561643835616</v>
      </c>
      <c r="C527" s="12">
        <f>EXP(-r_free*B527)</f>
        <v>0.957845781944727</v>
      </c>
    </row>
    <row r="528" spans="1:3">
      <c r="A528" s="4">
        <v>525</v>
      </c>
      <c r="B528" s="6">
        <f t="shared" si="8"/>
        <v>1.43835616438356</v>
      </c>
      <c r="C528" s="6">
        <f>EXP(-r_free*B528)</f>
        <v>0.957767058129426</v>
      </c>
    </row>
    <row r="529" spans="1:3">
      <c r="A529" s="10">
        <v>526</v>
      </c>
      <c r="B529" s="12">
        <f t="shared" si="8"/>
        <v>1.44109589041096</v>
      </c>
      <c r="C529" s="12">
        <f>EXP(-r_free*B529)</f>
        <v>0.957688340784309</v>
      </c>
    </row>
    <row r="530" spans="1:3">
      <c r="A530" s="4">
        <v>527</v>
      </c>
      <c r="B530" s="6">
        <f t="shared" si="8"/>
        <v>1.44383561643836</v>
      </c>
      <c r="C530" s="6">
        <f>EXP(-r_free*B530)</f>
        <v>0.957609629908846</v>
      </c>
    </row>
    <row r="531" spans="1:3">
      <c r="A531" s="10">
        <v>528</v>
      </c>
      <c r="B531" s="12">
        <f t="shared" si="8"/>
        <v>1.44657534246575</v>
      </c>
      <c r="C531" s="12">
        <f>EXP(-r_free*B531)</f>
        <v>0.957530925502503</v>
      </c>
    </row>
    <row r="532" spans="1:3">
      <c r="A532" s="4">
        <v>529</v>
      </c>
      <c r="B532" s="6">
        <f t="shared" si="8"/>
        <v>1.44931506849315</v>
      </c>
      <c r="C532" s="6">
        <f>EXP(-r_free*B532)</f>
        <v>0.95745222756475</v>
      </c>
    </row>
    <row r="533" spans="1:3">
      <c r="A533" s="10">
        <v>530</v>
      </c>
      <c r="B533" s="12">
        <f t="shared" si="8"/>
        <v>1.45205479452055</v>
      </c>
      <c r="C533" s="12">
        <f>EXP(-r_free*B533)</f>
        <v>0.957373536095055</v>
      </c>
    </row>
    <row r="534" spans="1:3">
      <c r="A534" s="4">
        <v>531</v>
      </c>
      <c r="B534" s="6">
        <f t="shared" si="8"/>
        <v>1.45479452054795</v>
      </c>
      <c r="C534" s="6">
        <f>EXP(-r_free*B534)</f>
        <v>0.957294851092886</v>
      </c>
    </row>
    <row r="535" spans="1:3">
      <c r="A535" s="10">
        <v>532</v>
      </c>
      <c r="B535" s="12">
        <f t="shared" si="8"/>
        <v>1.45753424657534</v>
      </c>
      <c r="C535" s="12">
        <f>EXP(-r_free*B535)</f>
        <v>0.957216172557712</v>
      </c>
    </row>
    <row r="536" spans="1:3">
      <c r="A536" s="4">
        <v>533</v>
      </c>
      <c r="B536" s="6">
        <f t="shared" si="8"/>
        <v>1.46027397260274</v>
      </c>
      <c r="C536" s="6">
        <f>EXP(-r_free*B536)</f>
        <v>0.957137500489001</v>
      </c>
    </row>
    <row r="537" spans="1:3">
      <c r="A537" s="10">
        <v>534</v>
      </c>
      <c r="B537" s="12">
        <f t="shared" si="8"/>
        <v>1.46301369863014</v>
      </c>
      <c r="C537" s="12">
        <f>EXP(-r_free*B537)</f>
        <v>0.957058834886222</v>
      </c>
    </row>
    <row r="538" spans="1:3">
      <c r="A538" s="4">
        <v>535</v>
      </c>
      <c r="B538" s="6">
        <f t="shared" si="8"/>
        <v>1.46575342465753</v>
      </c>
      <c r="C538" s="6">
        <f>EXP(-r_free*B538)</f>
        <v>0.956980175748843</v>
      </c>
    </row>
    <row r="539" spans="1:3">
      <c r="A539" s="10">
        <v>536</v>
      </c>
      <c r="B539" s="12">
        <f t="shared" si="8"/>
        <v>1.46849315068493</v>
      </c>
      <c r="C539" s="12">
        <f>EXP(-r_free*B539)</f>
        <v>0.956901523076332</v>
      </c>
    </row>
    <row r="540" spans="1:3">
      <c r="A540" s="4">
        <v>537</v>
      </c>
      <c r="B540" s="6">
        <f t="shared" si="8"/>
        <v>1.47123287671233</v>
      </c>
      <c r="C540" s="6">
        <f>EXP(-r_free*B540)</f>
        <v>0.95682287686816</v>
      </c>
    </row>
    <row r="541" spans="1:3">
      <c r="A541" s="10">
        <v>538</v>
      </c>
      <c r="B541" s="12">
        <f t="shared" si="8"/>
        <v>1.47397260273973</v>
      </c>
      <c r="C541" s="12">
        <f>EXP(-r_free*B541)</f>
        <v>0.956744237123793</v>
      </c>
    </row>
    <row r="542" spans="1:3">
      <c r="A542" s="4">
        <v>539</v>
      </c>
      <c r="B542" s="6">
        <f t="shared" si="8"/>
        <v>1.47671232876712</v>
      </c>
      <c r="C542" s="6">
        <f>EXP(-r_free*B542)</f>
        <v>0.956665603842702</v>
      </c>
    </row>
    <row r="543" spans="1:3">
      <c r="A543" s="10">
        <v>540</v>
      </c>
      <c r="B543" s="12">
        <f t="shared" si="8"/>
        <v>1.47945205479452</v>
      </c>
      <c r="C543" s="12">
        <f>EXP(-r_free*B543)</f>
        <v>0.956586977024355</v>
      </c>
    </row>
    <row r="544" spans="1:3">
      <c r="A544" s="4">
        <v>541</v>
      </c>
      <c r="B544" s="6">
        <f t="shared" si="8"/>
        <v>1.48219178082192</v>
      </c>
      <c r="C544" s="6">
        <f>EXP(-r_free*B544)</f>
        <v>0.95650835666822</v>
      </c>
    </row>
    <row r="545" spans="1:4">
      <c r="A545" s="10">
        <v>542</v>
      </c>
      <c r="B545" s="12">
        <f t="shared" si="8"/>
        <v>1.48493150684931</v>
      </c>
      <c r="C545" s="12">
        <f>EXP(-r_free*B545)</f>
        <v>0.956429742773766</v>
      </c>
    </row>
    <row r="546" spans="1:4">
      <c r="A546" s="4">
        <v>543</v>
      </c>
      <c r="B546" s="6">
        <f t="shared" si="8"/>
        <v>1.48767123287671</v>
      </c>
      <c r="C546" s="6">
        <f>EXP(-r_free*B546)</f>
        <v>0.956351135340463</v>
      </c>
    </row>
    <row r="547" spans="1:4">
      <c r="A547" s="10">
        <v>544</v>
      </c>
      <c r="B547" s="12">
        <f t="shared" si="8"/>
        <v>1.49041095890411</v>
      </c>
      <c r="C547" s="12">
        <f>EXP(-r_free*B547)</f>
        <v>0.95627253436778</v>
      </c>
    </row>
    <row r="548" spans="1:4">
      <c r="A548" s="4">
        <v>545</v>
      </c>
      <c r="B548" s="6">
        <f t="shared" si="8"/>
        <v>1.49315068493151</v>
      </c>
      <c r="C548" s="6">
        <f>EXP(-r_free*B548)</f>
        <v>0.956193939855185</v>
      </c>
    </row>
    <row r="549" spans="1:4">
      <c r="A549" s="10">
        <v>546</v>
      </c>
      <c r="B549" s="12">
        <f t="shared" si="8"/>
        <v>1.4958904109589</v>
      </c>
      <c r="C549" s="12">
        <f>EXP(-r_free*B549)</f>
        <v>0.956115351802147</v>
      </c>
    </row>
    <row r="550" spans="1:4">
      <c r="A550" s="4">
        <v>547</v>
      </c>
      <c r="B550" s="6">
        <f t="shared" si="8"/>
        <v>1.4986301369863</v>
      </c>
      <c r="C550" s="6">
        <f>EXP(-r_free*B550)</f>
        <v>0.956036770208136</v>
      </c>
      <c r="D550" s="43" t="s">
        <v>40</v>
      </c>
    </row>
    <row r="551" spans="1:4">
      <c r="A551" s="10">
        <v>548</v>
      </c>
      <c r="B551" s="12">
        <f t="shared" si="8"/>
        <v>1.5013698630137</v>
      </c>
      <c r="C551" s="12">
        <f>EXP(-r_free*B551)</f>
        <v>0.955958195072621</v>
      </c>
    </row>
    <row r="552" spans="1:4">
      <c r="A552" s="4">
        <v>549</v>
      </c>
      <c r="B552" s="6">
        <f t="shared" si="8"/>
        <v>1.5041095890411</v>
      </c>
      <c r="C552" s="6">
        <f>EXP(-r_free*B552)</f>
        <v>0.955879626395071</v>
      </c>
    </row>
    <row r="553" spans="1:4">
      <c r="A553" s="10">
        <v>550</v>
      </c>
      <c r="B553" s="12">
        <f t="shared" si="8"/>
        <v>1.50684931506849</v>
      </c>
      <c r="C553" s="12">
        <f>EXP(-r_free*B553)</f>
        <v>0.955801064174955</v>
      </c>
    </row>
    <row r="554" spans="1:4">
      <c r="A554" s="4">
        <v>551</v>
      </c>
      <c r="B554" s="6">
        <f t="shared" si="8"/>
        <v>1.50958904109589</v>
      </c>
      <c r="C554" s="6">
        <f>EXP(-r_free*B554)</f>
        <v>0.955722508411742</v>
      </c>
    </row>
    <row r="555" spans="1:4">
      <c r="A555" s="10">
        <v>552</v>
      </c>
      <c r="B555" s="12">
        <f t="shared" si="8"/>
        <v>1.51232876712329</v>
      </c>
      <c r="C555" s="12">
        <f>EXP(-r_free*B555)</f>
        <v>0.955643959104902</v>
      </c>
    </row>
    <row r="556" spans="1:4">
      <c r="A556" s="4">
        <v>553</v>
      </c>
      <c r="B556" s="6">
        <f t="shared" si="8"/>
        <v>1.51506849315069</v>
      </c>
      <c r="C556" s="6">
        <f>EXP(-r_free*B556)</f>
        <v>0.955565416253904</v>
      </c>
    </row>
    <row r="557" spans="1:4">
      <c r="A557" s="10">
        <v>554</v>
      </c>
      <c r="B557" s="12">
        <f t="shared" si="8"/>
        <v>1.51780821917808</v>
      </c>
      <c r="C557" s="12">
        <f>EXP(-r_free*B557)</f>
        <v>0.955486879858217</v>
      </c>
    </row>
    <row r="558" spans="1:4">
      <c r="A558" s="4">
        <v>555</v>
      </c>
      <c r="B558" s="6">
        <f t="shared" si="8"/>
        <v>1.52054794520548</v>
      </c>
      <c r="C558" s="6">
        <f>EXP(-r_free*B558)</f>
        <v>0.955408349917312</v>
      </c>
    </row>
    <row r="559" spans="1:4">
      <c r="A559" s="10">
        <v>556</v>
      </c>
      <c r="B559" s="12">
        <f t="shared" si="8"/>
        <v>1.52328767123288</v>
      </c>
      <c r="C559" s="12">
        <f>EXP(-r_free*B559)</f>
        <v>0.955329826430657</v>
      </c>
    </row>
    <row r="560" spans="1:4">
      <c r="A560" s="4">
        <v>557</v>
      </c>
      <c r="B560" s="6">
        <f t="shared" si="8"/>
        <v>1.52602739726027</v>
      </c>
      <c r="C560" s="6">
        <f>EXP(-r_free*B560)</f>
        <v>0.955251309397722</v>
      </c>
    </row>
    <row r="561" spans="1:3">
      <c r="A561" s="10">
        <v>558</v>
      </c>
      <c r="B561" s="12">
        <f t="shared" si="8"/>
        <v>1.52876712328767</v>
      </c>
      <c r="C561" s="12">
        <f>EXP(-r_free*B561)</f>
        <v>0.955172798817976</v>
      </c>
    </row>
    <row r="562" spans="1:3">
      <c r="A562" s="4">
        <v>559</v>
      </c>
      <c r="B562" s="6">
        <f t="shared" si="8"/>
        <v>1.53150684931507</v>
      </c>
      <c r="C562" s="6">
        <f>EXP(-r_free*B562)</f>
        <v>0.95509429469089</v>
      </c>
    </row>
    <row r="563" spans="1:3">
      <c r="A563" s="10">
        <v>560</v>
      </c>
      <c r="B563" s="12">
        <f t="shared" si="8"/>
        <v>1.53424657534247</v>
      </c>
      <c r="C563" s="12">
        <f>EXP(-r_free*B563)</f>
        <v>0.955015797015933</v>
      </c>
    </row>
    <row r="564" spans="1:3">
      <c r="A564" s="4">
        <v>561</v>
      </c>
      <c r="B564" s="6">
        <f t="shared" si="8"/>
        <v>1.53698630136986</v>
      </c>
      <c r="C564" s="6">
        <f>EXP(-r_free*B564)</f>
        <v>0.954937305792574</v>
      </c>
    </row>
    <row r="565" spans="1:3">
      <c r="A565" s="10">
        <v>562</v>
      </c>
      <c r="B565" s="12">
        <f t="shared" si="8"/>
        <v>1.53972602739726</v>
      </c>
      <c r="C565" s="12">
        <f>EXP(-r_free*B565)</f>
        <v>0.954858821020283</v>
      </c>
    </row>
    <row r="566" spans="1:3">
      <c r="A566" s="4">
        <v>563</v>
      </c>
      <c r="B566" s="6">
        <f t="shared" si="8"/>
        <v>1.54246575342466</v>
      </c>
      <c r="C566" s="6">
        <f>EXP(-r_free*B566)</f>
        <v>0.954780342698531</v>
      </c>
    </row>
    <row r="567" spans="1:3">
      <c r="A567" s="10">
        <v>564</v>
      </c>
      <c r="B567" s="12">
        <f t="shared" si="8"/>
        <v>1.54520547945205</v>
      </c>
      <c r="C567" s="12">
        <f>EXP(-r_free*B567)</f>
        <v>0.954701870826786</v>
      </c>
    </row>
    <row r="568" spans="1:3">
      <c r="A568" s="4">
        <v>565</v>
      </c>
      <c r="B568" s="6">
        <f t="shared" si="8"/>
        <v>1.54794520547945</v>
      </c>
      <c r="C568" s="6">
        <f>EXP(-r_free*B568)</f>
        <v>0.954623405404519</v>
      </c>
    </row>
    <row r="569" spans="1:3">
      <c r="A569" s="10">
        <v>566</v>
      </c>
      <c r="B569" s="12">
        <f t="shared" si="8"/>
        <v>1.55068493150685</v>
      </c>
      <c r="C569" s="12">
        <f>EXP(-r_free*B569)</f>
        <v>0.9545449464312</v>
      </c>
    </row>
    <row r="570" spans="1:3">
      <c r="A570" s="4">
        <v>567</v>
      </c>
      <c r="B570" s="6">
        <f t="shared" si="8"/>
        <v>1.55342465753425</v>
      </c>
      <c r="C570" s="6">
        <f>EXP(-r_free*B570)</f>
        <v>0.954466493906299</v>
      </c>
    </row>
    <row r="571" spans="1:3">
      <c r="A571" s="10">
        <v>568</v>
      </c>
      <c r="B571" s="12">
        <f t="shared" si="8"/>
        <v>1.55616438356164</v>
      </c>
      <c r="C571" s="12">
        <f>EXP(-r_free*B571)</f>
        <v>0.954388047829286</v>
      </c>
    </row>
    <row r="572" spans="1:3">
      <c r="A572" s="4">
        <v>569</v>
      </c>
      <c r="B572" s="6">
        <f t="shared" si="8"/>
        <v>1.55890410958904</v>
      </c>
      <c r="C572" s="6">
        <f>EXP(-r_free*B572)</f>
        <v>0.95430960819963</v>
      </c>
    </row>
    <row r="573" spans="1:3">
      <c r="A573" s="10">
        <v>570</v>
      </c>
      <c r="B573" s="12">
        <f t="shared" si="8"/>
        <v>1.56164383561644</v>
      </c>
      <c r="C573" s="12">
        <f>EXP(-r_free*B573)</f>
        <v>0.954231175016802</v>
      </c>
    </row>
    <row r="574" spans="1:3">
      <c r="A574" s="4">
        <v>571</v>
      </c>
      <c r="B574" s="6">
        <f t="shared" si="8"/>
        <v>1.56438356164384</v>
      </c>
      <c r="C574" s="6">
        <f>EXP(-r_free*B574)</f>
        <v>0.954152748280273</v>
      </c>
    </row>
    <row r="575" spans="1:3">
      <c r="A575" s="10">
        <v>572</v>
      </c>
      <c r="B575" s="12">
        <f t="shared" si="8"/>
        <v>1.56712328767123</v>
      </c>
      <c r="C575" s="12">
        <f>EXP(-r_free*B575)</f>
        <v>0.954074327989511</v>
      </c>
    </row>
    <row r="576" spans="1:3">
      <c r="A576" s="4">
        <v>573</v>
      </c>
      <c r="B576" s="6">
        <f t="shared" si="8"/>
        <v>1.56986301369863</v>
      </c>
      <c r="C576" s="6">
        <f>EXP(-r_free*B576)</f>
        <v>0.953995914143988</v>
      </c>
    </row>
    <row r="577" spans="1:3">
      <c r="A577" s="10">
        <v>574</v>
      </c>
      <c r="B577" s="12">
        <f t="shared" si="8"/>
        <v>1.57260273972603</v>
      </c>
      <c r="C577" s="12">
        <f>EXP(-r_free*B577)</f>
        <v>0.953917506743174</v>
      </c>
    </row>
    <row r="578" spans="1:3">
      <c r="A578" s="4">
        <v>575</v>
      </c>
      <c r="B578" s="6">
        <f t="shared" si="8"/>
        <v>1.57534246575342</v>
      </c>
      <c r="C578" s="6">
        <f>EXP(-r_free*B578)</f>
        <v>0.953839105786539</v>
      </c>
    </row>
    <row r="579" spans="1:3">
      <c r="A579" s="10">
        <v>576</v>
      </c>
      <c r="B579" s="12">
        <f t="shared" ref="B579:B642" si="9">A579/365</f>
        <v>1.57808219178082</v>
      </c>
      <c r="C579" s="12">
        <f>EXP(-r_free*B579)</f>
        <v>0.953760711273553</v>
      </c>
    </row>
    <row r="580" spans="1:3">
      <c r="A580" s="4">
        <v>577</v>
      </c>
      <c r="B580" s="6">
        <f t="shared" si="9"/>
        <v>1.58082191780822</v>
      </c>
      <c r="C580" s="6">
        <f>EXP(-r_free*B580)</f>
        <v>0.953682323203687</v>
      </c>
    </row>
    <row r="581" spans="1:3">
      <c r="A581" s="10">
        <v>578</v>
      </c>
      <c r="B581" s="12">
        <f t="shared" si="9"/>
        <v>1.58356164383562</v>
      </c>
      <c r="C581" s="12">
        <f>EXP(-r_free*B581)</f>
        <v>0.953603941576412</v>
      </c>
    </row>
    <row r="582" spans="1:3">
      <c r="A582" s="4">
        <v>579</v>
      </c>
      <c r="B582" s="6">
        <f t="shared" si="9"/>
        <v>1.58630136986301</v>
      </c>
      <c r="C582" s="6">
        <f>EXP(-r_free*B582)</f>
        <v>0.953525566391197</v>
      </c>
    </row>
    <row r="583" spans="1:3">
      <c r="A583" s="10">
        <v>580</v>
      </c>
      <c r="B583" s="12">
        <f t="shared" si="9"/>
        <v>1.58904109589041</v>
      </c>
      <c r="C583" s="12">
        <f>EXP(-r_free*B583)</f>
        <v>0.953447197647513</v>
      </c>
    </row>
    <row r="584" spans="1:3">
      <c r="A584" s="4">
        <v>581</v>
      </c>
      <c r="B584" s="6">
        <f t="shared" si="9"/>
        <v>1.59178082191781</v>
      </c>
      <c r="C584" s="6">
        <f>EXP(-r_free*B584)</f>
        <v>0.953368835344832</v>
      </c>
    </row>
    <row r="585" spans="1:3">
      <c r="A585" s="10">
        <v>582</v>
      </c>
      <c r="B585" s="12">
        <f t="shared" si="9"/>
        <v>1.59452054794521</v>
      </c>
      <c r="C585" s="12">
        <f>EXP(-r_free*B585)</f>
        <v>0.953290479482623</v>
      </c>
    </row>
    <row r="586" spans="1:3">
      <c r="A586" s="4">
        <v>583</v>
      </c>
      <c r="B586" s="6">
        <f t="shared" si="9"/>
        <v>1.5972602739726</v>
      </c>
      <c r="C586" s="6">
        <f>EXP(-r_free*B586)</f>
        <v>0.953212130060357</v>
      </c>
    </row>
    <row r="587" spans="1:3">
      <c r="A587" s="10">
        <v>584</v>
      </c>
      <c r="B587" s="12">
        <f t="shared" si="9"/>
        <v>1.6</v>
      </c>
      <c r="C587" s="12">
        <f>EXP(-r_free*B587)</f>
        <v>0.953133787077505</v>
      </c>
    </row>
    <row r="588" spans="1:3">
      <c r="A588" s="4">
        <v>585</v>
      </c>
      <c r="B588" s="6">
        <f t="shared" si="9"/>
        <v>1.6027397260274</v>
      </c>
      <c r="C588" s="6">
        <f>EXP(-r_free*B588)</f>
        <v>0.953055450533537</v>
      </c>
    </row>
    <row r="589" spans="1:3">
      <c r="A589" s="10">
        <v>586</v>
      </c>
      <c r="B589" s="12">
        <f t="shared" si="9"/>
        <v>1.60547945205479</v>
      </c>
      <c r="C589" s="12">
        <f>EXP(-r_free*B589)</f>
        <v>0.952977120427926</v>
      </c>
    </row>
    <row r="590" spans="1:3">
      <c r="A590" s="4">
        <v>587</v>
      </c>
      <c r="B590" s="6">
        <f t="shared" si="9"/>
        <v>1.60821917808219</v>
      </c>
      <c r="C590" s="6">
        <f>EXP(-r_free*B590)</f>
        <v>0.95289879676014</v>
      </c>
    </row>
    <row r="591" spans="1:3">
      <c r="A591" s="10">
        <v>588</v>
      </c>
      <c r="B591" s="12">
        <f t="shared" si="9"/>
        <v>1.61095890410959</v>
      </c>
      <c r="C591" s="12">
        <f>EXP(-r_free*B591)</f>
        <v>0.952820479529652</v>
      </c>
    </row>
    <row r="592" spans="1:3">
      <c r="A592" s="4">
        <v>589</v>
      </c>
      <c r="B592" s="6">
        <f t="shared" si="9"/>
        <v>1.61369863013699</v>
      </c>
      <c r="C592" s="6">
        <f>EXP(-r_free*B592)</f>
        <v>0.952742168735931</v>
      </c>
    </row>
    <row r="593" spans="1:3">
      <c r="A593" s="10">
        <v>590</v>
      </c>
      <c r="B593" s="12">
        <f t="shared" si="9"/>
        <v>1.61643835616438</v>
      </c>
      <c r="C593" s="12">
        <f>EXP(-r_free*B593)</f>
        <v>0.95266386437845</v>
      </c>
    </row>
    <row r="594" spans="1:3">
      <c r="A594" s="4">
        <v>591</v>
      </c>
      <c r="B594" s="6">
        <f t="shared" si="9"/>
        <v>1.61917808219178</v>
      </c>
      <c r="C594" s="6">
        <f>EXP(-r_free*B594)</f>
        <v>0.952585566456679</v>
      </c>
    </row>
    <row r="595" spans="1:3">
      <c r="A595" s="10">
        <v>592</v>
      </c>
      <c r="B595" s="12">
        <f t="shared" si="9"/>
        <v>1.62191780821918</v>
      </c>
      <c r="C595" s="12">
        <f>EXP(-r_free*B595)</f>
        <v>0.952507274970089</v>
      </c>
    </row>
    <row r="596" spans="1:3">
      <c r="A596" s="4">
        <v>593</v>
      </c>
      <c r="B596" s="6">
        <f t="shared" si="9"/>
        <v>1.62465753424658</v>
      </c>
      <c r="C596" s="6">
        <f>EXP(-r_free*B596)</f>
        <v>0.952428989918152</v>
      </c>
    </row>
    <row r="597" spans="1:3">
      <c r="A597" s="10">
        <v>594</v>
      </c>
      <c r="B597" s="12">
        <f t="shared" si="9"/>
        <v>1.62739726027397</v>
      </c>
      <c r="C597" s="12">
        <f>EXP(-r_free*B597)</f>
        <v>0.952350711300337</v>
      </c>
    </row>
    <row r="598" spans="1:3">
      <c r="A598" s="4">
        <v>595</v>
      </c>
      <c r="B598" s="6">
        <f t="shared" si="9"/>
        <v>1.63013698630137</v>
      </c>
      <c r="C598" s="6">
        <f>EXP(-r_free*B598)</f>
        <v>0.952272439116118</v>
      </c>
    </row>
    <row r="599" spans="1:3">
      <c r="A599" s="10">
        <v>596</v>
      </c>
      <c r="B599" s="12">
        <f t="shared" si="9"/>
        <v>1.63287671232877</v>
      </c>
      <c r="C599" s="12">
        <f>EXP(-r_free*B599)</f>
        <v>0.952194173364964</v>
      </c>
    </row>
    <row r="600" spans="1:3">
      <c r="A600" s="4">
        <v>597</v>
      </c>
      <c r="B600" s="6">
        <f t="shared" si="9"/>
        <v>1.63561643835616</v>
      </c>
      <c r="C600" s="6">
        <f>EXP(-r_free*B600)</f>
        <v>0.952115914046347</v>
      </c>
    </row>
    <row r="601" spans="1:3">
      <c r="A601" s="10">
        <v>598</v>
      </c>
      <c r="B601" s="12">
        <f t="shared" si="9"/>
        <v>1.63835616438356</v>
      </c>
      <c r="C601" s="12">
        <f>EXP(-r_free*B601)</f>
        <v>0.952037661159739</v>
      </c>
    </row>
    <row r="602" spans="1:3">
      <c r="A602" s="4">
        <v>599</v>
      </c>
      <c r="B602" s="6">
        <f t="shared" si="9"/>
        <v>1.64109589041096</v>
      </c>
      <c r="C602" s="6">
        <f>EXP(-r_free*B602)</f>
        <v>0.951959414704611</v>
      </c>
    </row>
    <row r="603" spans="1:3">
      <c r="A603" s="10">
        <v>600</v>
      </c>
      <c r="B603" s="12">
        <f t="shared" si="9"/>
        <v>1.64383561643836</v>
      </c>
      <c r="C603" s="12">
        <f>EXP(-r_free*B603)</f>
        <v>0.951881174680433</v>
      </c>
    </row>
    <row r="604" spans="1:3">
      <c r="A604" s="4">
        <v>601</v>
      </c>
      <c r="B604" s="6">
        <f t="shared" si="9"/>
        <v>1.64657534246575</v>
      </c>
      <c r="C604" s="6">
        <f>EXP(-r_free*B604)</f>
        <v>0.951802941086679</v>
      </c>
    </row>
    <row r="605" spans="1:3">
      <c r="A605" s="10">
        <v>602</v>
      </c>
      <c r="B605" s="12">
        <f t="shared" si="9"/>
        <v>1.64931506849315</v>
      </c>
      <c r="C605" s="12">
        <f>EXP(-r_free*B605)</f>
        <v>0.951724713922818</v>
      </c>
    </row>
    <row r="606" spans="1:3">
      <c r="A606" s="4">
        <v>603</v>
      </c>
      <c r="B606" s="6">
        <f t="shared" si="9"/>
        <v>1.65205479452055</v>
      </c>
      <c r="C606" s="6">
        <f>EXP(-r_free*B606)</f>
        <v>0.951646493188324</v>
      </c>
    </row>
    <row r="607" spans="1:3">
      <c r="A607" s="10">
        <v>604</v>
      </c>
      <c r="B607" s="12">
        <f t="shared" si="9"/>
        <v>1.65479452054795</v>
      </c>
      <c r="C607" s="12">
        <f>EXP(-r_free*B607)</f>
        <v>0.951568278882666</v>
      </c>
    </row>
    <row r="608" spans="1:3">
      <c r="A608" s="4">
        <v>605</v>
      </c>
      <c r="B608" s="6">
        <f t="shared" si="9"/>
        <v>1.65753424657534</v>
      </c>
      <c r="C608" s="6">
        <f>EXP(-r_free*B608)</f>
        <v>0.951490071005317</v>
      </c>
    </row>
    <row r="609" spans="1:3">
      <c r="A609" s="10">
        <v>606</v>
      </c>
      <c r="B609" s="12">
        <f t="shared" si="9"/>
        <v>1.66027397260274</v>
      </c>
      <c r="C609" s="12">
        <f>EXP(-r_free*B609)</f>
        <v>0.951411869555749</v>
      </c>
    </row>
    <row r="610" spans="1:3">
      <c r="A610" s="4">
        <v>607</v>
      </c>
      <c r="B610" s="6">
        <f t="shared" si="9"/>
        <v>1.66301369863014</v>
      </c>
      <c r="C610" s="6">
        <f>EXP(-r_free*B610)</f>
        <v>0.951333674533433</v>
      </c>
    </row>
    <row r="611" spans="1:3">
      <c r="A611" s="10">
        <v>608</v>
      </c>
      <c r="B611" s="12">
        <f t="shared" si="9"/>
        <v>1.66575342465753</v>
      </c>
      <c r="C611" s="12">
        <f>EXP(-r_free*B611)</f>
        <v>0.951255485937842</v>
      </c>
    </row>
    <row r="612" spans="1:3">
      <c r="A612" s="4">
        <v>609</v>
      </c>
      <c r="B612" s="6">
        <f t="shared" si="9"/>
        <v>1.66849315068493</v>
      </c>
      <c r="C612" s="6">
        <f>EXP(-r_free*B612)</f>
        <v>0.951177303768446</v>
      </c>
    </row>
    <row r="613" spans="1:3">
      <c r="A613" s="10">
        <v>610</v>
      </c>
      <c r="B613" s="12">
        <f t="shared" si="9"/>
        <v>1.67123287671233</v>
      </c>
      <c r="C613" s="12">
        <f>EXP(-r_free*B613)</f>
        <v>0.951099128024717</v>
      </c>
    </row>
    <row r="614" spans="1:3">
      <c r="A614" s="4">
        <v>611</v>
      </c>
      <c r="B614" s="6">
        <f t="shared" si="9"/>
        <v>1.67397260273973</v>
      </c>
      <c r="C614" s="6">
        <f>EXP(-r_free*B614)</f>
        <v>0.951020958706129</v>
      </c>
    </row>
    <row r="615" spans="1:3">
      <c r="A615" s="10">
        <v>612</v>
      </c>
      <c r="B615" s="12">
        <f t="shared" si="9"/>
        <v>1.67671232876712</v>
      </c>
      <c r="C615" s="12">
        <f>EXP(-r_free*B615)</f>
        <v>0.950942795812151</v>
      </c>
    </row>
    <row r="616" spans="1:3">
      <c r="A616" s="4">
        <v>613</v>
      </c>
      <c r="B616" s="6">
        <f t="shared" si="9"/>
        <v>1.67945205479452</v>
      </c>
      <c r="C616" s="6">
        <f>EXP(-r_free*B616)</f>
        <v>0.950864639342258</v>
      </c>
    </row>
    <row r="617" spans="1:3">
      <c r="A617" s="10">
        <v>614</v>
      </c>
      <c r="B617" s="12">
        <f t="shared" si="9"/>
        <v>1.68219178082192</v>
      </c>
      <c r="C617" s="12">
        <f>EXP(-r_free*B617)</f>
        <v>0.950786489295919</v>
      </c>
    </row>
    <row r="618" spans="1:3">
      <c r="A618" s="4">
        <v>615</v>
      </c>
      <c r="B618" s="6">
        <f t="shared" si="9"/>
        <v>1.68493150684932</v>
      </c>
      <c r="C618" s="6">
        <f>EXP(-r_free*B618)</f>
        <v>0.950708345672608</v>
      </c>
    </row>
    <row r="619" spans="1:3">
      <c r="A619" s="10">
        <v>616</v>
      </c>
      <c r="B619" s="12">
        <f t="shared" si="9"/>
        <v>1.68767123287671</v>
      </c>
      <c r="C619" s="12">
        <f>EXP(-r_free*B619)</f>
        <v>0.950630208471797</v>
      </c>
    </row>
    <row r="620" spans="1:3">
      <c r="A620" s="4">
        <v>617</v>
      </c>
      <c r="B620" s="6">
        <f t="shared" si="9"/>
        <v>1.69041095890411</v>
      </c>
      <c r="C620" s="6">
        <f>EXP(-r_free*B620)</f>
        <v>0.950552077692957</v>
      </c>
    </row>
    <row r="621" spans="1:3">
      <c r="A621" s="10">
        <v>618</v>
      </c>
      <c r="B621" s="12">
        <f t="shared" si="9"/>
        <v>1.69315068493151</v>
      </c>
      <c r="C621" s="12">
        <f>EXP(-r_free*B621)</f>
        <v>0.950473953335562</v>
      </c>
    </row>
    <row r="622" spans="1:3">
      <c r="A622" s="4">
        <v>619</v>
      </c>
      <c r="B622" s="6">
        <f t="shared" si="9"/>
        <v>1.6958904109589</v>
      </c>
      <c r="C622" s="6">
        <f>EXP(-r_free*B622)</f>
        <v>0.950395835399083</v>
      </c>
    </row>
    <row r="623" spans="1:3">
      <c r="A623" s="10">
        <v>620</v>
      </c>
      <c r="B623" s="12">
        <f t="shared" si="9"/>
        <v>1.6986301369863</v>
      </c>
      <c r="C623" s="12">
        <f>EXP(-r_free*B623)</f>
        <v>0.950317723882992</v>
      </c>
    </row>
    <row r="624" spans="1:3">
      <c r="A624" s="4">
        <v>621</v>
      </c>
      <c r="B624" s="6">
        <f t="shared" si="9"/>
        <v>1.7013698630137</v>
      </c>
      <c r="C624" s="6">
        <f>EXP(-r_free*B624)</f>
        <v>0.950239618786761</v>
      </c>
    </row>
    <row r="625" spans="1:3">
      <c r="A625" s="10">
        <v>622</v>
      </c>
      <c r="B625" s="12">
        <f t="shared" si="9"/>
        <v>1.7041095890411</v>
      </c>
      <c r="C625" s="12">
        <f>EXP(-r_free*B625)</f>
        <v>0.950161520109865</v>
      </c>
    </row>
    <row r="626" spans="1:3">
      <c r="A626" s="4">
        <v>623</v>
      </c>
      <c r="B626" s="6">
        <f t="shared" si="9"/>
        <v>1.70684931506849</v>
      </c>
      <c r="C626" s="6">
        <f>EXP(-r_free*B626)</f>
        <v>0.950083427851773</v>
      </c>
    </row>
    <row r="627" spans="1:3">
      <c r="A627" s="10">
        <v>624</v>
      </c>
      <c r="B627" s="12">
        <f t="shared" si="9"/>
        <v>1.70958904109589</v>
      </c>
      <c r="C627" s="12">
        <f>EXP(-r_free*B627)</f>
        <v>0.95000534201196</v>
      </c>
    </row>
    <row r="628" spans="1:3">
      <c r="A628" s="4">
        <v>625</v>
      </c>
      <c r="B628" s="6">
        <f t="shared" si="9"/>
        <v>1.71232876712329</v>
      </c>
      <c r="C628" s="6">
        <f>EXP(-r_free*B628)</f>
        <v>0.949927262589897</v>
      </c>
    </row>
    <row r="629" spans="1:3">
      <c r="A629" s="10">
        <v>626</v>
      </c>
      <c r="B629" s="12">
        <f t="shared" si="9"/>
        <v>1.71506849315068</v>
      </c>
      <c r="C629" s="12">
        <f>EXP(-r_free*B629)</f>
        <v>0.949849189585057</v>
      </c>
    </row>
    <row r="630" spans="1:3">
      <c r="A630" s="4">
        <v>627</v>
      </c>
      <c r="B630" s="6">
        <f t="shared" si="9"/>
        <v>1.71780821917808</v>
      </c>
      <c r="C630" s="6">
        <f>EXP(-r_free*B630)</f>
        <v>0.949771122996912</v>
      </c>
    </row>
    <row r="631" spans="1:3">
      <c r="A631" s="10">
        <v>628</v>
      </c>
      <c r="B631" s="12">
        <f t="shared" si="9"/>
        <v>1.72054794520548</v>
      </c>
      <c r="C631" s="12">
        <f>EXP(-r_free*B631)</f>
        <v>0.949693062824936</v>
      </c>
    </row>
    <row r="632" spans="1:3">
      <c r="A632" s="4">
        <v>629</v>
      </c>
      <c r="B632" s="6">
        <f t="shared" si="9"/>
        <v>1.72328767123288</v>
      </c>
      <c r="C632" s="6">
        <f>EXP(-r_free*B632)</f>
        <v>0.949615009068601</v>
      </c>
    </row>
    <row r="633" spans="1:3">
      <c r="A633" s="10">
        <v>630</v>
      </c>
      <c r="B633" s="12">
        <f t="shared" si="9"/>
        <v>1.72602739726027</v>
      </c>
      <c r="C633" s="12">
        <f>EXP(-r_free*B633)</f>
        <v>0.949536961727379</v>
      </c>
    </row>
    <row r="634" spans="1:3">
      <c r="A634" s="4">
        <v>631</v>
      </c>
      <c r="B634" s="6">
        <f t="shared" si="9"/>
        <v>1.72876712328767</v>
      </c>
      <c r="C634" s="6">
        <f>EXP(-r_free*B634)</f>
        <v>0.949458920800744</v>
      </c>
    </row>
    <row r="635" spans="1:3">
      <c r="A635" s="10">
        <v>632</v>
      </c>
      <c r="B635" s="12">
        <f t="shared" si="9"/>
        <v>1.73150684931507</v>
      </c>
      <c r="C635" s="12">
        <f>EXP(-r_free*B635)</f>
        <v>0.949380886288168</v>
      </c>
    </row>
    <row r="636" spans="1:3">
      <c r="A636" s="4">
        <v>633</v>
      </c>
      <c r="B636" s="6">
        <f t="shared" si="9"/>
        <v>1.73424657534247</v>
      </c>
      <c r="C636" s="6">
        <f>EXP(-r_free*B636)</f>
        <v>0.949302858189124</v>
      </c>
    </row>
    <row r="637" spans="1:3">
      <c r="A637" s="10">
        <v>634</v>
      </c>
      <c r="B637" s="12">
        <f t="shared" si="9"/>
        <v>1.73698630136986</v>
      </c>
      <c r="C637" s="12">
        <f>EXP(-r_free*B637)</f>
        <v>0.949224836503084</v>
      </c>
    </row>
    <row r="638" spans="1:3">
      <c r="A638" s="4">
        <v>635</v>
      </c>
      <c r="B638" s="6">
        <f t="shared" si="9"/>
        <v>1.73972602739726</v>
      </c>
      <c r="C638" s="6">
        <f>EXP(-r_free*B638)</f>
        <v>0.949146821229523</v>
      </c>
    </row>
    <row r="639" spans="1:3">
      <c r="A639" s="10">
        <v>636</v>
      </c>
      <c r="B639" s="12">
        <f t="shared" si="9"/>
        <v>1.74246575342466</v>
      </c>
      <c r="C639" s="12">
        <f>EXP(-r_free*B639)</f>
        <v>0.949068812367912</v>
      </c>
    </row>
    <row r="640" spans="1:3">
      <c r="A640" s="4">
        <v>637</v>
      </c>
      <c r="B640" s="6">
        <f t="shared" si="9"/>
        <v>1.74520547945205</v>
      </c>
      <c r="C640" s="6">
        <f>EXP(-r_free*B640)</f>
        <v>0.948990809917725</v>
      </c>
    </row>
    <row r="641" spans="1:4">
      <c r="A641" s="10">
        <v>638</v>
      </c>
      <c r="B641" s="12">
        <f t="shared" si="9"/>
        <v>1.74794520547945</v>
      </c>
      <c r="C641" s="12">
        <f>EXP(-r_free*B641)</f>
        <v>0.948912813878435</v>
      </c>
      <c r="D641" s="43" t="s">
        <v>41</v>
      </c>
    </row>
    <row r="642" spans="1:4">
      <c r="A642" s="4">
        <v>639</v>
      </c>
      <c r="B642" s="6">
        <f t="shared" si="9"/>
        <v>1.75068493150685</v>
      </c>
      <c r="C642" s="6">
        <f>EXP(-r_free*B642)</f>
        <v>0.948834824249515</v>
      </c>
    </row>
    <row r="643" spans="1:4">
      <c r="A643" s="10">
        <v>640</v>
      </c>
      <c r="B643" s="12">
        <f t="shared" ref="B643:B706" si="10">A643/365</f>
        <v>1.75342465753425</v>
      </c>
      <c r="C643" s="12">
        <f>EXP(-r_free*B643)</f>
        <v>0.948756841030437</v>
      </c>
    </row>
    <row r="644" spans="1:4">
      <c r="A644" s="4">
        <v>641</v>
      </c>
      <c r="B644" s="6">
        <f t="shared" si="10"/>
        <v>1.75616438356164</v>
      </c>
      <c r="C644" s="6">
        <f>EXP(-r_free*B644)</f>
        <v>0.948678864220676</v>
      </c>
    </row>
    <row r="645" spans="1:4">
      <c r="A645" s="10">
        <v>642</v>
      </c>
      <c r="B645" s="12">
        <f t="shared" si="10"/>
        <v>1.75890410958904</v>
      </c>
      <c r="C645" s="12">
        <f>EXP(-r_free*B645)</f>
        <v>0.948600893819705</v>
      </c>
    </row>
    <row r="646" spans="1:4">
      <c r="A646" s="4">
        <v>643</v>
      </c>
      <c r="B646" s="6">
        <f t="shared" si="10"/>
        <v>1.76164383561644</v>
      </c>
      <c r="C646" s="6">
        <f>EXP(-r_free*B646)</f>
        <v>0.948522929826996</v>
      </c>
    </row>
    <row r="647" spans="1:4">
      <c r="A647" s="10">
        <v>644</v>
      </c>
      <c r="B647" s="12">
        <f t="shared" si="10"/>
        <v>1.76438356164384</v>
      </c>
      <c r="C647" s="12">
        <f>EXP(-r_free*B647)</f>
        <v>0.948444972242024</v>
      </c>
    </row>
    <row r="648" spans="1:4">
      <c r="A648" s="4">
        <v>645</v>
      </c>
      <c r="B648" s="6">
        <f t="shared" si="10"/>
        <v>1.76712328767123</v>
      </c>
      <c r="C648" s="6">
        <f>EXP(-r_free*B648)</f>
        <v>0.94836702106426</v>
      </c>
    </row>
    <row r="649" spans="1:4">
      <c r="A649" s="10">
        <v>646</v>
      </c>
      <c r="B649" s="12">
        <f t="shared" si="10"/>
        <v>1.76986301369863</v>
      </c>
      <c r="C649" s="12">
        <f>EXP(-r_free*B649)</f>
        <v>0.94828907629318</v>
      </c>
    </row>
    <row r="650" spans="1:4">
      <c r="A650" s="4">
        <v>647</v>
      </c>
      <c r="B650" s="6">
        <f t="shared" si="10"/>
        <v>1.77260273972603</v>
      </c>
      <c r="C650" s="6">
        <f>EXP(-r_free*B650)</f>
        <v>0.948211137928256</v>
      </c>
    </row>
    <row r="651" spans="1:4">
      <c r="A651" s="10">
        <v>648</v>
      </c>
      <c r="B651" s="12">
        <f t="shared" si="10"/>
        <v>1.77534246575342</v>
      </c>
      <c r="C651" s="12">
        <f>EXP(-r_free*B651)</f>
        <v>0.948133205968962</v>
      </c>
    </row>
    <row r="652" spans="1:4">
      <c r="A652" s="4">
        <v>649</v>
      </c>
      <c r="B652" s="6">
        <f t="shared" si="10"/>
        <v>1.77808219178082</v>
      </c>
      <c r="C652" s="6">
        <f>EXP(-r_free*B652)</f>
        <v>0.94805528041477</v>
      </c>
    </row>
    <row r="653" spans="1:4">
      <c r="A653" s="10">
        <v>650</v>
      </c>
      <c r="B653" s="12">
        <f t="shared" si="10"/>
        <v>1.78082191780822</v>
      </c>
      <c r="C653" s="12">
        <f>EXP(-r_free*B653)</f>
        <v>0.947977361265156</v>
      </c>
    </row>
    <row r="654" spans="1:4">
      <c r="A654" s="4">
        <v>651</v>
      </c>
      <c r="B654" s="6">
        <f t="shared" si="10"/>
        <v>1.78356164383562</v>
      </c>
      <c r="C654" s="6">
        <f>EXP(-r_free*B654)</f>
        <v>0.947899448519593</v>
      </c>
    </row>
    <row r="655" spans="1:4">
      <c r="A655" s="10">
        <v>652</v>
      </c>
      <c r="B655" s="12">
        <f t="shared" si="10"/>
        <v>1.78630136986301</v>
      </c>
      <c r="C655" s="12">
        <f>EXP(-r_free*B655)</f>
        <v>0.947821542177553</v>
      </c>
    </row>
    <row r="656" spans="1:4">
      <c r="A656" s="4">
        <v>653</v>
      </c>
      <c r="B656" s="6">
        <f t="shared" si="10"/>
        <v>1.78904109589041</v>
      </c>
      <c r="C656" s="6">
        <f>EXP(-r_free*B656)</f>
        <v>0.947743642238511</v>
      </c>
    </row>
    <row r="657" spans="1:3">
      <c r="A657" s="10">
        <v>654</v>
      </c>
      <c r="B657" s="12">
        <f t="shared" si="10"/>
        <v>1.79178082191781</v>
      </c>
      <c r="C657" s="12">
        <f>EXP(-r_free*B657)</f>
        <v>0.947665748701941</v>
      </c>
    </row>
    <row r="658" spans="1:3">
      <c r="A658" s="4">
        <v>655</v>
      </c>
      <c r="B658" s="6">
        <f t="shared" si="10"/>
        <v>1.79452054794521</v>
      </c>
      <c r="C658" s="6">
        <f>EXP(-r_free*B658)</f>
        <v>0.947587861567316</v>
      </c>
    </row>
    <row r="659" spans="1:3">
      <c r="A659" s="10">
        <v>656</v>
      </c>
      <c r="B659" s="12">
        <f t="shared" si="10"/>
        <v>1.7972602739726</v>
      </c>
      <c r="C659" s="12">
        <f>EXP(-r_free*B659)</f>
        <v>0.947509980834111</v>
      </c>
    </row>
    <row r="660" spans="1:3">
      <c r="A660" s="4">
        <v>657</v>
      </c>
      <c r="B660" s="6">
        <f t="shared" si="10"/>
        <v>1.8</v>
      </c>
      <c r="C660" s="6">
        <f>EXP(-r_free*B660)</f>
        <v>0.947432106501798</v>
      </c>
    </row>
    <row r="661" spans="1:3">
      <c r="A661" s="10">
        <v>658</v>
      </c>
      <c r="B661" s="12">
        <f t="shared" si="10"/>
        <v>1.8027397260274</v>
      </c>
      <c r="C661" s="12">
        <f>EXP(-r_free*B661)</f>
        <v>0.947354238569853</v>
      </c>
    </row>
    <row r="662" spans="1:3">
      <c r="A662" s="4">
        <v>659</v>
      </c>
      <c r="B662" s="6">
        <f t="shared" si="10"/>
        <v>1.80547945205479</v>
      </c>
      <c r="C662" s="6">
        <f>EXP(-r_free*B662)</f>
        <v>0.947276377037748</v>
      </c>
    </row>
    <row r="663" spans="1:3">
      <c r="A663" s="10">
        <v>660</v>
      </c>
      <c r="B663" s="12">
        <f t="shared" si="10"/>
        <v>1.80821917808219</v>
      </c>
      <c r="C663" s="12">
        <f>EXP(-r_free*B663)</f>
        <v>0.947198521904959</v>
      </c>
    </row>
    <row r="664" spans="1:3">
      <c r="A664" s="4">
        <v>661</v>
      </c>
      <c r="B664" s="6">
        <f t="shared" si="10"/>
        <v>1.81095890410959</v>
      </c>
      <c r="C664" s="6">
        <f>EXP(-r_free*B664)</f>
        <v>0.947120673170959</v>
      </c>
    </row>
    <row r="665" spans="1:3">
      <c r="A665" s="10">
        <v>662</v>
      </c>
      <c r="B665" s="12">
        <f t="shared" si="10"/>
        <v>1.81369863013699</v>
      </c>
      <c r="C665" s="12">
        <f>EXP(-r_free*B665)</f>
        <v>0.947042830835221</v>
      </c>
    </row>
    <row r="666" spans="1:3">
      <c r="A666" s="4">
        <v>663</v>
      </c>
      <c r="B666" s="6">
        <f t="shared" si="10"/>
        <v>1.81643835616438</v>
      </c>
      <c r="C666" s="6">
        <f>EXP(-r_free*B666)</f>
        <v>0.946964994897221</v>
      </c>
    </row>
    <row r="667" spans="1:3">
      <c r="A667" s="10">
        <v>664</v>
      </c>
      <c r="B667" s="12">
        <f t="shared" si="10"/>
        <v>1.81917808219178</v>
      </c>
      <c r="C667" s="12">
        <f>EXP(-r_free*B667)</f>
        <v>0.946887165356433</v>
      </c>
    </row>
    <row r="668" spans="1:3">
      <c r="A668" s="4">
        <v>665</v>
      </c>
      <c r="B668" s="6">
        <f t="shared" si="10"/>
        <v>1.82191780821918</v>
      </c>
      <c r="C668" s="6">
        <f>EXP(-r_free*B668)</f>
        <v>0.94680934221233</v>
      </c>
    </row>
    <row r="669" spans="1:3">
      <c r="A669" s="10">
        <v>666</v>
      </c>
      <c r="B669" s="12">
        <f t="shared" si="10"/>
        <v>1.82465753424658</v>
      </c>
      <c r="C669" s="12">
        <f>EXP(-r_free*B669)</f>
        <v>0.946731525464387</v>
      </c>
    </row>
    <row r="670" spans="1:3">
      <c r="A670" s="4">
        <v>667</v>
      </c>
      <c r="B670" s="6">
        <f t="shared" si="10"/>
        <v>1.82739726027397</v>
      </c>
      <c r="C670" s="6">
        <f>EXP(-r_free*B670)</f>
        <v>0.946653715112079</v>
      </c>
    </row>
    <row r="671" spans="1:3">
      <c r="A671" s="10">
        <v>668</v>
      </c>
      <c r="B671" s="12">
        <f t="shared" si="10"/>
        <v>1.83013698630137</v>
      </c>
      <c r="C671" s="12">
        <f>EXP(-r_free*B671)</f>
        <v>0.946575911154878</v>
      </c>
    </row>
    <row r="672" spans="1:3">
      <c r="A672" s="4">
        <v>669</v>
      </c>
      <c r="B672" s="6">
        <f t="shared" si="10"/>
        <v>1.83287671232877</v>
      </c>
      <c r="C672" s="6">
        <f>EXP(-r_free*B672)</f>
        <v>0.946498113592261</v>
      </c>
    </row>
    <row r="673" spans="1:3">
      <c r="A673" s="10">
        <v>670</v>
      </c>
      <c r="B673" s="12">
        <f t="shared" si="10"/>
        <v>1.83561643835616</v>
      </c>
      <c r="C673" s="12">
        <f>EXP(-r_free*B673)</f>
        <v>0.946420322423702</v>
      </c>
    </row>
    <row r="674" spans="1:3">
      <c r="A674" s="4">
        <v>671</v>
      </c>
      <c r="B674" s="6">
        <f t="shared" si="10"/>
        <v>1.83835616438356</v>
      </c>
      <c r="C674" s="6">
        <f>EXP(-r_free*B674)</f>
        <v>0.946342537648674</v>
      </c>
    </row>
    <row r="675" spans="1:3">
      <c r="A675" s="10">
        <v>672</v>
      </c>
      <c r="B675" s="12">
        <f t="shared" si="10"/>
        <v>1.84109589041096</v>
      </c>
      <c r="C675" s="12">
        <f>EXP(-r_free*B675)</f>
        <v>0.946264759266653</v>
      </c>
    </row>
    <row r="676" spans="1:3">
      <c r="A676" s="4">
        <v>673</v>
      </c>
      <c r="B676" s="6">
        <f t="shared" si="10"/>
        <v>1.84383561643836</v>
      </c>
      <c r="C676" s="6">
        <f>EXP(-r_free*B676)</f>
        <v>0.946186987277113</v>
      </c>
    </row>
    <row r="677" spans="1:3">
      <c r="A677" s="10">
        <v>674</v>
      </c>
      <c r="B677" s="12">
        <f t="shared" si="10"/>
        <v>1.84657534246575</v>
      </c>
      <c r="C677" s="12">
        <f>EXP(-r_free*B677)</f>
        <v>0.946109221679528</v>
      </c>
    </row>
    <row r="678" spans="1:3">
      <c r="A678" s="4">
        <v>675</v>
      </c>
      <c r="B678" s="6">
        <f t="shared" si="10"/>
        <v>1.84931506849315</v>
      </c>
      <c r="C678" s="6">
        <f>EXP(-r_free*B678)</f>
        <v>0.946031462473374</v>
      </c>
    </row>
    <row r="679" spans="1:3">
      <c r="A679" s="10">
        <v>676</v>
      </c>
      <c r="B679" s="12">
        <f t="shared" si="10"/>
        <v>1.85205479452055</v>
      </c>
      <c r="C679" s="12">
        <f>EXP(-r_free*B679)</f>
        <v>0.945953709658125</v>
      </c>
    </row>
    <row r="680" spans="1:3">
      <c r="A680" s="4">
        <v>677</v>
      </c>
      <c r="B680" s="6">
        <f t="shared" si="10"/>
        <v>1.85479452054795</v>
      </c>
      <c r="C680" s="6">
        <f>EXP(-r_free*B680)</f>
        <v>0.945875963233255</v>
      </c>
    </row>
    <row r="681" spans="1:3">
      <c r="A681" s="10">
        <v>678</v>
      </c>
      <c r="B681" s="12">
        <f t="shared" si="10"/>
        <v>1.85753424657534</v>
      </c>
      <c r="C681" s="12">
        <f>EXP(-r_free*B681)</f>
        <v>0.94579822319824</v>
      </c>
    </row>
    <row r="682" spans="1:3">
      <c r="A682" s="4">
        <v>679</v>
      </c>
      <c r="B682" s="6">
        <f t="shared" si="10"/>
        <v>1.86027397260274</v>
      </c>
      <c r="C682" s="6">
        <f>EXP(-r_free*B682)</f>
        <v>0.945720489552554</v>
      </c>
    </row>
    <row r="683" spans="1:3">
      <c r="A683" s="10">
        <v>680</v>
      </c>
      <c r="B683" s="12">
        <f t="shared" si="10"/>
        <v>1.86301369863014</v>
      </c>
      <c r="C683" s="12">
        <f>EXP(-r_free*B683)</f>
        <v>0.945642762295673</v>
      </c>
    </row>
    <row r="684" spans="1:3">
      <c r="A684" s="4">
        <v>681</v>
      </c>
      <c r="B684" s="6">
        <f t="shared" si="10"/>
        <v>1.86575342465753</v>
      </c>
      <c r="C684" s="6">
        <f>EXP(-r_free*B684)</f>
        <v>0.94556504142707</v>
      </c>
    </row>
    <row r="685" spans="1:3">
      <c r="A685" s="10">
        <v>682</v>
      </c>
      <c r="B685" s="12">
        <f t="shared" si="10"/>
        <v>1.86849315068493</v>
      </c>
      <c r="C685" s="12">
        <f>EXP(-r_free*B685)</f>
        <v>0.945487326946222</v>
      </c>
    </row>
    <row r="686" spans="1:3">
      <c r="A686" s="4">
        <v>683</v>
      </c>
      <c r="B686" s="6">
        <f t="shared" si="10"/>
        <v>1.87123287671233</v>
      </c>
      <c r="C686" s="6">
        <f>EXP(-r_free*B686)</f>
        <v>0.945409618852603</v>
      </c>
    </row>
    <row r="687" spans="1:3">
      <c r="A687" s="10">
        <v>684</v>
      </c>
      <c r="B687" s="12">
        <f t="shared" si="10"/>
        <v>1.87397260273973</v>
      </c>
      <c r="C687" s="12">
        <f>EXP(-r_free*B687)</f>
        <v>0.945331917145688</v>
      </c>
    </row>
    <row r="688" spans="1:3">
      <c r="A688" s="4">
        <v>685</v>
      </c>
      <c r="B688" s="6">
        <f t="shared" si="10"/>
        <v>1.87671232876712</v>
      </c>
      <c r="C688" s="6">
        <f>EXP(-r_free*B688)</f>
        <v>0.945254221824952</v>
      </c>
    </row>
    <row r="689" spans="1:3">
      <c r="A689" s="10">
        <v>686</v>
      </c>
      <c r="B689" s="12">
        <f t="shared" si="10"/>
        <v>1.87945205479452</v>
      </c>
      <c r="C689" s="12">
        <f>EXP(-r_free*B689)</f>
        <v>0.94517653288987</v>
      </c>
    </row>
    <row r="690" spans="1:3">
      <c r="A690" s="4">
        <v>687</v>
      </c>
      <c r="B690" s="6">
        <f t="shared" si="10"/>
        <v>1.88219178082192</v>
      </c>
      <c r="C690" s="6">
        <f>EXP(-r_free*B690)</f>
        <v>0.945098850339918</v>
      </c>
    </row>
    <row r="691" spans="1:3">
      <c r="A691" s="10">
        <v>688</v>
      </c>
      <c r="B691" s="12">
        <f t="shared" si="10"/>
        <v>1.88493150684932</v>
      </c>
      <c r="C691" s="12">
        <f>EXP(-r_free*B691)</f>
        <v>0.945021174174571</v>
      </c>
    </row>
    <row r="692" spans="1:3">
      <c r="A692" s="4">
        <v>689</v>
      </c>
      <c r="B692" s="6">
        <f t="shared" si="10"/>
        <v>1.88767123287671</v>
      </c>
      <c r="C692" s="6">
        <f>EXP(-r_free*B692)</f>
        <v>0.944943504393304</v>
      </c>
    </row>
    <row r="693" spans="1:3">
      <c r="A693" s="10">
        <v>690</v>
      </c>
      <c r="B693" s="12">
        <f t="shared" si="10"/>
        <v>1.89041095890411</v>
      </c>
      <c r="C693" s="12">
        <f>EXP(-r_free*B693)</f>
        <v>0.944865840995592</v>
      </c>
    </row>
    <row r="694" spans="1:3">
      <c r="A694" s="4">
        <v>691</v>
      </c>
      <c r="B694" s="6">
        <f t="shared" si="10"/>
        <v>1.89315068493151</v>
      </c>
      <c r="C694" s="6">
        <f>EXP(-r_free*B694)</f>
        <v>0.94478818398091</v>
      </c>
    </row>
    <row r="695" spans="1:3">
      <c r="A695" s="10">
        <v>692</v>
      </c>
      <c r="B695" s="12">
        <f t="shared" si="10"/>
        <v>1.8958904109589</v>
      </c>
      <c r="C695" s="12">
        <f>EXP(-r_free*B695)</f>
        <v>0.944710533348735</v>
      </c>
    </row>
    <row r="696" spans="1:3">
      <c r="A696" s="4">
        <v>693</v>
      </c>
      <c r="B696" s="6">
        <f t="shared" si="10"/>
        <v>1.8986301369863</v>
      </c>
      <c r="C696" s="6">
        <f>EXP(-r_free*B696)</f>
        <v>0.944632889098541</v>
      </c>
    </row>
    <row r="697" spans="1:3">
      <c r="A697" s="10">
        <v>694</v>
      </c>
      <c r="B697" s="12">
        <f t="shared" si="10"/>
        <v>1.9013698630137</v>
      </c>
      <c r="C697" s="12">
        <f>EXP(-r_free*B697)</f>
        <v>0.944555251229804</v>
      </c>
    </row>
    <row r="698" spans="1:3">
      <c r="A698" s="4">
        <v>695</v>
      </c>
      <c r="B698" s="6">
        <f t="shared" si="10"/>
        <v>1.9041095890411</v>
      </c>
      <c r="C698" s="6">
        <f>EXP(-r_free*B698)</f>
        <v>0.944477619742</v>
      </c>
    </row>
    <row r="699" spans="1:3">
      <c r="A699" s="10">
        <v>696</v>
      </c>
      <c r="B699" s="12">
        <f t="shared" si="10"/>
        <v>1.90684931506849</v>
      </c>
      <c r="C699" s="12">
        <f>EXP(-r_free*B699)</f>
        <v>0.944399994634603</v>
      </c>
    </row>
    <row r="700" spans="1:3">
      <c r="A700" s="4">
        <v>697</v>
      </c>
      <c r="B700" s="6">
        <f t="shared" si="10"/>
        <v>1.90958904109589</v>
      </c>
      <c r="C700" s="6">
        <f>EXP(-r_free*B700)</f>
        <v>0.944322375907091</v>
      </c>
    </row>
    <row r="701" spans="1:3">
      <c r="A701" s="10">
        <v>698</v>
      </c>
      <c r="B701" s="12">
        <f t="shared" si="10"/>
        <v>1.91232876712329</v>
      </c>
      <c r="C701" s="12">
        <f>EXP(-r_free*B701)</f>
        <v>0.944244763558937</v>
      </c>
    </row>
    <row r="702" spans="1:3">
      <c r="A702" s="4">
        <v>699</v>
      </c>
      <c r="B702" s="6">
        <f t="shared" si="10"/>
        <v>1.91506849315068</v>
      </c>
      <c r="C702" s="6">
        <f>EXP(-r_free*B702)</f>
        <v>0.944167157589618</v>
      </c>
    </row>
    <row r="703" spans="1:3">
      <c r="A703" s="10">
        <v>700</v>
      </c>
      <c r="B703" s="12">
        <f t="shared" si="10"/>
        <v>1.91780821917808</v>
      </c>
      <c r="C703" s="12">
        <f>EXP(-r_free*B703)</f>
        <v>0.94408955799861</v>
      </c>
    </row>
    <row r="704" spans="1:3">
      <c r="A704" s="4">
        <v>701</v>
      </c>
      <c r="B704" s="6">
        <f t="shared" si="10"/>
        <v>1.92054794520548</v>
      </c>
      <c r="C704" s="6">
        <f>EXP(-r_free*B704)</f>
        <v>0.944011964785389</v>
      </c>
    </row>
    <row r="705" spans="1:3">
      <c r="A705" s="10">
        <v>702</v>
      </c>
      <c r="B705" s="12">
        <f t="shared" si="10"/>
        <v>1.92328767123288</v>
      </c>
      <c r="C705" s="12">
        <f>EXP(-r_free*B705)</f>
        <v>0.94393437794943</v>
      </c>
    </row>
    <row r="706" spans="1:3">
      <c r="A706" s="4">
        <v>703</v>
      </c>
      <c r="B706" s="6">
        <f t="shared" si="10"/>
        <v>1.92602739726027</v>
      </c>
      <c r="C706" s="6">
        <f>EXP(-r_free*B706)</f>
        <v>0.943856797490209</v>
      </c>
    </row>
    <row r="707" spans="1:3">
      <c r="A707" s="10">
        <v>704</v>
      </c>
      <c r="B707" s="12">
        <f t="shared" ref="B707:B770" si="11">A707/365</f>
        <v>1.92876712328767</v>
      </c>
      <c r="C707" s="12">
        <f>EXP(-r_free*B707)</f>
        <v>0.943779223407202</v>
      </c>
    </row>
    <row r="708" spans="1:3">
      <c r="A708" s="4">
        <v>705</v>
      </c>
      <c r="B708" s="6">
        <f t="shared" si="11"/>
        <v>1.93150684931507</v>
      </c>
      <c r="C708" s="6">
        <f>EXP(-r_free*B708)</f>
        <v>0.943701655699885</v>
      </c>
    </row>
    <row r="709" spans="1:3">
      <c r="A709" s="10">
        <v>706</v>
      </c>
      <c r="B709" s="12">
        <f t="shared" si="11"/>
        <v>1.93424657534247</v>
      </c>
      <c r="C709" s="12">
        <f>EXP(-r_free*B709)</f>
        <v>0.943624094367734</v>
      </c>
    </row>
    <row r="710" spans="1:3">
      <c r="A710" s="4">
        <v>707</v>
      </c>
      <c r="B710" s="6">
        <f t="shared" si="11"/>
        <v>1.93698630136986</v>
      </c>
      <c r="C710" s="6">
        <f>EXP(-r_free*B710)</f>
        <v>0.943546539410225</v>
      </c>
    </row>
    <row r="711" spans="1:3">
      <c r="A711" s="10">
        <v>708</v>
      </c>
      <c r="B711" s="12">
        <f t="shared" si="11"/>
        <v>1.93972602739726</v>
      </c>
      <c r="C711" s="12">
        <f>EXP(-r_free*B711)</f>
        <v>0.943468990826835</v>
      </c>
    </row>
    <row r="712" spans="1:3">
      <c r="A712" s="4">
        <v>709</v>
      </c>
      <c r="B712" s="6">
        <f t="shared" si="11"/>
        <v>1.94246575342466</v>
      </c>
      <c r="C712" s="6">
        <f>EXP(-r_free*B712)</f>
        <v>0.943391448617038</v>
      </c>
    </row>
    <row r="713" spans="1:3">
      <c r="A713" s="10">
        <v>710</v>
      </c>
      <c r="B713" s="12">
        <f t="shared" si="11"/>
        <v>1.94520547945205</v>
      </c>
      <c r="C713" s="12">
        <f>EXP(-r_free*B713)</f>
        <v>0.943313912780312</v>
      </c>
    </row>
    <row r="714" spans="1:3">
      <c r="A714" s="4">
        <v>711</v>
      </c>
      <c r="B714" s="6">
        <f t="shared" si="11"/>
        <v>1.94794520547945</v>
      </c>
      <c r="C714" s="6">
        <f>EXP(-r_free*B714)</f>
        <v>0.943236383316133</v>
      </c>
    </row>
    <row r="715" spans="1:3">
      <c r="A715" s="10">
        <v>712</v>
      </c>
      <c r="B715" s="12">
        <f t="shared" si="11"/>
        <v>1.95068493150685</v>
      </c>
      <c r="C715" s="12">
        <f>EXP(-r_free*B715)</f>
        <v>0.943158860223976</v>
      </c>
    </row>
    <row r="716" spans="1:3">
      <c r="A716" s="4">
        <v>713</v>
      </c>
      <c r="B716" s="6">
        <f t="shared" si="11"/>
        <v>1.95342465753425</v>
      </c>
      <c r="C716" s="6">
        <f>EXP(-r_free*B716)</f>
        <v>0.943081343503319</v>
      </c>
    </row>
    <row r="717" spans="1:3">
      <c r="A717" s="10">
        <v>714</v>
      </c>
      <c r="B717" s="12">
        <f t="shared" si="11"/>
        <v>1.95616438356164</v>
      </c>
      <c r="C717" s="12">
        <f>EXP(-r_free*B717)</f>
        <v>0.943003833153636</v>
      </c>
    </row>
    <row r="718" spans="1:3">
      <c r="A718" s="4">
        <v>715</v>
      </c>
      <c r="B718" s="6">
        <f t="shared" si="11"/>
        <v>1.95890410958904</v>
      </c>
      <c r="C718" s="6">
        <f>EXP(-r_free*B718)</f>
        <v>0.942926329174406</v>
      </c>
    </row>
    <row r="719" spans="1:3">
      <c r="A719" s="10">
        <v>716</v>
      </c>
      <c r="B719" s="12">
        <f t="shared" si="11"/>
        <v>1.96164383561644</v>
      </c>
      <c r="C719" s="12">
        <f>EXP(-r_free*B719)</f>
        <v>0.942848831565105</v>
      </c>
    </row>
    <row r="720" spans="1:3">
      <c r="A720" s="4">
        <v>717</v>
      </c>
      <c r="B720" s="6">
        <f t="shared" si="11"/>
        <v>1.96438356164384</v>
      </c>
      <c r="C720" s="6">
        <f>EXP(-r_free*B720)</f>
        <v>0.942771340325207</v>
      </c>
    </row>
    <row r="721" spans="1:4">
      <c r="A721" s="10">
        <v>718</v>
      </c>
      <c r="B721" s="12">
        <f t="shared" si="11"/>
        <v>1.96712328767123</v>
      </c>
      <c r="C721" s="12">
        <f>EXP(-r_free*B721)</f>
        <v>0.942693855454192</v>
      </c>
    </row>
    <row r="722" spans="1:4">
      <c r="A722" s="4">
        <v>719</v>
      </c>
      <c r="B722" s="6">
        <f t="shared" si="11"/>
        <v>1.96986301369863</v>
      </c>
      <c r="C722" s="6">
        <f>EXP(-r_free*B722)</f>
        <v>0.942616376951534</v>
      </c>
    </row>
    <row r="723" spans="1:4">
      <c r="A723" s="10">
        <v>720</v>
      </c>
      <c r="B723" s="12">
        <f t="shared" si="11"/>
        <v>1.97260273972603</v>
      </c>
      <c r="C723" s="12">
        <f>EXP(-r_free*B723)</f>
        <v>0.94253890481671</v>
      </c>
    </row>
    <row r="724" spans="1:4">
      <c r="A724" s="4">
        <v>721</v>
      </c>
      <c r="B724" s="6">
        <f t="shared" si="11"/>
        <v>1.97534246575342</v>
      </c>
      <c r="C724" s="6">
        <f>EXP(-r_free*B724)</f>
        <v>0.942461439049198</v>
      </c>
    </row>
    <row r="725" spans="1:4">
      <c r="A725" s="10">
        <v>722</v>
      </c>
      <c r="B725" s="12">
        <f t="shared" si="11"/>
        <v>1.97808219178082</v>
      </c>
      <c r="C725" s="12">
        <f>EXP(-r_free*B725)</f>
        <v>0.942383979648473</v>
      </c>
    </row>
    <row r="726" spans="1:4">
      <c r="A726" s="4">
        <v>723</v>
      </c>
      <c r="B726" s="6">
        <f t="shared" si="11"/>
        <v>1.98082191780822</v>
      </c>
      <c r="C726" s="6">
        <f>EXP(-r_free*B726)</f>
        <v>0.942306526614012</v>
      </c>
    </row>
    <row r="727" spans="1:4">
      <c r="A727" s="10">
        <v>724</v>
      </c>
      <c r="B727" s="12">
        <f t="shared" si="11"/>
        <v>1.98356164383562</v>
      </c>
      <c r="C727" s="12">
        <f>EXP(-r_free*B727)</f>
        <v>0.942229079945293</v>
      </c>
    </row>
    <row r="728" spans="1:4">
      <c r="A728" s="4">
        <v>725</v>
      </c>
      <c r="B728" s="6">
        <f t="shared" si="11"/>
        <v>1.98630136986301</v>
      </c>
      <c r="C728" s="6">
        <f>EXP(-r_free*B728)</f>
        <v>0.942151639641792</v>
      </c>
    </row>
    <row r="729" spans="1:4">
      <c r="A729" s="10">
        <v>726</v>
      </c>
      <c r="B729" s="12">
        <f t="shared" si="11"/>
        <v>1.98904109589041</v>
      </c>
      <c r="C729" s="12">
        <f>EXP(-r_free*B729)</f>
        <v>0.942074205702986</v>
      </c>
    </row>
    <row r="730" spans="1:4">
      <c r="A730" s="4">
        <v>727</v>
      </c>
      <c r="B730" s="6">
        <f t="shared" si="11"/>
        <v>1.99178082191781</v>
      </c>
      <c r="C730" s="6">
        <f>EXP(-r_free*B730)</f>
        <v>0.941996778128352</v>
      </c>
    </row>
    <row r="731" spans="1:4">
      <c r="A731" s="10">
        <v>728</v>
      </c>
      <c r="B731" s="12">
        <f t="shared" si="11"/>
        <v>1.99452054794521</v>
      </c>
      <c r="C731" s="12">
        <f>EXP(-r_free*B731)</f>
        <v>0.941919356917366</v>
      </c>
    </row>
    <row r="732" spans="1:4">
      <c r="A732" s="4">
        <v>729</v>
      </c>
      <c r="B732" s="6">
        <f t="shared" si="11"/>
        <v>1.9972602739726</v>
      </c>
      <c r="C732" s="6">
        <f>EXP(-r_free*B732)</f>
        <v>0.941841942069506</v>
      </c>
    </row>
    <row r="733" spans="1:4">
      <c r="A733" s="10">
        <v>730</v>
      </c>
      <c r="B733" s="12">
        <f t="shared" si="11"/>
        <v>2</v>
      </c>
      <c r="C733" s="12">
        <f>EXP(-r_free*B733)</f>
        <v>0.941764533584249</v>
      </c>
      <c r="D733" s="43" t="s">
        <v>42</v>
      </c>
    </row>
    <row r="734" spans="1:4">
      <c r="A734" s="4">
        <v>731</v>
      </c>
      <c r="B734" s="6">
        <f t="shared" si="11"/>
        <v>2.0027397260274</v>
      </c>
      <c r="C734" s="6">
        <f>EXP(-r_free*B734)</f>
        <v>0.941687131461071</v>
      </c>
    </row>
    <row r="735" spans="1:4">
      <c r="A735" s="10">
        <v>732</v>
      </c>
      <c r="B735" s="12">
        <f t="shared" si="11"/>
        <v>2.00547945205479</v>
      </c>
      <c r="C735" s="12">
        <f>EXP(-r_free*B735)</f>
        <v>0.941609735699451</v>
      </c>
    </row>
    <row r="736" spans="1:4">
      <c r="A736" s="4">
        <v>733</v>
      </c>
      <c r="B736" s="6">
        <f t="shared" si="11"/>
        <v>2.00821917808219</v>
      </c>
      <c r="C736" s="6">
        <f>EXP(-r_free*B736)</f>
        <v>0.941532346298864</v>
      </c>
    </row>
    <row r="737" spans="1:3">
      <c r="A737" s="10">
        <v>734</v>
      </c>
      <c r="B737" s="12">
        <f t="shared" si="11"/>
        <v>2.01095890410959</v>
      </c>
      <c r="C737" s="12">
        <f>EXP(-r_free*B737)</f>
        <v>0.941454963258789</v>
      </c>
    </row>
    <row r="738" spans="1:3">
      <c r="A738" s="4">
        <v>735</v>
      </c>
      <c r="B738" s="6">
        <f t="shared" si="11"/>
        <v>2.01369863013699</v>
      </c>
      <c r="C738" s="6">
        <f>EXP(-r_free*B738)</f>
        <v>0.941377586578702</v>
      </c>
    </row>
    <row r="739" spans="1:3">
      <c r="A739" s="10">
        <v>736</v>
      </c>
      <c r="B739" s="12">
        <f t="shared" si="11"/>
        <v>2.01643835616438</v>
      </c>
      <c r="C739" s="12">
        <f>EXP(-r_free*B739)</f>
        <v>0.941300216258081</v>
      </c>
    </row>
    <row r="740" spans="1:3">
      <c r="A740" s="4">
        <v>737</v>
      </c>
      <c r="B740" s="6">
        <f t="shared" si="11"/>
        <v>2.01917808219178</v>
      </c>
      <c r="C740" s="6">
        <f>EXP(-r_free*B740)</f>
        <v>0.941222852296403</v>
      </c>
    </row>
    <row r="741" spans="1:3">
      <c r="A741" s="10">
        <v>738</v>
      </c>
      <c r="B741" s="12">
        <f t="shared" si="11"/>
        <v>2.02191780821918</v>
      </c>
      <c r="C741" s="12">
        <f>EXP(-r_free*B741)</f>
        <v>0.941145494693146</v>
      </c>
    </row>
    <row r="742" spans="1:3">
      <c r="A742" s="4">
        <v>739</v>
      </c>
      <c r="B742" s="6">
        <f t="shared" si="11"/>
        <v>2.02465753424658</v>
      </c>
      <c r="C742" s="6">
        <f>EXP(-r_free*B742)</f>
        <v>0.941068143447786</v>
      </c>
    </row>
    <row r="743" spans="1:3">
      <c r="A743" s="10">
        <v>740</v>
      </c>
      <c r="B743" s="12">
        <f t="shared" si="11"/>
        <v>2.02739726027397</v>
      </c>
      <c r="C743" s="12">
        <f>EXP(-r_free*B743)</f>
        <v>0.940990798559802</v>
      </c>
    </row>
    <row r="744" spans="1:3">
      <c r="A744" s="4">
        <v>741</v>
      </c>
      <c r="B744" s="6">
        <f t="shared" si="11"/>
        <v>2.03013698630137</v>
      </c>
      <c r="C744" s="6">
        <f>EXP(-r_free*B744)</f>
        <v>0.940913460028671</v>
      </c>
    </row>
    <row r="745" spans="1:3">
      <c r="A745" s="10">
        <v>742</v>
      </c>
      <c r="B745" s="12">
        <f t="shared" si="11"/>
        <v>2.03287671232877</v>
      </c>
      <c r="C745" s="12">
        <f>EXP(-r_free*B745)</f>
        <v>0.94083612785387</v>
      </c>
    </row>
    <row r="746" spans="1:3">
      <c r="A746" s="4">
        <v>743</v>
      </c>
      <c r="B746" s="6">
        <f t="shared" si="11"/>
        <v>2.03561643835616</v>
      </c>
      <c r="C746" s="6">
        <f>EXP(-r_free*B746)</f>
        <v>0.940758802034877</v>
      </c>
    </row>
    <row r="747" spans="1:3">
      <c r="A747" s="10">
        <v>744</v>
      </c>
      <c r="B747" s="12">
        <f t="shared" si="11"/>
        <v>2.03835616438356</v>
      </c>
      <c r="C747" s="12">
        <f>EXP(-r_free*B747)</f>
        <v>0.94068148257117</v>
      </c>
    </row>
    <row r="748" spans="1:3">
      <c r="A748" s="4">
        <v>745</v>
      </c>
      <c r="B748" s="6">
        <f t="shared" si="11"/>
        <v>2.04109589041096</v>
      </c>
      <c r="C748" s="6">
        <f>EXP(-r_free*B748)</f>
        <v>0.940604169462225</v>
      </c>
    </row>
    <row r="749" spans="1:3">
      <c r="A749" s="10">
        <v>746</v>
      </c>
      <c r="B749" s="12">
        <f t="shared" si="11"/>
        <v>2.04383561643836</v>
      </c>
      <c r="C749" s="12">
        <f>EXP(-r_free*B749)</f>
        <v>0.940526862707522</v>
      </c>
    </row>
    <row r="750" spans="1:3">
      <c r="A750" s="4">
        <v>747</v>
      </c>
      <c r="B750" s="6">
        <f t="shared" si="11"/>
        <v>2.04657534246575</v>
      </c>
      <c r="C750" s="6">
        <f>EXP(-r_free*B750)</f>
        <v>0.940449562306538</v>
      </c>
    </row>
    <row r="751" spans="1:3">
      <c r="A751" s="10">
        <v>748</v>
      </c>
      <c r="B751" s="12">
        <f t="shared" si="11"/>
        <v>2.04931506849315</v>
      </c>
      <c r="C751" s="12">
        <f>EXP(-r_free*B751)</f>
        <v>0.94037226825875</v>
      </c>
    </row>
    <row r="752" spans="1:3">
      <c r="A752" s="4">
        <v>749</v>
      </c>
      <c r="B752" s="6">
        <f t="shared" si="11"/>
        <v>2.05205479452055</v>
      </c>
      <c r="C752" s="6">
        <f>EXP(-r_free*B752)</f>
        <v>0.940294980563636</v>
      </c>
    </row>
    <row r="753" spans="1:3">
      <c r="A753" s="10">
        <v>750</v>
      </c>
      <c r="B753" s="12">
        <f t="shared" si="11"/>
        <v>2.05479452054795</v>
      </c>
      <c r="C753" s="12">
        <f>EXP(-r_free*B753)</f>
        <v>0.940217699220675</v>
      </c>
    </row>
    <row r="754" spans="1:3">
      <c r="A754" s="4">
        <v>751</v>
      </c>
      <c r="B754" s="6">
        <f t="shared" si="11"/>
        <v>2.05753424657534</v>
      </c>
      <c r="C754" s="6">
        <f>EXP(-r_free*B754)</f>
        <v>0.940140424229344</v>
      </c>
    </row>
    <row r="755" spans="1:3">
      <c r="A755" s="10">
        <v>752</v>
      </c>
      <c r="B755" s="12">
        <f t="shared" si="11"/>
        <v>2.06027397260274</v>
      </c>
      <c r="C755" s="12">
        <f>EXP(-r_free*B755)</f>
        <v>0.940063155589121</v>
      </c>
    </row>
    <row r="756" spans="1:3">
      <c r="A756" s="4">
        <v>753</v>
      </c>
      <c r="B756" s="6">
        <f t="shared" si="11"/>
        <v>2.06301369863014</v>
      </c>
      <c r="C756" s="6">
        <f>EXP(-r_free*B756)</f>
        <v>0.939985893299484</v>
      </c>
    </row>
    <row r="757" spans="1:3">
      <c r="A757" s="10">
        <v>754</v>
      </c>
      <c r="B757" s="12">
        <f t="shared" si="11"/>
        <v>2.06575342465753</v>
      </c>
      <c r="C757" s="12">
        <f>EXP(-r_free*B757)</f>
        <v>0.939908637359911</v>
      </c>
    </row>
    <row r="758" spans="1:3">
      <c r="A758" s="4">
        <v>755</v>
      </c>
      <c r="B758" s="6">
        <f t="shared" si="11"/>
        <v>2.06849315068493</v>
      </c>
      <c r="C758" s="6">
        <f>EXP(-r_free*B758)</f>
        <v>0.939831387769881</v>
      </c>
    </row>
    <row r="759" spans="1:3">
      <c r="A759" s="10">
        <v>756</v>
      </c>
      <c r="B759" s="12">
        <f t="shared" si="11"/>
        <v>2.07123287671233</v>
      </c>
      <c r="C759" s="12">
        <f>EXP(-r_free*B759)</f>
        <v>0.939754144528871</v>
      </c>
    </row>
    <row r="760" spans="1:3">
      <c r="A760" s="4">
        <v>757</v>
      </c>
      <c r="B760" s="6">
        <f t="shared" si="11"/>
        <v>2.07397260273973</v>
      </c>
      <c r="C760" s="6">
        <f>EXP(-r_free*B760)</f>
        <v>0.93967690763636</v>
      </c>
    </row>
    <row r="761" spans="1:3">
      <c r="A761" s="10">
        <v>758</v>
      </c>
      <c r="B761" s="12">
        <f t="shared" si="11"/>
        <v>2.07671232876712</v>
      </c>
      <c r="C761" s="12">
        <f>EXP(-r_free*B761)</f>
        <v>0.939599677091825</v>
      </c>
    </row>
    <row r="762" spans="1:3">
      <c r="A762" s="4">
        <v>759</v>
      </c>
      <c r="B762" s="6">
        <f t="shared" si="11"/>
        <v>2.07945205479452</v>
      </c>
      <c r="C762" s="6">
        <f>EXP(-r_free*B762)</f>
        <v>0.939522452894746</v>
      </c>
    </row>
    <row r="763" spans="1:3">
      <c r="A763" s="10">
        <v>760</v>
      </c>
      <c r="B763" s="12">
        <f t="shared" si="11"/>
        <v>2.08219178082192</v>
      </c>
      <c r="C763" s="12">
        <f>EXP(-r_free*B763)</f>
        <v>0.9394452350446</v>
      </c>
    </row>
    <row r="764" spans="1:3">
      <c r="A764" s="4">
        <v>761</v>
      </c>
      <c r="B764" s="6">
        <f t="shared" si="11"/>
        <v>2.08493150684931</v>
      </c>
      <c r="C764" s="6">
        <f>EXP(-r_free*B764)</f>
        <v>0.939368023540866</v>
      </c>
    </row>
    <row r="765" spans="1:3">
      <c r="A765" s="10">
        <v>762</v>
      </c>
      <c r="B765" s="12">
        <f t="shared" si="11"/>
        <v>2.08767123287671</v>
      </c>
      <c r="C765" s="12">
        <f>EXP(-r_free*B765)</f>
        <v>0.939290818383023</v>
      </c>
    </row>
    <row r="766" spans="1:3">
      <c r="A766" s="4">
        <v>763</v>
      </c>
      <c r="B766" s="6">
        <f t="shared" si="11"/>
        <v>2.09041095890411</v>
      </c>
      <c r="C766" s="6">
        <f>EXP(-r_free*B766)</f>
        <v>0.939213619570547</v>
      </c>
    </row>
    <row r="767" spans="1:3">
      <c r="A767" s="10">
        <v>764</v>
      </c>
      <c r="B767" s="12">
        <f t="shared" si="11"/>
        <v>2.09315068493151</v>
      </c>
      <c r="C767" s="12">
        <f>EXP(-r_free*B767)</f>
        <v>0.939136427102919</v>
      </c>
    </row>
    <row r="768" spans="1:3">
      <c r="A768" s="4">
        <v>765</v>
      </c>
      <c r="B768" s="6">
        <f t="shared" si="11"/>
        <v>2.0958904109589</v>
      </c>
      <c r="C768" s="6">
        <f>EXP(-r_free*B768)</f>
        <v>0.939059240979617</v>
      </c>
    </row>
    <row r="769" spans="1:3">
      <c r="A769" s="10">
        <v>766</v>
      </c>
      <c r="B769" s="12">
        <f t="shared" si="11"/>
        <v>2.0986301369863</v>
      </c>
      <c r="C769" s="12">
        <f>EXP(-r_free*B769)</f>
        <v>0.938982061200119</v>
      </c>
    </row>
    <row r="770" spans="1:3">
      <c r="A770" s="4">
        <v>767</v>
      </c>
      <c r="B770" s="6">
        <f t="shared" si="11"/>
        <v>2.1013698630137</v>
      </c>
      <c r="C770" s="6">
        <f>EXP(-r_free*B770)</f>
        <v>0.938904887763903</v>
      </c>
    </row>
    <row r="771" spans="1:3">
      <c r="A771" s="10">
        <v>768</v>
      </c>
      <c r="B771" s="12">
        <f t="shared" ref="B771:B834" si="12">A771/365</f>
        <v>2.1041095890411</v>
      </c>
      <c r="C771" s="12">
        <f>EXP(-r_free*B771)</f>
        <v>0.93882772067045</v>
      </c>
    </row>
    <row r="772" spans="1:3">
      <c r="A772" s="4">
        <v>769</v>
      </c>
      <c r="B772" s="6">
        <f t="shared" si="12"/>
        <v>2.10684931506849</v>
      </c>
      <c r="C772" s="6">
        <f>EXP(-r_free*B772)</f>
        <v>0.938750559919236</v>
      </c>
    </row>
    <row r="773" spans="1:3">
      <c r="A773" s="10">
        <v>770</v>
      </c>
      <c r="B773" s="12">
        <f t="shared" si="12"/>
        <v>2.10958904109589</v>
      </c>
      <c r="C773" s="12">
        <f>EXP(-r_free*B773)</f>
        <v>0.938673405509741</v>
      </c>
    </row>
    <row r="774" spans="1:3">
      <c r="A774" s="4">
        <v>771</v>
      </c>
      <c r="B774" s="6">
        <f t="shared" si="12"/>
        <v>2.11232876712329</v>
      </c>
      <c r="C774" s="6">
        <f>EXP(-r_free*B774)</f>
        <v>0.938596257441444</v>
      </c>
    </row>
    <row r="775" spans="1:3">
      <c r="A775" s="10">
        <v>772</v>
      </c>
      <c r="B775" s="12">
        <f t="shared" si="12"/>
        <v>2.11506849315069</v>
      </c>
      <c r="C775" s="12">
        <f>EXP(-r_free*B775)</f>
        <v>0.938519115713824</v>
      </c>
    </row>
    <row r="776" spans="1:3">
      <c r="A776" s="4">
        <v>773</v>
      </c>
      <c r="B776" s="6">
        <f t="shared" si="12"/>
        <v>2.11780821917808</v>
      </c>
      <c r="C776" s="6">
        <f>EXP(-r_free*B776)</f>
        <v>0.938441980326359</v>
      </c>
    </row>
    <row r="777" spans="1:3">
      <c r="A777" s="10">
        <v>774</v>
      </c>
      <c r="B777" s="12">
        <f t="shared" si="12"/>
        <v>2.12054794520548</v>
      </c>
      <c r="C777" s="12">
        <f>EXP(-r_free*B777)</f>
        <v>0.938364851278528</v>
      </c>
    </row>
    <row r="778" spans="1:3">
      <c r="A778" s="4">
        <v>775</v>
      </c>
      <c r="B778" s="6">
        <f t="shared" si="12"/>
        <v>2.12328767123288</v>
      </c>
      <c r="C778" s="6">
        <f>EXP(-r_free*B778)</f>
        <v>0.93828772856981</v>
      </c>
    </row>
    <row r="779" spans="1:3">
      <c r="A779" s="10">
        <v>776</v>
      </c>
      <c r="B779" s="12">
        <f t="shared" si="12"/>
        <v>2.12602739726027</v>
      </c>
      <c r="C779" s="12">
        <f>EXP(-r_free*B779)</f>
        <v>0.938210612199685</v>
      </c>
    </row>
    <row r="780" spans="1:3">
      <c r="A780" s="4">
        <v>777</v>
      </c>
      <c r="B780" s="6">
        <f t="shared" si="12"/>
        <v>2.12876712328767</v>
      </c>
      <c r="C780" s="6">
        <f>EXP(-r_free*B780)</f>
        <v>0.938133502167631</v>
      </c>
    </row>
    <row r="781" spans="1:3">
      <c r="A781" s="10">
        <v>778</v>
      </c>
      <c r="B781" s="12">
        <f t="shared" si="12"/>
        <v>2.13150684931507</v>
      </c>
      <c r="C781" s="12">
        <f>EXP(-r_free*B781)</f>
        <v>0.938056398473128</v>
      </c>
    </row>
    <row r="782" spans="1:3">
      <c r="A782" s="4">
        <v>779</v>
      </c>
      <c r="B782" s="6">
        <f t="shared" si="12"/>
        <v>2.13424657534247</v>
      </c>
      <c r="C782" s="6">
        <f>EXP(-r_free*B782)</f>
        <v>0.937979301115654</v>
      </c>
    </row>
    <row r="783" spans="1:3">
      <c r="A783" s="10">
        <v>780</v>
      </c>
      <c r="B783" s="12">
        <f t="shared" si="12"/>
        <v>2.13698630136986</v>
      </c>
      <c r="C783" s="12">
        <f>EXP(-r_free*B783)</f>
        <v>0.937902210094689</v>
      </c>
    </row>
    <row r="784" spans="1:3">
      <c r="A784" s="4">
        <v>781</v>
      </c>
      <c r="B784" s="6">
        <f t="shared" si="12"/>
        <v>2.13972602739726</v>
      </c>
      <c r="C784" s="6">
        <f>EXP(-r_free*B784)</f>
        <v>0.937825125409711</v>
      </c>
    </row>
    <row r="785" spans="1:3">
      <c r="A785" s="10">
        <v>782</v>
      </c>
      <c r="B785" s="12">
        <f t="shared" si="12"/>
        <v>2.14246575342466</v>
      </c>
      <c r="C785" s="12">
        <f>EXP(-r_free*B785)</f>
        <v>0.937748047060201</v>
      </c>
    </row>
    <row r="786" spans="1:3">
      <c r="A786" s="4">
        <v>783</v>
      </c>
      <c r="B786" s="6">
        <f t="shared" si="12"/>
        <v>2.14520547945205</v>
      </c>
      <c r="C786" s="6">
        <f>EXP(-r_free*B786)</f>
        <v>0.937670975045637</v>
      </c>
    </row>
    <row r="787" spans="1:3">
      <c r="A787" s="10">
        <v>784</v>
      </c>
      <c r="B787" s="12">
        <f t="shared" si="12"/>
        <v>2.14794520547945</v>
      </c>
      <c r="C787" s="12">
        <f>EXP(-r_free*B787)</f>
        <v>0.937593909365499</v>
      </c>
    </row>
    <row r="788" spans="1:3">
      <c r="A788" s="4">
        <v>785</v>
      </c>
      <c r="B788" s="6">
        <f t="shared" si="12"/>
        <v>2.15068493150685</v>
      </c>
      <c r="C788" s="6">
        <f>EXP(-r_free*B788)</f>
        <v>0.937516850019267</v>
      </c>
    </row>
    <row r="789" spans="1:3">
      <c r="A789" s="10">
        <v>786</v>
      </c>
      <c r="B789" s="12">
        <f t="shared" si="12"/>
        <v>2.15342465753425</v>
      </c>
      <c r="C789" s="12">
        <f>EXP(-r_free*B789)</f>
        <v>0.937439797006419</v>
      </c>
    </row>
    <row r="790" spans="1:3">
      <c r="A790" s="4">
        <v>787</v>
      </c>
      <c r="B790" s="6">
        <f t="shared" si="12"/>
        <v>2.15616438356164</v>
      </c>
      <c r="C790" s="6">
        <f>EXP(-r_free*B790)</f>
        <v>0.937362750326435</v>
      </c>
    </row>
    <row r="791" spans="1:3">
      <c r="A791" s="10">
        <v>788</v>
      </c>
      <c r="B791" s="12">
        <f t="shared" si="12"/>
        <v>2.15890410958904</v>
      </c>
      <c r="C791" s="12">
        <f>EXP(-r_free*B791)</f>
        <v>0.937285709978794</v>
      </c>
    </row>
    <row r="792" spans="1:3">
      <c r="A792" s="4">
        <v>789</v>
      </c>
      <c r="B792" s="6">
        <f t="shared" si="12"/>
        <v>2.16164383561644</v>
      </c>
      <c r="C792" s="6">
        <f>EXP(-r_free*B792)</f>
        <v>0.937208675962977</v>
      </c>
    </row>
    <row r="793" spans="1:3">
      <c r="A793" s="10">
        <v>790</v>
      </c>
      <c r="B793" s="12">
        <f t="shared" si="12"/>
        <v>2.16438356164384</v>
      </c>
      <c r="C793" s="12">
        <f>EXP(-r_free*B793)</f>
        <v>0.937131648278462</v>
      </c>
    </row>
    <row r="794" spans="1:3">
      <c r="A794" s="4">
        <v>791</v>
      </c>
      <c r="B794" s="6">
        <f t="shared" si="12"/>
        <v>2.16712328767123</v>
      </c>
      <c r="C794" s="6">
        <f>EXP(-r_free*B794)</f>
        <v>0.93705462692473</v>
      </c>
    </row>
    <row r="795" spans="1:3">
      <c r="A795" s="10">
        <v>792</v>
      </c>
      <c r="B795" s="12">
        <f t="shared" si="12"/>
        <v>2.16986301369863</v>
      </c>
      <c r="C795" s="12">
        <f>EXP(-r_free*B795)</f>
        <v>0.93697761190126</v>
      </c>
    </row>
    <row r="796" spans="1:3">
      <c r="A796" s="4">
        <v>793</v>
      </c>
      <c r="B796" s="6">
        <f t="shared" si="12"/>
        <v>2.17260273972603</v>
      </c>
      <c r="C796" s="6">
        <f>EXP(-r_free*B796)</f>
        <v>0.936900603207532</v>
      </c>
    </row>
    <row r="797" spans="1:3">
      <c r="A797" s="10">
        <v>794</v>
      </c>
      <c r="B797" s="12">
        <f t="shared" si="12"/>
        <v>2.17534246575342</v>
      </c>
      <c r="C797" s="12">
        <f>EXP(-r_free*B797)</f>
        <v>0.936823600843025</v>
      </c>
    </row>
    <row r="798" spans="1:3">
      <c r="A798" s="4">
        <v>795</v>
      </c>
      <c r="B798" s="6">
        <f t="shared" si="12"/>
        <v>2.17808219178082</v>
      </c>
      <c r="C798" s="6">
        <f>EXP(-r_free*B798)</f>
        <v>0.93674660480722</v>
      </c>
    </row>
    <row r="799" spans="1:3">
      <c r="A799" s="10">
        <v>796</v>
      </c>
      <c r="B799" s="12">
        <f t="shared" si="12"/>
        <v>2.18082191780822</v>
      </c>
      <c r="C799" s="12">
        <f>EXP(-r_free*B799)</f>
        <v>0.936669615099596</v>
      </c>
    </row>
    <row r="800" spans="1:3">
      <c r="A800" s="4">
        <v>797</v>
      </c>
      <c r="B800" s="6">
        <f t="shared" si="12"/>
        <v>2.18356164383562</v>
      </c>
      <c r="C800" s="6">
        <f>EXP(-r_free*B800)</f>
        <v>0.936592631719633</v>
      </c>
    </row>
    <row r="801" spans="1:3">
      <c r="A801" s="10">
        <v>798</v>
      </c>
      <c r="B801" s="12">
        <f t="shared" si="12"/>
        <v>2.18630136986301</v>
      </c>
      <c r="C801" s="12">
        <f>EXP(-r_free*B801)</f>
        <v>0.936515654666811</v>
      </c>
    </row>
    <row r="802" spans="1:3">
      <c r="A802" s="4">
        <v>799</v>
      </c>
      <c r="B802" s="6">
        <f t="shared" si="12"/>
        <v>2.18904109589041</v>
      </c>
      <c r="C802" s="6">
        <f>EXP(-r_free*B802)</f>
        <v>0.93643868394061</v>
      </c>
    </row>
    <row r="803" spans="1:3">
      <c r="A803" s="10">
        <v>800</v>
      </c>
      <c r="B803" s="12">
        <f t="shared" si="12"/>
        <v>2.19178082191781</v>
      </c>
      <c r="C803" s="12">
        <f>EXP(-r_free*B803)</f>
        <v>0.936361719540511</v>
      </c>
    </row>
    <row r="804" spans="1:3">
      <c r="A804" s="4">
        <v>801</v>
      </c>
      <c r="B804" s="6">
        <f t="shared" si="12"/>
        <v>2.19452054794521</v>
      </c>
      <c r="C804" s="6">
        <f>EXP(-r_free*B804)</f>
        <v>0.936284761465992</v>
      </c>
    </row>
    <row r="805" spans="1:3">
      <c r="A805" s="10">
        <v>802</v>
      </c>
      <c r="B805" s="12">
        <f t="shared" si="12"/>
        <v>2.1972602739726</v>
      </c>
      <c r="C805" s="12">
        <f>EXP(-r_free*B805)</f>
        <v>0.936207809716535</v>
      </c>
    </row>
    <row r="806" spans="1:3">
      <c r="A806" s="4">
        <v>803</v>
      </c>
      <c r="B806" s="6">
        <f t="shared" si="12"/>
        <v>2.2</v>
      </c>
      <c r="C806" s="6">
        <f>EXP(-r_free*B806)</f>
        <v>0.936130864291619</v>
      </c>
    </row>
    <row r="807" spans="1:3">
      <c r="A807" s="10">
        <v>804</v>
      </c>
      <c r="B807" s="12">
        <f t="shared" si="12"/>
        <v>2.2027397260274</v>
      </c>
      <c r="C807" s="12">
        <f>EXP(-r_free*B807)</f>
        <v>0.936053925190725</v>
      </c>
    </row>
    <row r="808" spans="1:3">
      <c r="A808" s="4">
        <v>805</v>
      </c>
      <c r="B808" s="6">
        <f t="shared" si="12"/>
        <v>2.20547945205479</v>
      </c>
      <c r="C808" s="6">
        <f>EXP(-r_free*B808)</f>
        <v>0.935976992413332</v>
      </c>
    </row>
    <row r="809" spans="1:3">
      <c r="A809" s="10">
        <v>806</v>
      </c>
      <c r="B809" s="12">
        <f t="shared" si="12"/>
        <v>2.20821917808219</v>
      </c>
      <c r="C809" s="12">
        <f>EXP(-r_free*B809)</f>
        <v>0.935900065958922</v>
      </c>
    </row>
    <row r="810" spans="1:3">
      <c r="A810" s="4">
        <v>807</v>
      </c>
      <c r="B810" s="6">
        <f t="shared" si="12"/>
        <v>2.21095890410959</v>
      </c>
      <c r="C810" s="6">
        <f>EXP(-r_free*B810)</f>
        <v>0.935823145826974</v>
      </c>
    </row>
    <row r="811" spans="1:3">
      <c r="A811" s="10">
        <v>808</v>
      </c>
      <c r="B811" s="12">
        <f t="shared" si="12"/>
        <v>2.21369863013699</v>
      </c>
      <c r="C811" s="12">
        <f>EXP(-r_free*B811)</f>
        <v>0.935746232016969</v>
      </c>
    </row>
    <row r="812" spans="1:3">
      <c r="A812" s="4">
        <v>809</v>
      </c>
      <c r="B812" s="6">
        <f t="shared" si="12"/>
        <v>2.21643835616438</v>
      </c>
      <c r="C812" s="6">
        <f>EXP(-r_free*B812)</f>
        <v>0.935669324528387</v>
      </c>
    </row>
    <row r="813" spans="1:3">
      <c r="A813" s="10">
        <v>810</v>
      </c>
      <c r="B813" s="12">
        <f t="shared" si="12"/>
        <v>2.21917808219178</v>
      </c>
      <c r="C813" s="12">
        <f>EXP(-r_free*B813)</f>
        <v>0.935592423360709</v>
      </c>
    </row>
    <row r="814" spans="1:3">
      <c r="A814" s="4">
        <v>811</v>
      </c>
      <c r="B814" s="6">
        <f t="shared" si="12"/>
        <v>2.22191780821918</v>
      </c>
      <c r="C814" s="6">
        <f>EXP(-r_free*B814)</f>
        <v>0.935515528513415</v>
      </c>
    </row>
    <row r="815" spans="1:3">
      <c r="A815" s="10">
        <v>812</v>
      </c>
      <c r="B815" s="12">
        <f t="shared" si="12"/>
        <v>2.22465753424658</v>
      </c>
      <c r="C815" s="12">
        <f>EXP(-r_free*B815)</f>
        <v>0.935438639985985</v>
      </c>
    </row>
    <row r="816" spans="1:3">
      <c r="A816" s="4">
        <v>813</v>
      </c>
      <c r="B816" s="6">
        <f t="shared" si="12"/>
        <v>2.22739726027397</v>
      </c>
      <c r="C816" s="6">
        <f>EXP(-r_free*B816)</f>
        <v>0.935361757777901</v>
      </c>
    </row>
    <row r="817" spans="1:4">
      <c r="A817" s="10">
        <v>814</v>
      </c>
      <c r="B817" s="12">
        <f t="shared" si="12"/>
        <v>2.23013698630137</v>
      </c>
      <c r="C817" s="12">
        <f>EXP(-r_free*B817)</f>
        <v>0.935284881888643</v>
      </c>
    </row>
    <row r="818" spans="1:4">
      <c r="A818" s="4">
        <v>815</v>
      </c>
      <c r="B818" s="6">
        <f t="shared" si="12"/>
        <v>2.23287671232877</v>
      </c>
      <c r="C818" s="6">
        <f>EXP(-r_free*B818)</f>
        <v>0.935208012317692</v>
      </c>
    </row>
    <row r="819" spans="1:4">
      <c r="A819" s="10">
        <v>816</v>
      </c>
      <c r="B819" s="12">
        <f t="shared" si="12"/>
        <v>2.23561643835616</v>
      </c>
      <c r="C819" s="12">
        <f>EXP(-r_free*B819)</f>
        <v>0.935131149064528</v>
      </c>
    </row>
    <row r="820" spans="1:4">
      <c r="A820" s="4">
        <v>817</v>
      </c>
      <c r="B820" s="6">
        <f t="shared" si="12"/>
        <v>2.23835616438356</v>
      </c>
      <c r="C820" s="6">
        <f>EXP(-r_free*B820)</f>
        <v>0.935054292128631</v>
      </c>
    </row>
    <row r="821" spans="1:4">
      <c r="A821" s="10">
        <v>818</v>
      </c>
      <c r="B821" s="12">
        <f t="shared" si="12"/>
        <v>2.24109589041096</v>
      </c>
      <c r="C821" s="12">
        <f>EXP(-r_free*B821)</f>
        <v>0.934977441509484</v>
      </c>
    </row>
    <row r="822" spans="1:4">
      <c r="A822" s="4">
        <v>819</v>
      </c>
      <c r="B822" s="6">
        <f t="shared" si="12"/>
        <v>2.24383561643836</v>
      </c>
      <c r="C822" s="6">
        <f>EXP(-r_free*B822)</f>
        <v>0.934900597206566</v>
      </c>
    </row>
    <row r="823" spans="1:4">
      <c r="A823" s="10">
        <v>820</v>
      </c>
      <c r="B823" s="12">
        <f t="shared" si="12"/>
        <v>2.24657534246575</v>
      </c>
      <c r="C823" s="12">
        <f>EXP(-r_free*B823)</f>
        <v>0.934823759219359</v>
      </c>
    </row>
    <row r="824" spans="1:4">
      <c r="A824" s="4">
        <v>821</v>
      </c>
      <c r="B824" s="6">
        <f t="shared" si="12"/>
        <v>2.24931506849315</v>
      </c>
      <c r="C824" s="6">
        <f>EXP(-r_free*B824)</f>
        <v>0.934746927547344</v>
      </c>
      <c r="D824" s="43" t="s">
        <v>43</v>
      </c>
    </row>
    <row r="825" spans="1:4">
      <c r="A825" s="10">
        <v>822</v>
      </c>
      <c r="B825" s="12">
        <f t="shared" si="12"/>
        <v>2.25205479452055</v>
      </c>
      <c r="C825" s="12">
        <f>EXP(-r_free*B825)</f>
        <v>0.93467010219</v>
      </c>
    </row>
    <row r="826" spans="1:4">
      <c r="A826" s="4">
        <v>823</v>
      </c>
      <c r="B826" s="6">
        <f t="shared" si="12"/>
        <v>2.25479452054795</v>
      </c>
      <c r="C826" s="6">
        <f>EXP(-r_free*B826)</f>
        <v>0.934593283146811</v>
      </c>
    </row>
    <row r="827" spans="1:4">
      <c r="A827" s="10">
        <v>824</v>
      </c>
      <c r="B827" s="12">
        <f t="shared" si="12"/>
        <v>2.25753424657534</v>
      </c>
      <c r="C827" s="12">
        <f>EXP(-r_free*B827)</f>
        <v>0.934516470417255</v>
      </c>
    </row>
    <row r="828" spans="1:4">
      <c r="A828" s="4">
        <v>825</v>
      </c>
      <c r="B828" s="6">
        <f t="shared" si="12"/>
        <v>2.26027397260274</v>
      </c>
      <c r="C828" s="6">
        <f>EXP(-r_free*B828)</f>
        <v>0.934439664000816</v>
      </c>
    </row>
    <row r="829" spans="1:4">
      <c r="A829" s="10">
        <v>826</v>
      </c>
      <c r="B829" s="12">
        <f t="shared" si="12"/>
        <v>2.26301369863014</v>
      </c>
      <c r="C829" s="12">
        <f>EXP(-r_free*B829)</f>
        <v>0.934362863896973</v>
      </c>
    </row>
    <row r="830" spans="1:4">
      <c r="A830" s="4">
        <v>827</v>
      </c>
      <c r="B830" s="6">
        <f t="shared" si="12"/>
        <v>2.26575342465753</v>
      </c>
      <c r="C830" s="6">
        <f>EXP(-r_free*B830)</f>
        <v>0.934286070105208</v>
      </c>
    </row>
    <row r="831" spans="1:4">
      <c r="A831" s="10">
        <v>828</v>
      </c>
      <c r="B831" s="12">
        <f t="shared" si="12"/>
        <v>2.26849315068493</v>
      </c>
      <c r="C831" s="12">
        <f>EXP(-r_free*B831)</f>
        <v>0.934209282625002</v>
      </c>
    </row>
    <row r="832" spans="1:4">
      <c r="A832" s="4">
        <v>829</v>
      </c>
      <c r="B832" s="6">
        <f t="shared" si="12"/>
        <v>2.27123287671233</v>
      </c>
      <c r="C832" s="6">
        <f>EXP(-r_free*B832)</f>
        <v>0.934132501455836</v>
      </c>
    </row>
    <row r="833" spans="1:3">
      <c r="A833" s="10">
        <v>830</v>
      </c>
      <c r="B833" s="12">
        <f t="shared" si="12"/>
        <v>2.27397260273973</v>
      </c>
      <c r="C833" s="12">
        <f>EXP(-r_free*B833)</f>
        <v>0.934055726597192</v>
      </c>
    </row>
    <row r="834" spans="1:3">
      <c r="A834" s="4">
        <v>831</v>
      </c>
      <c r="B834" s="6">
        <f t="shared" si="12"/>
        <v>2.27671232876712</v>
      </c>
      <c r="C834" s="6">
        <f>EXP(-r_free*B834)</f>
        <v>0.933978958048551</v>
      </c>
    </row>
    <row r="835" spans="1:3">
      <c r="A835" s="10">
        <v>832</v>
      </c>
      <c r="B835" s="12">
        <f t="shared" ref="B835:B898" si="13">A835/365</f>
        <v>2.27945205479452</v>
      </c>
      <c r="C835" s="12">
        <f>EXP(-r_free*B835)</f>
        <v>0.933902195809395</v>
      </c>
    </row>
    <row r="836" spans="1:3">
      <c r="A836" s="4">
        <v>833</v>
      </c>
      <c r="B836" s="6">
        <f t="shared" si="13"/>
        <v>2.28219178082192</v>
      </c>
      <c r="C836" s="6">
        <f>EXP(-r_free*B836)</f>
        <v>0.933825439879204</v>
      </c>
    </row>
    <row r="837" spans="1:3">
      <c r="A837" s="10">
        <v>834</v>
      </c>
      <c r="B837" s="12">
        <f t="shared" si="13"/>
        <v>2.28493150684932</v>
      </c>
      <c r="C837" s="12">
        <f>EXP(-r_free*B837)</f>
        <v>0.933748690257461</v>
      </c>
    </row>
    <row r="838" spans="1:3">
      <c r="A838" s="4">
        <v>835</v>
      </c>
      <c r="B838" s="6">
        <f t="shared" si="13"/>
        <v>2.28767123287671</v>
      </c>
      <c r="C838" s="6">
        <f>EXP(-r_free*B838)</f>
        <v>0.933671946943647</v>
      </c>
    </row>
    <row r="839" spans="1:3">
      <c r="A839" s="10">
        <v>836</v>
      </c>
      <c r="B839" s="12">
        <f t="shared" si="13"/>
        <v>2.29041095890411</v>
      </c>
      <c r="C839" s="12">
        <f>EXP(-r_free*B839)</f>
        <v>0.933595209937243</v>
      </c>
    </row>
    <row r="840" spans="1:3">
      <c r="A840" s="4">
        <v>837</v>
      </c>
      <c r="B840" s="6">
        <f t="shared" si="13"/>
        <v>2.29315068493151</v>
      </c>
      <c r="C840" s="6">
        <f>EXP(-r_free*B840)</f>
        <v>0.933518479237731</v>
      </c>
    </row>
    <row r="841" spans="1:3">
      <c r="A841" s="10">
        <v>838</v>
      </c>
      <c r="B841" s="12">
        <f t="shared" si="13"/>
        <v>2.2958904109589</v>
      </c>
      <c r="C841" s="12">
        <f>EXP(-r_free*B841)</f>
        <v>0.933441754844593</v>
      </c>
    </row>
    <row r="842" spans="1:3">
      <c r="A842" s="4">
        <v>839</v>
      </c>
      <c r="B842" s="6">
        <f t="shared" si="13"/>
        <v>2.2986301369863</v>
      </c>
      <c r="C842" s="6">
        <f>EXP(-r_free*B842)</f>
        <v>0.93336503675731</v>
      </c>
    </row>
    <row r="843" spans="1:3">
      <c r="A843" s="10">
        <v>840</v>
      </c>
      <c r="B843" s="12">
        <f t="shared" si="13"/>
        <v>2.3013698630137</v>
      </c>
      <c r="C843" s="12">
        <f>EXP(-r_free*B843)</f>
        <v>0.933288324975364</v>
      </c>
    </row>
    <row r="844" spans="1:3">
      <c r="A844" s="4">
        <v>841</v>
      </c>
      <c r="B844" s="6">
        <f t="shared" si="13"/>
        <v>2.3041095890411</v>
      </c>
      <c r="C844" s="6">
        <f>EXP(-r_free*B844)</f>
        <v>0.933211619498237</v>
      </c>
    </row>
    <row r="845" spans="1:3">
      <c r="A845" s="10">
        <v>842</v>
      </c>
      <c r="B845" s="12">
        <f t="shared" si="13"/>
        <v>2.30684931506849</v>
      </c>
      <c r="C845" s="12">
        <f>EXP(-r_free*B845)</f>
        <v>0.933134920325411</v>
      </c>
    </row>
    <row r="846" spans="1:3">
      <c r="A846" s="4">
        <v>843</v>
      </c>
      <c r="B846" s="6">
        <f t="shared" si="13"/>
        <v>2.30958904109589</v>
      </c>
      <c r="C846" s="6">
        <f>EXP(-r_free*B846)</f>
        <v>0.933058227456367</v>
      </c>
    </row>
    <row r="847" spans="1:3">
      <c r="A847" s="10">
        <v>844</v>
      </c>
      <c r="B847" s="12">
        <f t="shared" si="13"/>
        <v>2.31232876712329</v>
      </c>
      <c r="C847" s="12">
        <f>EXP(-r_free*B847)</f>
        <v>0.932981540890587</v>
      </c>
    </row>
    <row r="848" spans="1:3">
      <c r="A848" s="4">
        <v>845</v>
      </c>
      <c r="B848" s="6">
        <f t="shared" si="13"/>
        <v>2.31506849315068</v>
      </c>
      <c r="C848" s="6">
        <f>EXP(-r_free*B848)</f>
        <v>0.932904860627555</v>
      </c>
    </row>
    <row r="849" spans="1:3">
      <c r="A849" s="10">
        <v>846</v>
      </c>
      <c r="B849" s="12">
        <f t="shared" si="13"/>
        <v>2.31780821917808</v>
      </c>
      <c r="C849" s="12">
        <f>EXP(-r_free*B849)</f>
        <v>0.93282818666675</v>
      </c>
    </row>
    <row r="850" spans="1:3">
      <c r="A850" s="4">
        <v>847</v>
      </c>
      <c r="B850" s="6">
        <f t="shared" si="13"/>
        <v>2.32054794520548</v>
      </c>
      <c r="C850" s="6">
        <f>EXP(-r_free*B850)</f>
        <v>0.932751519007656</v>
      </c>
    </row>
    <row r="851" spans="1:3">
      <c r="A851" s="10">
        <v>848</v>
      </c>
      <c r="B851" s="12">
        <f t="shared" si="13"/>
        <v>2.32328767123288</v>
      </c>
      <c r="C851" s="12">
        <f>EXP(-r_free*B851)</f>
        <v>0.932674857649754</v>
      </c>
    </row>
    <row r="852" spans="1:3">
      <c r="A852" s="4">
        <v>849</v>
      </c>
      <c r="B852" s="6">
        <f t="shared" si="13"/>
        <v>2.32602739726027</v>
      </c>
      <c r="C852" s="6">
        <f>EXP(-r_free*B852)</f>
        <v>0.932598202592527</v>
      </c>
    </row>
    <row r="853" spans="1:3">
      <c r="A853" s="10">
        <v>850</v>
      </c>
      <c r="B853" s="12">
        <f t="shared" si="13"/>
        <v>2.32876712328767</v>
      </c>
      <c r="C853" s="12">
        <f>EXP(-r_free*B853)</f>
        <v>0.932521553835457</v>
      </c>
    </row>
    <row r="854" spans="1:3">
      <c r="A854" s="4">
        <v>851</v>
      </c>
      <c r="B854" s="6">
        <f t="shared" si="13"/>
        <v>2.33150684931507</v>
      </c>
      <c r="C854" s="6">
        <f>EXP(-r_free*B854)</f>
        <v>0.932444911378025</v>
      </c>
    </row>
    <row r="855" spans="1:3">
      <c r="A855" s="10">
        <v>852</v>
      </c>
      <c r="B855" s="12">
        <f t="shared" si="13"/>
        <v>2.33424657534247</v>
      </c>
      <c r="C855" s="12">
        <f>EXP(-r_free*B855)</f>
        <v>0.932368275219715</v>
      </c>
    </row>
    <row r="856" spans="1:3">
      <c r="A856" s="4">
        <v>853</v>
      </c>
      <c r="B856" s="6">
        <f t="shared" si="13"/>
        <v>2.33698630136986</v>
      </c>
      <c r="C856" s="6">
        <f>EXP(-r_free*B856)</f>
        <v>0.932291645360009</v>
      </c>
    </row>
    <row r="857" spans="1:3">
      <c r="A857" s="10">
        <v>854</v>
      </c>
      <c r="B857" s="12">
        <f t="shared" si="13"/>
        <v>2.33972602739726</v>
      </c>
      <c r="C857" s="12">
        <f>EXP(-r_free*B857)</f>
        <v>0.932215021798388</v>
      </c>
    </row>
    <row r="858" spans="1:3">
      <c r="A858" s="4">
        <v>855</v>
      </c>
      <c r="B858" s="6">
        <f t="shared" si="13"/>
        <v>2.34246575342466</v>
      </c>
      <c r="C858" s="6">
        <f>EXP(-r_free*B858)</f>
        <v>0.932138404534335</v>
      </c>
    </row>
    <row r="859" spans="1:3">
      <c r="A859" s="10">
        <v>856</v>
      </c>
      <c r="B859" s="12">
        <f t="shared" si="13"/>
        <v>2.34520547945205</v>
      </c>
      <c r="C859" s="12">
        <f>EXP(-r_free*B859)</f>
        <v>0.932061793567333</v>
      </c>
    </row>
    <row r="860" spans="1:3">
      <c r="A860" s="4">
        <v>857</v>
      </c>
      <c r="B860" s="6">
        <f t="shared" si="13"/>
        <v>2.34794520547945</v>
      </c>
      <c r="C860" s="6">
        <f>EXP(-r_free*B860)</f>
        <v>0.931985188896864</v>
      </c>
    </row>
    <row r="861" spans="1:3">
      <c r="A861" s="10">
        <v>858</v>
      </c>
      <c r="B861" s="12">
        <f t="shared" si="13"/>
        <v>2.35068493150685</v>
      </c>
      <c r="C861" s="12">
        <f>EXP(-r_free*B861)</f>
        <v>0.93190859052241</v>
      </c>
    </row>
    <row r="862" spans="1:3">
      <c r="A862" s="4">
        <v>859</v>
      </c>
      <c r="B862" s="6">
        <f t="shared" si="13"/>
        <v>2.35342465753425</v>
      </c>
      <c r="C862" s="6">
        <f>EXP(-r_free*B862)</f>
        <v>0.931831998443455</v>
      </c>
    </row>
    <row r="863" spans="1:3">
      <c r="A863" s="10">
        <v>860</v>
      </c>
      <c r="B863" s="12">
        <f t="shared" si="13"/>
        <v>2.35616438356164</v>
      </c>
      <c r="C863" s="12">
        <f>EXP(-r_free*B863)</f>
        <v>0.93175541265948</v>
      </c>
    </row>
    <row r="864" spans="1:3">
      <c r="A864" s="4">
        <v>861</v>
      </c>
      <c r="B864" s="6">
        <f t="shared" si="13"/>
        <v>2.35890410958904</v>
      </c>
      <c r="C864" s="6">
        <f>EXP(-r_free*B864)</f>
        <v>0.931678833169968</v>
      </c>
    </row>
    <row r="865" spans="1:3">
      <c r="A865" s="10">
        <v>862</v>
      </c>
      <c r="B865" s="12">
        <f t="shared" si="13"/>
        <v>2.36164383561644</v>
      </c>
      <c r="C865" s="12">
        <f>EXP(-r_free*B865)</f>
        <v>0.931602259974403</v>
      </c>
    </row>
    <row r="866" spans="1:3">
      <c r="A866" s="4">
        <v>863</v>
      </c>
      <c r="B866" s="6">
        <f t="shared" si="13"/>
        <v>2.36438356164384</v>
      </c>
      <c r="C866" s="6">
        <f>EXP(-r_free*B866)</f>
        <v>0.931525693072266</v>
      </c>
    </row>
    <row r="867" spans="1:3">
      <c r="A867" s="10">
        <v>864</v>
      </c>
      <c r="B867" s="12">
        <f t="shared" si="13"/>
        <v>2.36712328767123</v>
      </c>
      <c r="C867" s="12">
        <f>EXP(-r_free*B867)</f>
        <v>0.93144913246304</v>
      </c>
    </row>
    <row r="868" spans="1:3">
      <c r="A868" s="4">
        <v>865</v>
      </c>
      <c r="B868" s="6">
        <f t="shared" si="13"/>
        <v>2.36986301369863</v>
      </c>
      <c r="C868" s="6">
        <f>EXP(-r_free*B868)</f>
        <v>0.931372578146209</v>
      </c>
    </row>
    <row r="869" spans="1:3">
      <c r="A869" s="10">
        <v>866</v>
      </c>
      <c r="B869" s="12">
        <f t="shared" si="13"/>
        <v>2.37260273972603</v>
      </c>
      <c r="C869" s="12">
        <f>EXP(-r_free*B869)</f>
        <v>0.931296030121255</v>
      </c>
    </row>
    <row r="870" spans="1:3">
      <c r="A870" s="4">
        <v>867</v>
      </c>
      <c r="B870" s="6">
        <f t="shared" si="13"/>
        <v>2.37534246575342</v>
      </c>
      <c r="C870" s="6">
        <f>EXP(-r_free*B870)</f>
        <v>0.931219488387661</v>
      </c>
    </row>
    <row r="871" spans="1:3">
      <c r="A871" s="10">
        <v>868</v>
      </c>
      <c r="B871" s="12">
        <f t="shared" si="13"/>
        <v>2.37808219178082</v>
      </c>
      <c r="C871" s="12">
        <f>EXP(-r_free*B871)</f>
        <v>0.931142952944909</v>
      </c>
    </row>
    <row r="872" spans="1:3">
      <c r="A872" s="4">
        <v>869</v>
      </c>
      <c r="B872" s="6">
        <f t="shared" si="13"/>
        <v>2.38082191780822</v>
      </c>
      <c r="C872" s="6">
        <f>EXP(-r_free*B872)</f>
        <v>0.931066423792484</v>
      </c>
    </row>
    <row r="873" spans="1:3">
      <c r="A873" s="10">
        <v>870</v>
      </c>
      <c r="B873" s="12">
        <f t="shared" si="13"/>
        <v>2.38356164383562</v>
      </c>
      <c r="C873" s="12">
        <f>EXP(-r_free*B873)</f>
        <v>0.930989900929867</v>
      </c>
    </row>
    <row r="874" spans="1:3">
      <c r="A874" s="4">
        <v>871</v>
      </c>
      <c r="B874" s="6">
        <f t="shared" si="13"/>
        <v>2.38630136986301</v>
      </c>
      <c r="C874" s="6">
        <f>EXP(-r_free*B874)</f>
        <v>0.930913384356542</v>
      </c>
    </row>
    <row r="875" spans="1:3">
      <c r="A875" s="10">
        <v>872</v>
      </c>
      <c r="B875" s="12">
        <f t="shared" si="13"/>
        <v>2.38904109589041</v>
      </c>
      <c r="C875" s="12">
        <f>EXP(-r_free*B875)</f>
        <v>0.930836874071992</v>
      </c>
    </row>
    <row r="876" spans="1:3">
      <c r="A876" s="4">
        <v>873</v>
      </c>
      <c r="B876" s="6">
        <f t="shared" si="13"/>
        <v>2.39178082191781</v>
      </c>
      <c r="C876" s="6">
        <f>EXP(-r_free*B876)</f>
        <v>0.9307603700757</v>
      </c>
    </row>
    <row r="877" spans="1:3">
      <c r="A877" s="10">
        <v>874</v>
      </c>
      <c r="B877" s="12">
        <f t="shared" si="13"/>
        <v>2.39452054794521</v>
      </c>
      <c r="C877" s="12">
        <f>EXP(-r_free*B877)</f>
        <v>0.93068387236715</v>
      </c>
    </row>
    <row r="878" spans="1:3">
      <c r="A878" s="4">
        <v>875</v>
      </c>
      <c r="B878" s="6">
        <f t="shared" si="13"/>
        <v>2.3972602739726</v>
      </c>
      <c r="C878" s="6">
        <f>EXP(-r_free*B878)</f>
        <v>0.930607380945824</v>
      </c>
    </row>
    <row r="879" spans="1:3">
      <c r="A879" s="10">
        <v>876</v>
      </c>
      <c r="B879" s="12">
        <f t="shared" si="13"/>
        <v>2.4</v>
      </c>
      <c r="C879" s="12">
        <f>EXP(-r_free*B879)</f>
        <v>0.930530895811206</v>
      </c>
    </row>
    <row r="880" spans="1:3">
      <c r="A880" s="4">
        <v>877</v>
      </c>
      <c r="B880" s="6">
        <f t="shared" si="13"/>
        <v>2.4027397260274</v>
      </c>
      <c r="C880" s="6">
        <f>EXP(-r_free*B880)</f>
        <v>0.930454416962779</v>
      </c>
    </row>
    <row r="881" spans="1:3">
      <c r="A881" s="10">
        <v>878</v>
      </c>
      <c r="B881" s="12">
        <f t="shared" si="13"/>
        <v>2.40547945205479</v>
      </c>
      <c r="C881" s="12">
        <f>EXP(-r_free*B881)</f>
        <v>0.930377944400026</v>
      </c>
    </row>
    <row r="882" spans="1:3">
      <c r="A882" s="4">
        <v>879</v>
      </c>
      <c r="B882" s="6">
        <f t="shared" si="13"/>
        <v>2.40821917808219</v>
      </c>
      <c r="C882" s="6">
        <f>EXP(-r_free*B882)</f>
        <v>0.930301478122431</v>
      </c>
    </row>
    <row r="883" spans="1:3">
      <c r="A883" s="10">
        <v>880</v>
      </c>
      <c r="B883" s="12">
        <f t="shared" si="13"/>
        <v>2.41095890410959</v>
      </c>
      <c r="C883" s="12">
        <f>EXP(-r_free*B883)</f>
        <v>0.930225018129477</v>
      </c>
    </row>
    <row r="884" spans="1:3">
      <c r="A884" s="4">
        <v>881</v>
      </c>
      <c r="B884" s="6">
        <f t="shared" si="13"/>
        <v>2.41369863013699</v>
      </c>
      <c r="C884" s="6">
        <f>EXP(-r_free*B884)</f>
        <v>0.930148564420649</v>
      </c>
    </row>
    <row r="885" spans="1:3">
      <c r="A885" s="10">
        <v>882</v>
      </c>
      <c r="B885" s="12">
        <f t="shared" si="13"/>
        <v>2.41643835616438</v>
      </c>
      <c r="C885" s="12">
        <f>EXP(-r_free*B885)</f>
        <v>0.930072116995428</v>
      </c>
    </row>
    <row r="886" spans="1:3">
      <c r="A886" s="4">
        <v>883</v>
      </c>
      <c r="B886" s="6">
        <f t="shared" si="13"/>
        <v>2.41917808219178</v>
      </c>
      <c r="C886" s="6">
        <f>EXP(-r_free*B886)</f>
        <v>0.929995675853299</v>
      </c>
    </row>
    <row r="887" spans="1:3">
      <c r="A887" s="10">
        <v>884</v>
      </c>
      <c r="B887" s="12">
        <f t="shared" si="13"/>
        <v>2.42191780821918</v>
      </c>
      <c r="C887" s="12">
        <f>EXP(-r_free*B887)</f>
        <v>0.929919240993746</v>
      </c>
    </row>
    <row r="888" spans="1:3">
      <c r="A888" s="4">
        <v>885</v>
      </c>
      <c r="B888" s="6">
        <f t="shared" si="13"/>
        <v>2.42465753424658</v>
      </c>
      <c r="C888" s="6">
        <f>EXP(-r_free*B888)</f>
        <v>0.929842812416251</v>
      </c>
    </row>
    <row r="889" spans="1:3">
      <c r="A889" s="10">
        <v>886</v>
      </c>
      <c r="B889" s="12">
        <f t="shared" si="13"/>
        <v>2.42739726027397</v>
      </c>
      <c r="C889" s="12">
        <f>EXP(-r_free*B889)</f>
        <v>0.9297663901203</v>
      </c>
    </row>
    <row r="890" spans="1:3">
      <c r="A890" s="4">
        <v>887</v>
      </c>
      <c r="B890" s="6">
        <f t="shared" si="13"/>
        <v>2.43013698630137</v>
      </c>
      <c r="C890" s="6">
        <f>EXP(-r_free*B890)</f>
        <v>0.929689974105375</v>
      </c>
    </row>
    <row r="891" spans="1:3">
      <c r="A891" s="10">
        <v>888</v>
      </c>
      <c r="B891" s="12">
        <f t="shared" si="13"/>
        <v>2.43287671232877</v>
      </c>
      <c r="C891" s="12">
        <f>EXP(-r_free*B891)</f>
        <v>0.92961356437096</v>
      </c>
    </row>
    <row r="892" spans="1:3">
      <c r="A892" s="4">
        <v>889</v>
      </c>
      <c r="B892" s="6">
        <f t="shared" si="13"/>
        <v>2.43561643835616</v>
      </c>
      <c r="C892" s="6">
        <f>EXP(-r_free*B892)</f>
        <v>0.929537160916539</v>
      </c>
    </row>
    <row r="893" spans="1:3">
      <c r="A893" s="10">
        <v>890</v>
      </c>
      <c r="B893" s="12">
        <f t="shared" si="13"/>
        <v>2.43835616438356</v>
      </c>
      <c r="C893" s="12">
        <f>EXP(-r_free*B893)</f>
        <v>0.929460763741596</v>
      </c>
    </row>
    <row r="894" spans="1:3">
      <c r="A894" s="4">
        <v>891</v>
      </c>
      <c r="B894" s="6">
        <f t="shared" si="13"/>
        <v>2.44109589041096</v>
      </c>
      <c r="C894" s="6">
        <f>EXP(-r_free*B894)</f>
        <v>0.929384372845615</v>
      </c>
    </row>
    <row r="895" spans="1:3">
      <c r="A895" s="10">
        <v>892</v>
      </c>
      <c r="B895" s="12">
        <f t="shared" si="13"/>
        <v>2.44383561643836</v>
      </c>
      <c r="C895" s="12">
        <f>EXP(-r_free*B895)</f>
        <v>0.929307988228079</v>
      </c>
    </row>
    <row r="896" spans="1:3">
      <c r="A896" s="4">
        <v>893</v>
      </c>
      <c r="B896" s="6">
        <f t="shared" si="13"/>
        <v>2.44657534246575</v>
      </c>
      <c r="C896" s="6">
        <f>EXP(-r_free*B896)</f>
        <v>0.929231609888474</v>
      </c>
    </row>
    <row r="897" spans="1:3">
      <c r="A897" s="10">
        <v>894</v>
      </c>
      <c r="B897" s="12">
        <f t="shared" si="13"/>
        <v>2.44931506849315</v>
      </c>
      <c r="C897" s="12">
        <f>EXP(-r_free*B897)</f>
        <v>0.929155237826282</v>
      </c>
    </row>
    <row r="898" spans="1:3">
      <c r="A898" s="4">
        <v>895</v>
      </c>
      <c r="B898" s="6">
        <f t="shared" si="13"/>
        <v>2.45205479452055</v>
      </c>
      <c r="C898" s="6">
        <f>EXP(-r_free*B898)</f>
        <v>0.929078872040988</v>
      </c>
    </row>
    <row r="899" spans="1:3">
      <c r="A899" s="10">
        <v>896</v>
      </c>
      <c r="B899" s="12">
        <f t="shared" ref="B899:B962" si="14">A899/365</f>
        <v>2.45479452054795</v>
      </c>
      <c r="C899" s="12">
        <f>EXP(-r_free*B899)</f>
        <v>0.929002512532076</v>
      </c>
    </row>
    <row r="900" spans="1:3">
      <c r="A900" s="4">
        <v>897</v>
      </c>
      <c r="B900" s="6">
        <f t="shared" si="14"/>
        <v>2.45753424657534</v>
      </c>
      <c r="C900" s="6">
        <f>EXP(-r_free*B900)</f>
        <v>0.92892615929903</v>
      </c>
    </row>
    <row r="901" spans="1:3">
      <c r="A901" s="10">
        <v>898</v>
      </c>
      <c r="B901" s="12">
        <f t="shared" si="14"/>
        <v>2.46027397260274</v>
      </c>
      <c r="C901" s="12">
        <f>EXP(-r_free*B901)</f>
        <v>0.928849812341334</v>
      </c>
    </row>
    <row r="902" spans="1:3">
      <c r="A902" s="4">
        <v>899</v>
      </c>
      <c r="B902" s="6">
        <f t="shared" si="14"/>
        <v>2.46301369863014</v>
      </c>
      <c r="C902" s="6">
        <f>EXP(-r_free*B902)</f>
        <v>0.928773471658473</v>
      </c>
    </row>
    <row r="903" spans="1:3">
      <c r="A903" s="10">
        <v>900</v>
      </c>
      <c r="B903" s="12">
        <f t="shared" si="14"/>
        <v>2.46575342465753</v>
      </c>
      <c r="C903" s="12">
        <f>EXP(-r_free*B903)</f>
        <v>0.928697137249931</v>
      </c>
    </row>
    <row r="904" spans="1:3">
      <c r="A904" s="4">
        <v>901</v>
      </c>
      <c r="B904" s="6">
        <f t="shared" si="14"/>
        <v>2.46849315068493</v>
      </c>
      <c r="C904" s="6">
        <f>EXP(-r_free*B904)</f>
        <v>0.928620809115192</v>
      </c>
    </row>
    <row r="905" spans="1:3">
      <c r="A905" s="10">
        <v>902</v>
      </c>
      <c r="B905" s="12">
        <f t="shared" si="14"/>
        <v>2.47123287671233</v>
      </c>
      <c r="C905" s="12">
        <f>EXP(-r_free*B905)</f>
        <v>0.92854448725374</v>
      </c>
    </row>
    <row r="906" spans="1:3">
      <c r="A906" s="4">
        <v>903</v>
      </c>
      <c r="B906" s="6">
        <f t="shared" si="14"/>
        <v>2.47397260273973</v>
      </c>
      <c r="C906" s="6">
        <f>EXP(-r_free*B906)</f>
        <v>0.92846817166506</v>
      </c>
    </row>
    <row r="907" spans="1:3">
      <c r="A907" s="10">
        <v>904</v>
      </c>
      <c r="B907" s="12">
        <f t="shared" si="14"/>
        <v>2.47671232876712</v>
      </c>
      <c r="C907" s="12">
        <f>EXP(-r_free*B907)</f>
        <v>0.928391862348637</v>
      </c>
    </row>
    <row r="908" spans="1:3">
      <c r="A908" s="4">
        <v>905</v>
      </c>
      <c r="B908" s="6">
        <f t="shared" si="14"/>
        <v>2.47945205479452</v>
      </c>
      <c r="C908" s="6">
        <f>EXP(-r_free*B908)</f>
        <v>0.928315559303954</v>
      </c>
    </row>
    <row r="909" spans="1:3">
      <c r="A909" s="10">
        <v>906</v>
      </c>
      <c r="B909" s="12">
        <f t="shared" si="14"/>
        <v>2.48219178082192</v>
      </c>
      <c r="C909" s="12">
        <f>EXP(-r_free*B909)</f>
        <v>0.928239262530497</v>
      </c>
    </row>
    <row r="910" spans="1:3">
      <c r="A910" s="4">
        <v>907</v>
      </c>
      <c r="B910" s="6">
        <f t="shared" si="14"/>
        <v>2.48493150684931</v>
      </c>
      <c r="C910" s="6">
        <f>EXP(-r_free*B910)</f>
        <v>0.92816297202775</v>
      </c>
    </row>
    <row r="911" spans="1:3">
      <c r="A911" s="10">
        <v>908</v>
      </c>
      <c r="B911" s="12">
        <f t="shared" si="14"/>
        <v>2.48767123287671</v>
      </c>
      <c r="C911" s="12">
        <f>EXP(-r_free*B911)</f>
        <v>0.928086687795198</v>
      </c>
    </row>
    <row r="912" spans="1:3">
      <c r="A912" s="4">
        <v>909</v>
      </c>
      <c r="B912" s="6">
        <f t="shared" si="14"/>
        <v>2.49041095890411</v>
      </c>
      <c r="C912" s="6">
        <f>EXP(-r_free*B912)</f>
        <v>0.928010409832324</v>
      </c>
    </row>
    <row r="913" spans="1:4">
      <c r="A913" s="10">
        <v>910</v>
      </c>
      <c r="B913" s="12">
        <f t="shared" si="14"/>
        <v>2.49315068493151</v>
      </c>
      <c r="C913" s="12">
        <f>EXP(-r_free*B913)</f>
        <v>0.927934138138615</v>
      </c>
    </row>
    <row r="914" spans="1:4">
      <c r="A914" s="4">
        <v>911</v>
      </c>
      <c r="B914" s="6">
        <f t="shared" si="14"/>
        <v>2.4958904109589</v>
      </c>
      <c r="C914" s="6">
        <f>EXP(-r_free*B914)</f>
        <v>0.927857872713554</v>
      </c>
    </row>
    <row r="915" spans="1:4">
      <c r="A915" s="10">
        <v>912</v>
      </c>
      <c r="B915" s="12">
        <f t="shared" si="14"/>
        <v>2.4986301369863</v>
      </c>
      <c r="C915" s="12">
        <f>EXP(-r_free*B915)</f>
        <v>0.927781613556627</v>
      </c>
      <c r="D915" s="43" t="s">
        <v>44</v>
      </c>
    </row>
    <row r="916" spans="1:4">
      <c r="A916" s="4">
        <v>913</v>
      </c>
      <c r="B916" s="6">
        <f t="shared" si="14"/>
        <v>2.5013698630137</v>
      </c>
      <c r="C916" s="6">
        <f>EXP(-r_free*B916)</f>
        <v>0.927705360667319</v>
      </c>
    </row>
    <row r="917" spans="1:4">
      <c r="A917" s="10">
        <v>914</v>
      </c>
      <c r="B917" s="12">
        <f t="shared" si="14"/>
        <v>2.5041095890411</v>
      </c>
      <c r="C917" s="12">
        <f>EXP(-r_free*B917)</f>
        <v>0.927629114045113</v>
      </c>
    </row>
    <row r="918" spans="1:4">
      <c r="A918" s="4">
        <v>915</v>
      </c>
      <c r="B918" s="6">
        <f t="shared" si="14"/>
        <v>2.50684931506849</v>
      </c>
      <c r="C918" s="6">
        <f>EXP(-r_free*B918)</f>
        <v>0.927552873689496</v>
      </c>
    </row>
    <row r="919" spans="1:4">
      <c r="A919" s="10">
        <v>916</v>
      </c>
      <c r="B919" s="12">
        <f t="shared" si="14"/>
        <v>2.50958904109589</v>
      </c>
      <c r="C919" s="12">
        <f>EXP(-r_free*B919)</f>
        <v>0.927476639599951</v>
      </c>
    </row>
    <row r="920" spans="1:4">
      <c r="A920" s="4">
        <v>917</v>
      </c>
      <c r="B920" s="6">
        <f t="shared" si="14"/>
        <v>2.51232876712329</v>
      </c>
      <c r="C920" s="6">
        <f>EXP(-r_free*B920)</f>
        <v>0.927400411775965</v>
      </c>
    </row>
    <row r="921" spans="1:4">
      <c r="A921" s="10">
        <v>918</v>
      </c>
      <c r="B921" s="12">
        <f t="shared" si="14"/>
        <v>2.51506849315068</v>
      </c>
      <c r="C921" s="12">
        <f>EXP(-r_free*B921)</f>
        <v>0.927324190217022</v>
      </c>
    </row>
    <row r="922" spans="1:4">
      <c r="A922" s="4">
        <v>919</v>
      </c>
      <c r="B922" s="6">
        <f t="shared" si="14"/>
        <v>2.51780821917808</v>
      </c>
      <c r="C922" s="6">
        <f>EXP(-r_free*B922)</f>
        <v>0.927247974922607</v>
      </c>
    </row>
    <row r="923" spans="1:4">
      <c r="A923" s="10">
        <v>920</v>
      </c>
      <c r="B923" s="12">
        <f t="shared" si="14"/>
        <v>2.52054794520548</v>
      </c>
      <c r="C923" s="12">
        <f>EXP(-r_free*B923)</f>
        <v>0.927171765892206</v>
      </c>
    </row>
    <row r="924" spans="1:4">
      <c r="A924" s="4">
        <v>921</v>
      </c>
      <c r="B924" s="6">
        <f t="shared" si="14"/>
        <v>2.52328767123288</v>
      </c>
      <c r="C924" s="6">
        <f>EXP(-r_free*B924)</f>
        <v>0.927095563125303</v>
      </c>
    </row>
    <row r="925" spans="1:4">
      <c r="A925" s="10">
        <v>922</v>
      </c>
      <c r="B925" s="12">
        <f t="shared" si="14"/>
        <v>2.52602739726027</v>
      </c>
      <c r="C925" s="12">
        <f>EXP(-r_free*B925)</f>
        <v>0.927019366621383</v>
      </c>
    </row>
    <row r="926" spans="1:4">
      <c r="A926" s="4">
        <v>923</v>
      </c>
      <c r="B926" s="6">
        <f t="shared" si="14"/>
        <v>2.52876712328767</v>
      </c>
      <c r="C926" s="6">
        <f>EXP(-r_free*B926)</f>
        <v>0.926943176379933</v>
      </c>
    </row>
    <row r="927" spans="1:4">
      <c r="A927" s="10">
        <v>924</v>
      </c>
      <c r="B927" s="12">
        <f t="shared" si="14"/>
        <v>2.53150684931507</v>
      </c>
      <c r="C927" s="12">
        <f>EXP(-r_free*B927)</f>
        <v>0.926866992400437</v>
      </c>
    </row>
    <row r="928" spans="1:4">
      <c r="A928" s="4">
        <v>925</v>
      </c>
      <c r="B928" s="6">
        <f t="shared" si="14"/>
        <v>2.53424657534247</v>
      </c>
      <c r="C928" s="6">
        <f>EXP(-r_free*B928)</f>
        <v>0.926790814682381</v>
      </c>
    </row>
    <row r="929" spans="1:3">
      <c r="A929" s="10">
        <v>926</v>
      </c>
      <c r="B929" s="12">
        <f t="shared" si="14"/>
        <v>2.53698630136986</v>
      </c>
      <c r="C929" s="12">
        <f>EXP(-r_free*B929)</f>
        <v>0.926714643225249</v>
      </c>
    </row>
    <row r="930" spans="1:3">
      <c r="A930" s="4">
        <v>927</v>
      </c>
      <c r="B930" s="6">
        <f t="shared" si="14"/>
        <v>2.53972602739726</v>
      </c>
      <c r="C930" s="6">
        <f>EXP(-r_free*B930)</f>
        <v>0.926638478028528</v>
      </c>
    </row>
    <row r="931" spans="1:3">
      <c r="A931" s="10">
        <v>928</v>
      </c>
      <c r="B931" s="12">
        <f t="shared" si="14"/>
        <v>2.54246575342466</v>
      </c>
      <c r="C931" s="12">
        <f>EXP(-r_free*B931)</f>
        <v>0.926562319091703</v>
      </c>
    </row>
    <row r="932" spans="1:3">
      <c r="A932" s="4">
        <v>929</v>
      </c>
      <c r="B932" s="6">
        <f t="shared" si="14"/>
        <v>2.54520547945205</v>
      </c>
      <c r="C932" s="6">
        <f>EXP(-r_free*B932)</f>
        <v>0.926486166414259</v>
      </c>
    </row>
    <row r="933" spans="1:3">
      <c r="A933" s="10">
        <v>930</v>
      </c>
      <c r="B933" s="12">
        <f t="shared" si="14"/>
        <v>2.54794520547945</v>
      </c>
      <c r="C933" s="12">
        <f>EXP(-r_free*B933)</f>
        <v>0.926410019995683</v>
      </c>
    </row>
    <row r="934" spans="1:3">
      <c r="A934" s="4">
        <v>931</v>
      </c>
      <c r="B934" s="6">
        <f t="shared" si="14"/>
        <v>2.55068493150685</v>
      </c>
      <c r="C934" s="6">
        <f>EXP(-r_free*B934)</f>
        <v>0.926333879835458</v>
      </c>
    </row>
    <row r="935" spans="1:3">
      <c r="A935" s="10">
        <v>932</v>
      </c>
      <c r="B935" s="12">
        <f t="shared" si="14"/>
        <v>2.55342465753425</v>
      </c>
      <c r="C935" s="12">
        <f>EXP(-r_free*B935)</f>
        <v>0.926257745933073</v>
      </c>
    </row>
    <row r="936" spans="1:3">
      <c r="A936" s="4">
        <v>933</v>
      </c>
      <c r="B936" s="6">
        <f t="shared" si="14"/>
        <v>2.55616438356164</v>
      </c>
      <c r="C936" s="6">
        <f>EXP(-r_free*B936)</f>
        <v>0.92618161828801</v>
      </c>
    </row>
    <row r="937" spans="1:3">
      <c r="A937" s="10">
        <v>934</v>
      </c>
      <c r="B937" s="12">
        <f t="shared" si="14"/>
        <v>2.55890410958904</v>
      </c>
      <c r="C937" s="12">
        <f>EXP(-r_free*B937)</f>
        <v>0.926105496899758</v>
      </c>
    </row>
    <row r="938" spans="1:3">
      <c r="A938" s="4">
        <v>935</v>
      </c>
      <c r="B938" s="6">
        <f t="shared" si="14"/>
        <v>2.56164383561644</v>
      </c>
      <c r="C938" s="6">
        <f>EXP(-r_free*B938)</f>
        <v>0.926029381767801</v>
      </c>
    </row>
    <row r="939" spans="1:3">
      <c r="A939" s="10">
        <v>936</v>
      </c>
      <c r="B939" s="12">
        <f t="shared" si="14"/>
        <v>2.56438356164384</v>
      </c>
      <c r="C939" s="12">
        <f>EXP(-r_free*B939)</f>
        <v>0.925953272891625</v>
      </c>
    </row>
    <row r="940" spans="1:3">
      <c r="A940" s="4">
        <v>937</v>
      </c>
      <c r="B940" s="6">
        <f t="shared" si="14"/>
        <v>2.56712328767123</v>
      </c>
      <c r="C940" s="6">
        <f>EXP(-r_free*B940)</f>
        <v>0.925877170270716</v>
      </c>
    </row>
    <row r="941" spans="1:3">
      <c r="A941" s="10">
        <v>938</v>
      </c>
      <c r="B941" s="12">
        <f t="shared" si="14"/>
        <v>2.56986301369863</v>
      </c>
      <c r="C941" s="12">
        <f>EXP(-r_free*B941)</f>
        <v>0.925801073904559</v>
      </c>
    </row>
    <row r="942" spans="1:3">
      <c r="A942" s="4">
        <v>939</v>
      </c>
      <c r="B942" s="6">
        <f t="shared" si="14"/>
        <v>2.57260273972603</v>
      </c>
      <c r="C942" s="6">
        <f>EXP(-r_free*B942)</f>
        <v>0.925724983792642</v>
      </c>
    </row>
    <row r="943" spans="1:3">
      <c r="A943" s="10">
        <v>940</v>
      </c>
      <c r="B943" s="12">
        <f t="shared" si="14"/>
        <v>2.57534246575342</v>
      </c>
      <c r="C943" s="12">
        <f>EXP(-r_free*B943)</f>
        <v>0.92564889993445</v>
      </c>
    </row>
    <row r="944" spans="1:3">
      <c r="A944" s="4">
        <v>941</v>
      </c>
      <c r="B944" s="6">
        <f t="shared" si="14"/>
        <v>2.57808219178082</v>
      </c>
      <c r="C944" s="6">
        <f>EXP(-r_free*B944)</f>
        <v>0.925572822329468</v>
      </c>
    </row>
    <row r="945" spans="1:3">
      <c r="A945" s="10">
        <v>942</v>
      </c>
      <c r="B945" s="12">
        <f t="shared" si="14"/>
        <v>2.58082191780822</v>
      </c>
      <c r="C945" s="12">
        <f>EXP(-r_free*B945)</f>
        <v>0.925496750977183</v>
      </c>
    </row>
    <row r="946" spans="1:3">
      <c r="A946" s="4">
        <v>943</v>
      </c>
      <c r="B946" s="6">
        <f t="shared" si="14"/>
        <v>2.58356164383562</v>
      </c>
      <c r="C946" s="6">
        <f>EXP(-r_free*B946)</f>
        <v>0.925420685877081</v>
      </c>
    </row>
    <row r="947" spans="1:3">
      <c r="A947" s="10">
        <v>944</v>
      </c>
      <c r="B947" s="12">
        <f t="shared" si="14"/>
        <v>2.58630136986301</v>
      </c>
      <c r="C947" s="12">
        <f>EXP(-r_free*B947)</f>
        <v>0.925344627028648</v>
      </c>
    </row>
    <row r="948" spans="1:3">
      <c r="A948" s="4">
        <v>945</v>
      </c>
      <c r="B948" s="6">
        <f t="shared" si="14"/>
        <v>2.58904109589041</v>
      </c>
      <c r="C948" s="6">
        <f>EXP(-r_free*B948)</f>
        <v>0.925268574431371</v>
      </c>
    </row>
    <row r="949" spans="1:3">
      <c r="A949" s="10">
        <v>946</v>
      </c>
      <c r="B949" s="12">
        <f t="shared" si="14"/>
        <v>2.59178082191781</v>
      </c>
      <c r="C949" s="12">
        <f>EXP(-r_free*B949)</f>
        <v>0.925192528084735</v>
      </c>
    </row>
    <row r="950" spans="1:3">
      <c r="A950" s="4">
        <v>947</v>
      </c>
      <c r="B950" s="6">
        <f t="shared" si="14"/>
        <v>2.59452054794521</v>
      </c>
      <c r="C950" s="6">
        <f>EXP(-r_free*B950)</f>
        <v>0.925116487988227</v>
      </c>
    </row>
    <row r="951" spans="1:3">
      <c r="A951" s="10">
        <v>948</v>
      </c>
      <c r="B951" s="12">
        <f t="shared" si="14"/>
        <v>2.5972602739726</v>
      </c>
      <c r="C951" s="12">
        <f>EXP(-r_free*B951)</f>
        <v>0.925040454141333</v>
      </c>
    </row>
    <row r="952" spans="1:3">
      <c r="A952" s="4">
        <v>949</v>
      </c>
      <c r="B952" s="6">
        <f t="shared" si="14"/>
        <v>2.6</v>
      </c>
      <c r="C952" s="6">
        <f>EXP(-r_free*B952)</f>
        <v>0.924964426543539</v>
      </c>
    </row>
    <row r="953" spans="1:3">
      <c r="A953" s="10">
        <v>950</v>
      </c>
      <c r="B953" s="12">
        <f t="shared" si="14"/>
        <v>2.6027397260274</v>
      </c>
      <c r="C953" s="12">
        <f>EXP(-r_free*B953)</f>
        <v>0.924888405194333</v>
      </c>
    </row>
    <row r="954" spans="1:3">
      <c r="A954" s="4">
        <v>951</v>
      </c>
      <c r="B954" s="6">
        <f t="shared" si="14"/>
        <v>2.60547945205479</v>
      </c>
      <c r="C954" s="6">
        <f>EXP(-r_free*B954)</f>
        <v>0.924812390093199</v>
      </c>
    </row>
    <row r="955" spans="1:3">
      <c r="A955" s="10">
        <v>952</v>
      </c>
      <c r="B955" s="12">
        <f t="shared" si="14"/>
        <v>2.60821917808219</v>
      </c>
      <c r="C955" s="12">
        <f>EXP(-r_free*B955)</f>
        <v>0.924736381239626</v>
      </c>
    </row>
    <row r="956" spans="1:3">
      <c r="A956" s="4">
        <v>953</v>
      </c>
      <c r="B956" s="6">
        <f t="shared" si="14"/>
        <v>2.61095890410959</v>
      </c>
      <c r="C956" s="6">
        <f>EXP(-r_free*B956)</f>
        <v>0.924660378633098</v>
      </c>
    </row>
    <row r="957" spans="1:3">
      <c r="A957" s="10">
        <v>954</v>
      </c>
      <c r="B957" s="12">
        <f t="shared" si="14"/>
        <v>2.61369863013699</v>
      </c>
      <c r="C957" s="12">
        <f>EXP(-r_free*B957)</f>
        <v>0.924584382273104</v>
      </c>
    </row>
    <row r="958" spans="1:3">
      <c r="A958" s="4">
        <v>955</v>
      </c>
      <c r="B958" s="6">
        <f t="shared" si="14"/>
        <v>2.61643835616438</v>
      </c>
      <c r="C958" s="6">
        <f>EXP(-r_free*B958)</f>
        <v>0.924508392159129</v>
      </c>
    </row>
    <row r="959" spans="1:3">
      <c r="A959" s="10">
        <v>956</v>
      </c>
      <c r="B959" s="12">
        <f t="shared" si="14"/>
        <v>2.61917808219178</v>
      </c>
      <c r="C959" s="12">
        <f>EXP(-r_free*B959)</f>
        <v>0.92443240829066</v>
      </c>
    </row>
    <row r="960" spans="1:3">
      <c r="A960" s="4">
        <v>957</v>
      </c>
      <c r="B960" s="6">
        <f t="shared" si="14"/>
        <v>2.62191780821918</v>
      </c>
      <c r="C960" s="6">
        <f>EXP(-r_free*B960)</f>
        <v>0.924356430667184</v>
      </c>
    </row>
    <row r="961" spans="1:3">
      <c r="A961" s="10">
        <v>958</v>
      </c>
      <c r="B961" s="12">
        <f t="shared" si="14"/>
        <v>2.62465753424658</v>
      </c>
      <c r="C961" s="12">
        <f>EXP(-r_free*B961)</f>
        <v>0.924280459288187</v>
      </c>
    </row>
    <row r="962" spans="1:3">
      <c r="A962" s="4">
        <v>959</v>
      </c>
      <c r="B962" s="6">
        <f t="shared" si="14"/>
        <v>2.62739726027397</v>
      </c>
      <c r="C962" s="6">
        <f>EXP(-r_free*B962)</f>
        <v>0.924204494153157</v>
      </c>
    </row>
    <row r="963" spans="1:3">
      <c r="A963" s="10">
        <v>960</v>
      </c>
      <c r="B963" s="12">
        <f t="shared" ref="B963:B1026" si="15">A963/365</f>
        <v>2.63013698630137</v>
      </c>
      <c r="C963" s="12">
        <f>EXP(-r_free*B963)</f>
        <v>0.92412853526158</v>
      </c>
    </row>
    <row r="964" spans="1:3">
      <c r="A964" s="4">
        <v>961</v>
      </c>
      <c r="B964" s="6">
        <f t="shared" si="15"/>
        <v>2.63287671232877</v>
      </c>
      <c r="C964" s="6">
        <f>EXP(-r_free*B964)</f>
        <v>0.924052582612943</v>
      </c>
    </row>
    <row r="965" spans="1:3">
      <c r="A965" s="10">
        <v>962</v>
      </c>
      <c r="B965" s="12">
        <f t="shared" si="15"/>
        <v>2.63561643835616</v>
      </c>
      <c r="C965" s="12">
        <f>EXP(-r_free*B965)</f>
        <v>0.923976636206733</v>
      </c>
    </row>
    <row r="966" spans="1:3">
      <c r="A966" s="4">
        <v>963</v>
      </c>
      <c r="B966" s="6">
        <f t="shared" si="15"/>
        <v>2.63835616438356</v>
      </c>
      <c r="C966" s="6">
        <f>EXP(-r_free*B966)</f>
        <v>0.923900696042437</v>
      </c>
    </row>
    <row r="967" spans="1:3">
      <c r="A967" s="10">
        <v>964</v>
      </c>
      <c r="B967" s="12">
        <f t="shared" si="15"/>
        <v>2.64109589041096</v>
      </c>
      <c r="C967" s="12">
        <f>EXP(-r_free*B967)</f>
        <v>0.923824762119541</v>
      </c>
    </row>
    <row r="968" spans="1:3">
      <c r="A968" s="4">
        <v>965</v>
      </c>
      <c r="B968" s="6">
        <f t="shared" si="15"/>
        <v>2.64383561643836</v>
      </c>
      <c r="C968" s="6">
        <f>EXP(-r_free*B968)</f>
        <v>0.923748834437534</v>
      </c>
    </row>
    <row r="969" spans="1:3">
      <c r="A969" s="10">
        <v>966</v>
      </c>
      <c r="B969" s="12">
        <f t="shared" si="15"/>
        <v>2.64657534246575</v>
      </c>
      <c r="C969" s="12">
        <f>EXP(-r_free*B969)</f>
        <v>0.923672912995901</v>
      </c>
    </row>
    <row r="970" spans="1:3">
      <c r="A970" s="4">
        <v>967</v>
      </c>
      <c r="B970" s="6">
        <f t="shared" si="15"/>
        <v>2.64931506849315</v>
      </c>
      <c r="C970" s="6">
        <f>EXP(-r_free*B970)</f>
        <v>0.923596997794131</v>
      </c>
    </row>
    <row r="971" spans="1:3">
      <c r="A971" s="10">
        <v>968</v>
      </c>
      <c r="B971" s="12">
        <f t="shared" si="15"/>
        <v>2.65205479452055</v>
      </c>
      <c r="C971" s="12">
        <f>EXP(-r_free*B971)</f>
        <v>0.923521088831709</v>
      </c>
    </row>
    <row r="972" spans="1:3">
      <c r="A972" s="4">
        <v>969</v>
      </c>
      <c r="B972" s="6">
        <f t="shared" si="15"/>
        <v>2.65479452054794</v>
      </c>
      <c r="C972" s="6">
        <f>EXP(-r_free*B972)</f>
        <v>0.923445186108124</v>
      </c>
    </row>
    <row r="973" spans="1:3">
      <c r="A973" s="10">
        <v>970</v>
      </c>
      <c r="B973" s="12">
        <f t="shared" si="15"/>
        <v>2.65753424657534</v>
      </c>
      <c r="C973" s="12">
        <f>EXP(-r_free*B973)</f>
        <v>0.923369289622863</v>
      </c>
    </row>
    <row r="974" spans="1:3">
      <c r="A974" s="4">
        <v>971</v>
      </c>
      <c r="B974" s="6">
        <f t="shared" si="15"/>
        <v>2.66027397260274</v>
      </c>
      <c r="C974" s="6">
        <f>EXP(-r_free*B974)</f>
        <v>0.923293399375413</v>
      </c>
    </row>
    <row r="975" spans="1:3">
      <c r="A975" s="10">
        <v>972</v>
      </c>
      <c r="B975" s="12">
        <f t="shared" si="15"/>
        <v>2.66301369863014</v>
      </c>
      <c r="C975" s="12">
        <f>EXP(-r_free*B975)</f>
        <v>0.923217515365261</v>
      </c>
    </row>
    <row r="976" spans="1:3">
      <c r="A976" s="4">
        <v>973</v>
      </c>
      <c r="B976" s="6">
        <f t="shared" si="15"/>
        <v>2.66575342465753</v>
      </c>
      <c r="C976" s="6">
        <f>EXP(-r_free*B976)</f>
        <v>0.923141637591894</v>
      </c>
    </row>
    <row r="977" spans="1:3">
      <c r="A977" s="10">
        <v>974</v>
      </c>
      <c r="B977" s="12">
        <f t="shared" si="15"/>
        <v>2.66849315068493</v>
      </c>
      <c r="C977" s="12">
        <f>EXP(-r_free*B977)</f>
        <v>0.923065766054801</v>
      </c>
    </row>
    <row r="978" spans="1:3">
      <c r="A978" s="4">
        <v>975</v>
      </c>
      <c r="B978" s="6">
        <f t="shared" si="15"/>
        <v>2.67123287671233</v>
      </c>
      <c r="C978" s="6">
        <f>EXP(-r_free*B978)</f>
        <v>0.922989900753468</v>
      </c>
    </row>
    <row r="979" spans="1:3">
      <c r="A979" s="10">
        <v>976</v>
      </c>
      <c r="B979" s="12">
        <f t="shared" si="15"/>
        <v>2.67397260273973</v>
      </c>
      <c r="C979" s="12">
        <f>EXP(-r_free*B979)</f>
        <v>0.922914041687383</v>
      </c>
    </row>
    <row r="980" spans="1:3">
      <c r="A980" s="4">
        <v>977</v>
      </c>
      <c r="B980" s="6">
        <f t="shared" si="15"/>
        <v>2.67671232876712</v>
      </c>
      <c r="C980" s="6">
        <f>EXP(-r_free*B980)</f>
        <v>0.922838188856033</v>
      </c>
    </row>
    <row r="981" spans="1:3">
      <c r="A981" s="10">
        <v>978</v>
      </c>
      <c r="B981" s="12">
        <f t="shared" si="15"/>
        <v>2.67945205479452</v>
      </c>
      <c r="C981" s="12">
        <f>EXP(-r_free*B981)</f>
        <v>0.922762342258907</v>
      </c>
    </row>
    <row r="982" spans="1:3">
      <c r="A982" s="4">
        <v>979</v>
      </c>
      <c r="B982" s="6">
        <f t="shared" si="15"/>
        <v>2.68219178082192</v>
      </c>
      <c r="C982" s="6">
        <f>EXP(-r_free*B982)</f>
        <v>0.922686501895491</v>
      </c>
    </row>
    <row r="983" spans="1:3">
      <c r="A983" s="10">
        <v>980</v>
      </c>
      <c r="B983" s="12">
        <f t="shared" si="15"/>
        <v>2.68493150684931</v>
      </c>
      <c r="C983" s="12">
        <f>EXP(-r_free*B983)</f>
        <v>0.922610667765274</v>
      </c>
    </row>
    <row r="984" spans="1:3">
      <c r="A984" s="4">
        <v>981</v>
      </c>
      <c r="B984" s="6">
        <f t="shared" si="15"/>
        <v>2.68767123287671</v>
      </c>
      <c r="C984" s="6">
        <f>EXP(-r_free*B984)</f>
        <v>0.922534839867743</v>
      </c>
    </row>
    <row r="985" spans="1:3">
      <c r="A985" s="10">
        <v>982</v>
      </c>
      <c r="B985" s="12">
        <f t="shared" si="15"/>
        <v>2.69041095890411</v>
      </c>
      <c r="C985" s="12">
        <f>EXP(-r_free*B985)</f>
        <v>0.922459018202385</v>
      </c>
    </row>
    <row r="986" spans="1:3">
      <c r="A986" s="4">
        <v>983</v>
      </c>
      <c r="B986" s="6">
        <f t="shared" si="15"/>
        <v>2.69315068493151</v>
      </c>
      <c r="C986" s="6">
        <f>EXP(-r_free*B986)</f>
        <v>0.922383202768689</v>
      </c>
    </row>
    <row r="987" spans="1:3">
      <c r="A987" s="10">
        <v>984</v>
      </c>
      <c r="B987" s="12">
        <f t="shared" si="15"/>
        <v>2.6958904109589</v>
      </c>
      <c r="C987" s="12">
        <f>EXP(-r_free*B987)</f>
        <v>0.922307393566143</v>
      </c>
    </row>
    <row r="988" spans="1:3">
      <c r="A988" s="4">
        <v>985</v>
      </c>
      <c r="B988" s="6">
        <f t="shared" si="15"/>
        <v>2.6986301369863</v>
      </c>
      <c r="C988" s="6">
        <f>EXP(-r_free*B988)</f>
        <v>0.922231590594234</v>
      </c>
    </row>
    <row r="989" spans="1:3">
      <c r="A989" s="10">
        <v>986</v>
      </c>
      <c r="B989" s="12">
        <f t="shared" si="15"/>
        <v>2.7013698630137</v>
      </c>
      <c r="C989" s="12">
        <f>EXP(-r_free*B989)</f>
        <v>0.92215579385245</v>
      </c>
    </row>
    <row r="990" spans="1:3">
      <c r="A990" s="4">
        <v>987</v>
      </c>
      <c r="B990" s="6">
        <f t="shared" si="15"/>
        <v>2.7041095890411</v>
      </c>
      <c r="C990" s="6">
        <f>EXP(-r_free*B990)</f>
        <v>0.922080003340279</v>
      </c>
    </row>
    <row r="991" spans="1:3">
      <c r="A991" s="10">
        <v>988</v>
      </c>
      <c r="B991" s="12">
        <f t="shared" si="15"/>
        <v>2.70684931506849</v>
      </c>
      <c r="C991" s="12">
        <f>EXP(-r_free*B991)</f>
        <v>0.922004219057209</v>
      </c>
    </row>
    <row r="992" spans="1:3">
      <c r="A992" s="4">
        <v>989</v>
      </c>
      <c r="B992" s="6">
        <f t="shared" si="15"/>
        <v>2.70958904109589</v>
      </c>
      <c r="C992" s="6">
        <f>EXP(-r_free*B992)</f>
        <v>0.921928441002729</v>
      </c>
    </row>
    <row r="993" spans="1:4">
      <c r="A993" s="10">
        <v>990</v>
      </c>
      <c r="B993" s="12">
        <f t="shared" si="15"/>
        <v>2.71232876712329</v>
      </c>
      <c r="C993" s="12">
        <f>EXP(-r_free*B993)</f>
        <v>0.921852669176326</v>
      </c>
    </row>
    <row r="994" spans="1:4">
      <c r="A994" s="4">
        <v>991</v>
      </c>
      <c r="B994" s="6">
        <f t="shared" si="15"/>
        <v>2.71506849315068</v>
      </c>
      <c r="C994" s="6">
        <f>EXP(-r_free*B994)</f>
        <v>0.921776903577488</v>
      </c>
    </row>
    <row r="995" spans="1:4">
      <c r="A995" s="10">
        <v>992</v>
      </c>
      <c r="B995" s="12">
        <f t="shared" si="15"/>
        <v>2.71780821917808</v>
      </c>
      <c r="C995" s="12">
        <f>EXP(-r_free*B995)</f>
        <v>0.921701144205704</v>
      </c>
    </row>
    <row r="996" spans="1:4">
      <c r="A996" s="4">
        <v>993</v>
      </c>
      <c r="B996" s="6">
        <f t="shared" si="15"/>
        <v>2.72054794520548</v>
      </c>
      <c r="C996" s="6">
        <f>EXP(-r_free*B996)</f>
        <v>0.921625391060462</v>
      </c>
    </row>
    <row r="997" spans="1:4">
      <c r="A997" s="10">
        <v>994</v>
      </c>
      <c r="B997" s="12">
        <f t="shared" si="15"/>
        <v>2.72328767123288</v>
      </c>
      <c r="C997" s="12">
        <f>EXP(-r_free*B997)</f>
        <v>0.92154964414125</v>
      </c>
    </row>
    <row r="998" spans="1:4">
      <c r="A998" s="4">
        <v>995</v>
      </c>
      <c r="B998" s="6">
        <f t="shared" si="15"/>
        <v>2.72602739726027</v>
      </c>
      <c r="C998" s="6">
        <f>EXP(-r_free*B998)</f>
        <v>0.921473903447556</v>
      </c>
    </row>
    <row r="999" spans="1:4">
      <c r="A999" s="10">
        <v>996</v>
      </c>
      <c r="B999" s="12">
        <f t="shared" si="15"/>
        <v>2.72876712328767</v>
      </c>
      <c r="C999" s="12">
        <f>EXP(-r_free*B999)</f>
        <v>0.921398168978869</v>
      </c>
    </row>
    <row r="1000" spans="1:4">
      <c r="A1000" s="4">
        <v>997</v>
      </c>
      <c r="B1000" s="6">
        <f t="shared" si="15"/>
        <v>2.73150684931507</v>
      </c>
      <c r="C1000" s="6">
        <f>EXP(-r_free*B1000)</f>
        <v>0.921322440734677</v>
      </c>
    </row>
    <row r="1001" spans="1:4">
      <c r="A1001" s="10">
        <v>998</v>
      </c>
      <c r="B1001" s="12">
        <f t="shared" si="15"/>
        <v>2.73424657534247</v>
      </c>
      <c r="C1001" s="12">
        <f>EXP(-r_free*B1001)</f>
        <v>0.921246718714468</v>
      </c>
    </row>
    <row r="1002" spans="1:4">
      <c r="A1002" s="4">
        <v>999</v>
      </c>
      <c r="B1002" s="6">
        <f t="shared" si="15"/>
        <v>2.73698630136986</v>
      </c>
      <c r="C1002" s="6">
        <f>EXP(-r_free*B1002)</f>
        <v>0.921171002917731</v>
      </c>
    </row>
    <row r="1003" spans="1:4">
      <c r="A1003" s="10">
        <v>1000</v>
      </c>
      <c r="B1003" s="12">
        <f t="shared" si="15"/>
        <v>2.73972602739726</v>
      </c>
      <c r="C1003" s="12">
        <f>EXP(-r_free*B1003)</f>
        <v>0.921095293343955</v>
      </c>
    </row>
    <row r="1004" spans="1:4">
      <c r="A1004" s="4">
        <v>1001</v>
      </c>
      <c r="B1004" s="6">
        <f t="shared" si="15"/>
        <v>2.74246575342466</v>
      </c>
      <c r="C1004" s="6">
        <f>EXP(-r_free*B1004)</f>
        <v>0.921019589992627</v>
      </c>
    </row>
    <row r="1005" spans="1:4">
      <c r="A1005" s="10">
        <v>1002</v>
      </c>
      <c r="B1005" s="12">
        <f t="shared" si="15"/>
        <v>2.74520547945205</v>
      </c>
      <c r="C1005" s="12">
        <f>EXP(-r_free*B1005)</f>
        <v>0.920943892863238</v>
      </c>
    </row>
    <row r="1006" spans="1:4">
      <c r="A1006" s="4">
        <v>1003</v>
      </c>
      <c r="B1006" s="6">
        <f t="shared" si="15"/>
        <v>2.74794520547945</v>
      </c>
      <c r="C1006" s="6">
        <f>EXP(-r_free*B1006)</f>
        <v>0.920868201955274</v>
      </c>
      <c r="D1006" s="43" t="s">
        <v>45</v>
      </c>
    </row>
    <row r="1007" spans="1:4">
      <c r="A1007" s="10">
        <v>1004</v>
      </c>
      <c r="B1007" s="12">
        <f t="shared" si="15"/>
        <v>2.75068493150685</v>
      </c>
      <c r="C1007" s="12">
        <f>EXP(-r_free*B1007)</f>
        <v>0.920792517268225</v>
      </c>
    </row>
    <row r="1008" spans="1:4">
      <c r="A1008" s="4">
        <v>1005</v>
      </c>
      <c r="B1008" s="6">
        <f t="shared" si="15"/>
        <v>2.75342465753425</v>
      </c>
      <c r="C1008" s="6">
        <f>EXP(-r_free*B1008)</f>
        <v>0.92071683880158</v>
      </c>
    </row>
    <row r="1009" spans="1:3">
      <c r="A1009" s="10">
        <v>1006</v>
      </c>
      <c r="B1009" s="12">
        <f t="shared" si="15"/>
        <v>2.75616438356164</v>
      </c>
      <c r="C1009" s="12">
        <f>EXP(-r_free*B1009)</f>
        <v>0.920641166554827</v>
      </c>
    </row>
    <row r="1010" spans="1:3">
      <c r="A1010" s="4">
        <v>1007</v>
      </c>
      <c r="B1010" s="6">
        <f t="shared" si="15"/>
        <v>2.75890410958904</v>
      </c>
      <c r="C1010" s="6">
        <f>EXP(-r_free*B1010)</f>
        <v>0.920565500527455</v>
      </c>
    </row>
    <row r="1011" spans="1:3">
      <c r="A1011" s="10">
        <v>1008</v>
      </c>
      <c r="B1011" s="12">
        <f t="shared" si="15"/>
        <v>2.76164383561644</v>
      </c>
      <c r="C1011" s="12">
        <f>EXP(-r_free*B1011)</f>
        <v>0.920489840718954</v>
      </c>
    </row>
    <row r="1012" spans="1:3">
      <c r="A1012" s="4">
        <v>1009</v>
      </c>
      <c r="B1012" s="6">
        <f t="shared" si="15"/>
        <v>2.76438356164384</v>
      </c>
      <c r="C1012" s="6">
        <f>EXP(-r_free*B1012)</f>
        <v>0.920414187128811</v>
      </c>
    </row>
    <row r="1013" spans="1:3">
      <c r="A1013" s="10">
        <v>1010</v>
      </c>
      <c r="B1013" s="12">
        <f t="shared" si="15"/>
        <v>2.76712328767123</v>
      </c>
      <c r="C1013" s="12">
        <f>EXP(-r_free*B1013)</f>
        <v>0.920338539756515</v>
      </c>
    </row>
    <row r="1014" spans="1:3">
      <c r="A1014" s="4">
        <v>1011</v>
      </c>
      <c r="B1014" s="6">
        <f t="shared" si="15"/>
        <v>2.76986301369863</v>
      </c>
      <c r="C1014" s="6">
        <f>EXP(-r_free*B1014)</f>
        <v>0.920262898601557</v>
      </c>
    </row>
    <row r="1015" spans="1:3">
      <c r="A1015" s="10">
        <v>1012</v>
      </c>
      <c r="B1015" s="12">
        <f t="shared" si="15"/>
        <v>2.77260273972603</v>
      </c>
      <c r="C1015" s="12">
        <f>EXP(-r_free*B1015)</f>
        <v>0.920187263663424</v>
      </c>
    </row>
    <row r="1016" spans="1:3">
      <c r="A1016" s="4">
        <v>1013</v>
      </c>
      <c r="B1016" s="6">
        <f t="shared" si="15"/>
        <v>2.77534246575342</v>
      </c>
      <c r="C1016" s="6">
        <f>EXP(-r_free*B1016)</f>
        <v>0.920111634941606</v>
      </c>
    </row>
    <row r="1017" spans="1:3">
      <c r="A1017" s="10">
        <v>1014</v>
      </c>
      <c r="B1017" s="12">
        <f t="shared" si="15"/>
        <v>2.77808219178082</v>
      </c>
      <c r="C1017" s="12">
        <f>EXP(-r_free*B1017)</f>
        <v>0.920036012435592</v>
      </c>
    </row>
    <row r="1018" spans="1:3">
      <c r="A1018" s="4">
        <v>1015</v>
      </c>
      <c r="B1018" s="6">
        <f t="shared" si="15"/>
        <v>2.78082191780822</v>
      </c>
      <c r="C1018" s="6">
        <f>EXP(-r_free*B1018)</f>
        <v>0.919960396144871</v>
      </c>
    </row>
    <row r="1019" spans="1:3">
      <c r="A1019" s="10">
        <v>1016</v>
      </c>
      <c r="B1019" s="12">
        <f t="shared" si="15"/>
        <v>2.78356164383562</v>
      </c>
      <c r="C1019" s="12">
        <f>EXP(-r_free*B1019)</f>
        <v>0.919884786068933</v>
      </c>
    </row>
    <row r="1020" spans="1:3">
      <c r="A1020" s="4">
        <v>1017</v>
      </c>
      <c r="B1020" s="6">
        <f t="shared" si="15"/>
        <v>2.78630136986301</v>
      </c>
      <c r="C1020" s="6">
        <f>EXP(-r_free*B1020)</f>
        <v>0.919809182207265</v>
      </c>
    </row>
    <row r="1021" spans="1:3">
      <c r="A1021" s="10">
        <v>1018</v>
      </c>
      <c r="B1021" s="12">
        <f t="shared" si="15"/>
        <v>2.78904109589041</v>
      </c>
      <c r="C1021" s="12">
        <f>EXP(-r_free*B1021)</f>
        <v>0.919733584559358</v>
      </c>
    </row>
    <row r="1022" spans="1:3">
      <c r="A1022" s="4">
        <v>1019</v>
      </c>
      <c r="B1022" s="6">
        <f t="shared" si="15"/>
        <v>2.79178082191781</v>
      </c>
      <c r="C1022" s="6">
        <f>EXP(-r_free*B1022)</f>
        <v>0.919657993124702</v>
      </c>
    </row>
    <row r="1023" spans="1:3">
      <c r="A1023" s="10">
        <v>1020</v>
      </c>
      <c r="B1023" s="12">
        <f t="shared" si="15"/>
        <v>2.79452054794521</v>
      </c>
      <c r="C1023" s="12">
        <f>EXP(-r_free*B1023)</f>
        <v>0.919582407902784</v>
      </c>
    </row>
    <row r="1024" spans="1:3">
      <c r="A1024" s="4">
        <v>1021</v>
      </c>
      <c r="B1024" s="6">
        <f t="shared" si="15"/>
        <v>2.7972602739726</v>
      </c>
      <c r="C1024" s="6">
        <f>EXP(-r_free*B1024)</f>
        <v>0.919506828893095</v>
      </c>
    </row>
    <row r="1025" spans="1:3">
      <c r="A1025" s="10">
        <v>1022</v>
      </c>
      <c r="B1025" s="12">
        <f t="shared" si="15"/>
        <v>2.8</v>
      </c>
      <c r="C1025" s="12">
        <f>EXP(-r_free*B1025)</f>
        <v>0.919431256095125</v>
      </c>
    </row>
    <row r="1026" spans="1:3">
      <c r="A1026" s="4">
        <v>1023</v>
      </c>
      <c r="B1026" s="6">
        <f t="shared" si="15"/>
        <v>2.8027397260274</v>
      </c>
      <c r="C1026" s="6">
        <f>EXP(-r_free*B1026)</f>
        <v>0.919355689508362</v>
      </c>
    </row>
    <row r="1027" spans="1:3">
      <c r="A1027" s="10">
        <v>1024</v>
      </c>
      <c r="B1027" s="12">
        <f t="shared" ref="B1027:B1090" si="16">A1027/365</f>
        <v>2.80547945205479</v>
      </c>
      <c r="C1027" s="12">
        <f>EXP(-r_free*B1027)</f>
        <v>0.919280129132296</v>
      </c>
    </row>
    <row r="1028" spans="1:3">
      <c r="A1028" s="4">
        <v>1025</v>
      </c>
      <c r="B1028" s="6">
        <f t="shared" si="16"/>
        <v>2.80821917808219</v>
      </c>
      <c r="C1028" s="6">
        <f>EXP(-r_free*B1028)</f>
        <v>0.919204574966416</v>
      </c>
    </row>
    <row r="1029" spans="1:3">
      <c r="A1029" s="10">
        <v>1026</v>
      </c>
      <c r="B1029" s="12">
        <f t="shared" si="16"/>
        <v>2.81095890410959</v>
      </c>
      <c r="C1029" s="12">
        <f>EXP(-r_free*B1029)</f>
        <v>0.919129027010213</v>
      </c>
    </row>
    <row r="1030" spans="1:3">
      <c r="A1030" s="4">
        <v>1027</v>
      </c>
      <c r="B1030" s="6">
        <f t="shared" si="16"/>
        <v>2.81369863013699</v>
      </c>
      <c r="C1030" s="6">
        <f>EXP(-r_free*B1030)</f>
        <v>0.919053485263176</v>
      </c>
    </row>
    <row r="1031" spans="1:3">
      <c r="A1031" s="10">
        <v>1028</v>
      </c>
      <c r="B1031" s="12">
        <f t="shared" si="16"/>
        <v>2.81643835616438</v>
      </c>
      <c r="C1031" s="12">
        <f>EXP(-r_free*B1031)</f>
        <v>0.918977949724794</v>
      </c>
    </row>
    <row r="1032" spans="1:3">
      <c r="A1032" s="4">
        <v>1029</v>
      </c>
      <c r="B1032" s="6">
        <f t="shared" si="16"/>
        <v>2.81917808219178</v>
      </c>
      <c r="C1032" s="6">
        <f>EXP(-r_free*B1032)</f>
        <v>0.918902420394558</v>
      </c>
    </row>
    <row r="1033" spans="1:3">
      <c r="A1033" s="10">
        <v>1030</v>
      </c>
      <c r="B1033" s="12">
        <f t="shared" si="16"/>
        <v>2.82191780821918</v>
      </c>
      <c r="C1033" s="12">
        <f>EXP(-r_free*B1033)</f>
        <v>0.918826897271957</v>
      </c>
    </row>
    <row r="1034" spans="1:3">
      <c r="A1034" s="4">
        <v>1031</v>
      </c>
      <c r="B1034" s="6">
        <f t="shared" si="16"/>
        <v>2.82465753424658</v>
      </c>
      <c r="C1034" s="6">
        <f>EXP(-r_free*B1034)</f>
        <v>0.91875138035648</v>
      </c>
    </row>
    <row r="1035" spans="1:3">
      <c r="A1035" s="10">
        <v>1032</v>
      </c>
      <c r="B1035" s="12">
        <f t="shared" si="16"/>
        <v>2.82739726027397</v>
      </c>
      <c r="C1035" s="12">
        <f>EXP(-r_free*B1035)</f>
        <v>0.918675869647618</v>
      </c>
    </row>
    <row r="1036" spans="1:3">
      <c r="A1036" s="4">
        <v>1033</v>
      </c>
      <c r="B1036" s="6">
        <f t="shared" si="16"/>
        <v>2.83013698630137</v>
      </c>
      <c r="C1036" s="6">
        <f>EXP(-r_free*B1036)</f>
        <v>0.918600365144861</v>
      </c>
    </row>
    <row r="1037" spans="1:3">
      <c r="A1037" s="10">
        <v>1034</v>
      </c>
      <c r="B1037" s="12">
        <f t="shared" si="16"/>
        <v>2.83287671232877</v>
      </c>
      <c r="C1037" s="12">
        <f>EXP(-r_free*B1037)</f>
        <v>0.918524866847699</v>
      </c>
    </row>
    <row r="1038" spans="1:3">
      <c r="A1038" s="4">
        <v>1035</v>
      </c>
      <c r="B1038" s="6">
        <f t="shared" si="16"/>
        <v>2.83561643835616</v>
      </c>
      <c r="C1038" s="6">
        <f>EXP(-r_free*B1038)</f>
        <v>0.91844937475562</v>
      </c>
    </row>
    <row r="1039" spans="1:3">
      <c r="A1039" s="10">
        <v>1036</v>
      </c>
      <c r="B1039" s="12">
        <f t="shared" si="16"/>
        <v>2.83835616438356</v>
      </c>
      <c r="C1039" s="12">
        <f>EXP(-r_free*B1039)</f>
        <v>0.918373888868117</v>
      </c>
    </row>
    <row r="1040" spans="1:3">
      <c r="A1040" s="4">
        <v>1037</v>
      </c>
      <c r="B1040" s="6">
        <f t="shared" si="16"/>
        <v>2.84109589041096</v>
      </c>
      <c r="C1040" s="6">
        <f>EXP(-r_free*B1040)</f>
        <v>0.918298409184678</v>
      </c>
    </row>
    <row r="1041" spans="1:3">
      <c r="A1041" s="10">
        <v>1038</v>
      </c>
      <c r="B1041" s="12">
        <f t="shared" si="16"/>
        <v>2.84383561643836</v>
      </c>
      <c r="C1041" s="12">
        <f>EXP(-r_free*B1041)</f>
        <v>0.918222935704793</v>
      </c>
    </row>
    <row r="1042" spans="1:3">
      <c r="A1042" s="4">
        <v>1039</v>
      </c>
      <c r="B1042" s="6">
        <f t="shared" si="16"/>
        <v>2.84657534246575</v>
      </c>
      <c r="C1042" s="6">
        <f>EXP(-r_free*B1042)</f>
        <v>0.918147468427953</v>
      </c>
    </row>
    <row r="1043" spans="1:3">
      <c r="A1043" s="10">
        <v>1040</v>
      </c>
      <c r="B1043" s="12">
        <f t="shared" si="16"/>
        <v>2.84931506849315</v>
      </c>
      <c r="C1043" s="12">
        <f>EXP(-r_free*B1043)</f>
        <v>0.918072007353649</v>
      </c>
    </row>
    <row r="1044" spans="1:3">
      <c r="A1044" s="4">
        <v>1041</v>
      </c>
      <c r="B1044" s="6">
        <f t="shared" si="16"/>
        <v>2.85205479452055</v>
      </c>
      <c r="C1044" s="6">
        <f>EXP(-r_free*B1044)</f>
        <v>0.917996552481369</v>
      </c>
    </row>
    <row r="1045" spans="1:3">
      <c r="A1045" s="10">
        <v>1042</v>
      </c>
      <c r="B1045" s="12">
        <f t="shared" si="16"/>
        <v>2.85479452054795</v>
      </c>
      <c r="C1045" s="12">
        <f>EXP(-r_free*B1045)</f>
        <v>0.917921103810605</v>
      </c>
    </row>
    <row r="1046" spans="1:3">
      <c r="A1046" s="4">
        <v>1043</v>
      </c>
      <c r="B1046" s="6">
        <f t="shared" si="16"/>
        <v>2.85753424657534</v>
      </c>
      <c r="C1046" s="6">
        <f>EXP(-r_free*B1046)</f>
        <v>0.917845661340847</v>
      </c>
    </row>
    <row r="1047" spans="1:3">
      <c r="A1047" s="10">
        <v>1044</v>
      </c>
      <c r="B1047" s="12">
        <f t="shared" si="16"/>
        <v>2.86027397260274</v>
      </c>
      <c r="C1047" s="12">
        <f>EXP(-r_free*B1047)</f>
        <v>0.917770225071585</v>
      </c>
    </row>
    <row r="1048" spans="1:3">
      <c r="A1048" s="4">
        <v>1045</v>
      </c>
      <c r="B1048" s="6">
        <f t="shared" si="16"/>
        <v>2.86301369863014</v>
      </c>
      <c r="C1048" s="6">
        <f>EXP(-r_free*B1048)</f>
        <v>0.917694795002309</v>
      </c>
    </row>
    <row r="1049" spans="1:3">
      <c r="A1049" s="10">
        <v>1046</v>
      </c>
      <c r="B1049" s="12">
        <f t="shared" si="16"/>
        <v>2.86575342465753</v>
      </c>
      <c r="C1049" s="12">
        <f>EXP(-r_free*B1049)</f>
        <v>0.91761937113251</v>
      </c>
    </row>
    <row r="1050" spans="1:3">
      <c r="A1050" s="4">
        <v>1047</v>
      </c>
      <c r="B1050" s="6">
        <f t="shared" si="16"/>
        <v>2.86849315068493</v>
      </c>
      <c r="C1050" s="6">
        <f>EXP(-r_free*B1050)</f>
        <v>0.917543953461679</v>
      </c>
    </row>
    <row r="1051" spans="1:3">
      <c r="A1051" s="10">
        <v>1048</v>
      </c>
      <c r="B1051" s="12">
        <f t="shared" si="16"/>
        <v>2.87123287671233</v>
      </c>
      <c r="C1051" s="12">
        <f>EXP(-r_free*B1051)</f>
        <v>0.917468541989306</v>
      </c>
    </row>
    <row r="1052" spans="1:3">
      <c r="A1052" s="4">
        <v>1049</v>
      </c>
      <c r="B1052" s="6">
        <f t="shared" si="16"/>
        <v>2.87397260273973</v>
      </c>
      <c r="C1052" s="6">
        <f>EXP(-r_free*B1052)</f>
        <v>0.917393136714881</v>
      </c>
    </row>
    <row r="1053" spans="1:3">
      <c r="A1053" s="10">
        <v>1050</v>
      </c>
      <c r="B1053" s="12">
        <f t="shared" si="16"/>
        <v>2.87671232876712</v>
      </c>
      <c r="C1053" s="12">
        <f>EXP(-r_free*B1053)</f>
        <v>0.917317737637895</v>
      </c>
    </row>
    <row r="1054" spans="1:3">
      <c r="A1054" s="4">
        <v>1051</v>
      </c>
      <c r="B1054" s="6">
        <f t="shared" si="16"/>
        <v>2.87945205479452</v>
      </c>
      <c r="C1054" s="6">
        <f>EXP(-r_free*B1054)</f>
        <v>0.917242344757839</v>
      </c>
    </row>
    <row r="1055" spans="1:3">
      <c r="A1055" s="10">
        <v>1052</v>
      </c>
      <c r="B1055" s="12">
        <f t="shared" si="16"/>
        <v>2.88219178082192</v>
      </c>
      <c r="C1055" s="12">
        <f>EXP(-r_free*B1055)</f>
        <v>0.917166958074204</v>
      </c>
    </row>
    <row r="1056" spans="1:3">
      <c r="A1056" s="4">
        <v>1053</v>
      </c>
      <c r="B1056" s="6">
        <f t="shared" si="16"/>
        <v>2.88493150684931</v>
      </c>
      <c r="C1056" s="6">
        <f>EXP(-r_free*B1056)</f>
        <v>0.917091577586479</v>
      </c>
    </row>
    <row r="1057" spans="1:3">
      <c r="A1057" s="10">
        <v>1054</v>
      </c>
      <c r="B1057" s="12">
        <f t="shared" si="16"/>
        <v>2.88767123287671</v>
      </c>
      <c r="C1057" s="12">
        <f>EXP(-r_free*B1057)</f>
        <v>0.917016203294157</v>
      </c>
    </row>
    <row r="1058" spans="1:3">
      <c r="A1058" s="4">
        <v>1055</v>
      </c>
      <c r="B1058" s="6">
        <f t="shared" si="16"/>
        <v>2.89041095890411</v>
      </c>
      <c r="C1058" s="6">
        <f>EXP(-r_free*B1058)</f>
        <v>0.916940835196727</v>
      </c>
    </row>
    <row r="1059" spans="1:3">
      <c r="A1059" s="10">
        <v>1056</v>
      </c>
      <c r="B1059" s="12">
        <f t="shared" si="16"/>
        <v>2.89315068493151</v>
      </c>
      <c r="C1059" s="12">
        <f>EXP(-r_free*B1059)</f>
        <v>0.916865473293681</v>
      </c>
    </row>
    <row r="1060" spans="1:3">
      <c r="A1060" s="4">
        <v>1057</v>
      </c>
      <c r="B1060" s="6">
        <f t="shared" si="16"/>
        <v>2.8958904109589</v>
      </c>
      <c r="C1060" s="6">
        <f>EXP(-r_free*B1060)</f>
        <v>0.916790117584509</v>
      </c>
    </row>
    <row r="1061" spans="1:3">
      <c r="A1061" s="10">
        <v>1058</v>
      </c>
      <c r="B1061" s="12">
        <f t="shared" si="16"/>
        <v>2.8986301369863</v>
      </c>
      <c r="C1061" s="12">
        <f>EXP(-r_free*B1061)</f>
        <v>0.916714768068703</v>
      </c>
    </row>
    <row r="1062" spans="1:3">
      <c r="A1062" s="4">
        <v>1059</v>
      </c>
      <c r="B1062" s="6">
        <f t="shared" si="16"/>
        <v>2.9013698630137</v>
      </c>
      <c r="C1062" s="6">
        <f>EXP(-r_free*B1062)</f>
        <v>0.916639424745753</v>
      </c>
    </row>
    <row r="1063" spans="1:3">
      <c r="A1063" s="10">
        <v>1060</v>
      </c>
      <c r="B1063" s="12">
        <f t="shared" si="16"/>
        <v>2.9041095890411</v>
      </c>
      <c r="C1063" s="12">
        <f>EXP(-r_free*B1063)</f>
        <v>0.91656408761515</v>
      </c>
    </row>
    <row r="1064" spans="1:3">
      <c r="A1064" s="4">
        <v>1061</v>
      </c>
      <c r="B1064" s="6">
        <f t="shared" si="16"/>
        <v>2.90684931506849</v>
      </c>
      <c r="C1064" s="6">
        <f>EXP(-r_free*B1064)</f>
        <v>0.916488756676386</v>
      </c>
    </row>
    <row r="1065" spans="1:3">
      <c r="A1065" s="10">
        <v>1062</v>
      </c>
      <c r="B1065" s="12">
        <f t="shared" si="16"/>
        <v>2.90958904109589</v>
      </c>
      <c r="C1065" s="12">
        <f>EXP(-r_free*B1065)</f>
        <v>0.916413431928951</v>
      </c>
    </row>
    <row r="1066" spans="1:3">
      <c r="A1066" s="4">
        <v>1063</v>
      </c>
      <c r="B1066" s="6">
        <f t="shared" si="16"/>
        <v>2.91232876712329</v>
      </c>
      <c r="C1066" s="6">
        <f>EXP(-r_free*B1066)</f>
        <v>0.916338113372338</v>
      </c>
    </row>
    <row r="1067" spans="1:3">
      <c r="A1067" s="10">
        <v>1064</v>
      </c>
      <c r="B1067" s="12">
        <f t="shared" si="16"/>
        <v>2.91506849315068</v>
      </c>
      <c r="C1067" s="12">
        <f>EXP(-r_free*B1067)</f>
        <v>0.916262801006036</v>
      </c>
    </row>
    <row r="1068" spans="1:3">
      <c r="A1068" s="4">
        <v>1065</v>
      </c>
      <c r="B1068" s="6">
        <f t="shared" si="16"/>
        <v>2.91780821917808</v>
      </c>
      <c r="C1068" s="6">
        <f>EXP(-r_free*B1068)</f>
        <v>0.916187494829537</v>
      </c>
    </row>
    <row r="1069" spans="1:3">
      <c r="A1069" s="10">
        <v>1066</v>
      </c>
      <c r="B1069" s="12">
        <f t="shared" si="16"/>
        <v>2.92054794520548</v>
      </c>
      <c r="C1069" s="12">
        <f>EXP(-r_free*B1069)</f>
        <v>0.916112194842332</v>
      </c>
    </row>
    <row r="1070" spans="1:3">
      <c r="A1070" s="4">
        <v>1067</v>
      </c>
      <c r="B1070" s="6">
        <f t="shared" si="16"/>
        <v>2.92328767123288</v>
      </c>
      <c r="C1070" s="6">
        <f>EXP(-r_free*B1070)</f>
        <v>0.916036901043914</v>
      </c>
    </row>
    <row r="1071" spans="1:3">
      <c r="A1071" s="10">
        <v>1068</v>
      </c>
      <c r="B1071" s="12">
        <f t="shared" si="16"/>
        <v>2.92602739726027</v>
      </c>
      <c r="C1071" s="12">
        <f>EXP(-r_free*B1071)</f>
        <v>0.915961613433772</v>
      </c>
    </row>
    <row r="1072" spans="1:3">
      <c r="A1072" s="4">
        <v>1069</v>
      </c>
      <c r="B1072" s="6">
        <f t="shared" si="16"/>
        <v>2.92876712328767</v>
      </c>
      <c r="C1072" s="6">
        <f>EXP(-r_free*B1072)</f>
        <v>0.915886332011399</v>
      </c>
    </row>
    <row r="1073" spans="1:3">
      <c r="A1073" s="10">
        <v>1070</v>
      </c>
      <c r="B1073" s="12">
        <f t="shared" si="16"/>
        <v>2.93150684931507</v>
      </c>
      <c r="C1073" s="12">
        <f>EXP(-r_free*B1073)</f>
        <v>0.915811056776286</v>
      </c>
    </row>
    <row r="1074" spans="1:3">
      <c r="A1074" s="4">
        <v>1071</v>
      </c>
      <c r="B1074" s="6">
        <f t="shared" si="16"/>
        <v>2.93424657534247</v>
      </c>
      <c r="C1074" s="6">
        <f>EXP(-r_free*B1074)</f>
        <v>0.915735787727924</v>
      </c>
    </row>
    <row r="1075" spans="1:3">
      <c r="A1075" s="10">
        <v>1072</v>
      </c>
      <c r="B1075" s="12">
        <f t="shared" si="16"/>
        <v>2.93698630136986</v>
      </c>
      <c r="C1075" s="12">
        <f>EXP(-r_free*B1075)</f>
        <v>0.915660524865805</v>
      </c>
    </row>
    <row r="1076" spans="1:3">
      <c r="A1076" s="4">
        <v>1073</v>
      </c>
      <c r="B1076" s="6">
        <f t="shared" si="16"/>
        <v>2.93972602739726</v>
      </c>
      <c r="C1076" s="6">
        <f>EXP(-r_free*B1076)</f>
        <v>0.91558526818942</v>
      </c>
    </row>
    <row r="1077" spans="1:3">
      <c r="A1077" s="10">
        <v>1074</v>
      </c>
      <c r="B1077" s="12">
        <f t="shared" si="16"/>
        <v>2.94246575342466</v>
      </c>
      <c r="C1077" s="12">
        <f>EXP(-r_free*B1077)</f>
        <v>0.915510017698262</v>
      </c>
    </row>
    <row r="1078" spans="1:3">
      <c r="A1078" s="4">
        <v>1075</v>
      </c>
      <c r="B1078" s="6">
        <f t="shared" si="16"/>
        <v>2.94520547945205</v>
      </c>
      <c r="C1078" s="6">
        <f>EXP(-r_free*B1078)</f>
        <v>0.915434773391821</v>
      </c>
    </row>
    <row r="1079" spans="1:3">
      <c r="A1079" s="10">
        <v>1076</v>
      </c>
      <c r="B1079" s="12">
        <f t="shared" si="16"/>
        <v>2.94794520547945</v>
      </c>
      <c r="C1079" s="12">
        <f>EXP(-r_free*B1079)</f>
        <v>0.915359535269589</v>
      </c>
    </row>
    <row r="1080" spans="1:3">
      <c r="A1080" s="4">
        <v>1077</v>
      </c>
      <c r="B1080" s="6">
        <f t="shared" si="16"/>
        <v>2.95068493150685</v>
      </c>
      <c r="C1080" s="6">
        <f>EXP(-r_free*B1080)</f>
        <v>0.915284303331059</v>
      </c>
    </row>
    <row r="1081" spans="1:3">
      <c r="A1081" s="10">
        <v>1078</v>
      </c>
      <c r="B1081" s="12">
        <f t="shared" si="16"/>
        <v>2.95342465753425</v>
      </c>
      <c r="C1081" s="12">
        <f>EXP(-r_free*B1081)</f>
        <v>0.915209077575722</v>
      </c>
    </row>
    <row r="1082" spans="1:3">
      <c r="A1082" s="4">
        <v>1079</v>
      </c>
      <c r="B1082" s="6">
        <f t="shared" si="16"/>
        <v>2.95616438356164</v>
      </c>
      <c r="C1082" s="6">
        <f>EXP(-r_free*B1082)</f>
        <v>0.915133858003069</v>
      </c>
    </row>
    <row r="1083" spans="1:3">
      <c r="A1083" s="10">
        <v>1080</v>
      </c>
      <c r="B1083" s="12">
        <f t="shared" si="16"/>
        <v>2.95890410958904</v>
      </c>
      <c r="C1083" s="12">
        <f>EXP(-r_free*B1083)</f>
        <v>0.915058644612593</v>
      </c>
    </row>
    <row r="1084" spans="1:3">
      <c r="A1084" s="4">
        <v>1081</v>
      </c>
      <c r="B1084" s="6">
        <f t="shared" si="16"/>
        <v>2.96164383561644</v>
      </c>
      <c r="C1084" s="6">
        <f>EXP(-r_free*B1084)</f>
        <v>0.914983437403785</v>
      </c>
    </row>
    <row r="1085" spans="1:3">
      <c r="A1085" s="10">
        <v>1082</v>
      </c>
      <c r="B1085" s="12">
        <f t="shared" si="16"/>
        <v>2.96438356164384</v>
      </c>
      <c r="C1085" s="12">
        <f>EXP(-r_free*B1085)</f>
        <v>0.914908236376138</v>
      </c>
    </row>
    <row r="1086" spans="1:3">
      <c r="A1086" s="4">
        <v>1083</v>
      </c>
      <c r="B1086" s="6">
        <f t="shared" si="16"/>
        <v>2.96712328767123</v>
      </c>
      <c r="C1086" s="6">
        <f>EXP(-r_free*B1086)</f>
        <v>0.914833041529143</v>
      </c>
    </row>
    <row r="1087" spans="1:3">
      <c r="A1087" s="10">
        <v>1084</v>
      </c>
      <c r="B1087" s="12">
        <f t="shared" si="16"/>
        <v>2.96986301369863</v>
      </c>
      <c r="C1087" s="12">
        <f>EXP(-r_free*B1087)</f>
        <v>0.914757852862293</v>
      </c>
    </row>
    <row r="1088" spans="1:3">
      <c r="A1088" s="4">
        <v>1085</v>
      </c>
      <c r="B1088" s="6">
        <f t="shared" si="16"/>
        <v>2.97260273972603</v>
      </c>
      <c r="C1088" s="6">
        <f>EXP(-r_free*B1088)</f>
        <v>0.914682670375079</v>
      </c>
    </row>
    <row r="1089" spans="1:4">
      <c r="A1089" s="10">
        <v>1086</v>
      </c>
      <c r="B1089" s="12">
        <f t="shared" si="16"/>
        <v>2.97534246575342</v>
      </c>
      <c r="C1089" s="12">
        <f>EXP(-r_free*B1089)</f>
        <v>0.914607494066993</v>
      </c>
    </row>
    <row r="1090" spans="1:4">
      <c r="A1090" s="4">
        <v>1087</v>
      </c>
      <c r="B1090" s="6">
        <f t="shared" si="16"/>
        <v>2.97808219178082</v>
      </c>
      <c r="C1090" s="6">
        <f>EXP(-r_free*B1090)</f>
        <v>0.914532323937529</v>
      </c>
    </row>
    <row r="1091" spans="1:4">
      <c r="A1091" s="10">
        <v>1088</v>
      </c>
      <c r="B1091" s="12">
        <f t="shared" ref="B1091:B1154" si="17">A1091/365</f>
        <v>2.98082191780822</v>
      </c>
      <c r="C1091" s="12">
        <f>EXP(-r_free*B1091)</f>
        <v>0.914457159986177</v>
      </c>
    </row>
    <row r="1092" spans="1:4">
      <c r="A1092" s="4">
        <v>1089</v>
      </c>
      <c r="B1092" s="6">
        <f t="shared" si="17"/>
        <v>2.98356164383562</v>
      </c>
      <c r="C1092" s="6">
        <f>EXP(-r_free*B1092)</f>
        <v>0.91438200221243</v>
      </c>
    </row>
    <row r="1093" spans="1:4">
      <c r="A1093" s="10">
        <v>1090</v>
      </c>
      <c r="B1093" s="12">
        <f t="shared" si="17"/>
        <v>2.98630136986301</v>
      </c>
      <c r="C1093" s="12">
        <f>EXP(-r_free*B1093)</f>
        <v>0.914306850615781</v>
      </c>
    </row>
    <row r="1094" spans="1:4">
      <c r="A1094" s="4">
        <v>1091</v>
      </c>
      <c r="B1094" s="6">
        <f t="shared" si="17"/>
        <v>2.98904109589041</v>
      </c>
      <c r="C1094" s="6">
        <f>EXP(-r_free*B1094)</f>
        <v>0.914231705195721</v>
      </c>
    </row>
    <row r="1095" spans="1:4">
      <c r="A1095" s="10">
        <v>1092</v>
      </c>
      <c r="B1095" s="12">
        <f t="shared" si="17"/>
        <v>2.99178082191781</v>
      </c>
      <c r="C1095" s="12">
        <f>EXP(-r_free*B1095)</f>
        <v>0.914156565951744</v>
      </c>
    </row>
    <row r="1096" spans="1:4">
      <c r="A1096" s="4">
        <v>1093</v>
      </c>
      <c r="B1096" s="6">
        <f t="shared" si="17"/>
        <v>2.99452054794521</v>
      </c>
      <c r="C1096" s="6">
        <f>EXP(-r_free*B1096)</f>
        <v>0.914081432883341</v>
      </c>
    </row>
    <row r="1097" spans="1:4">
      <c r="A1097" s="10">
        <v>1094</v>
      </c>
      <c r="B1097" s="12">
        <f t="shared" si="17"/>
        <v>2.9972602739726</v>
      </c>
      <c r="C1097" s="12">
        <f>EXP(-r_free*B1097)</f>
        <v>0.914006305990005</v>
      </c>
    </row>
    <row r="1098" spans="1:4">
      <c r="A1098" s="4">
        <v>1095</v>
      </c>
      <c r="B1098" s="6">
        <f t="shared" si="17"/>
        <v>3</v>
      </c>
      <c r="C1098" s="6">
        <f>EXP(-r_free*B1098)</f>
        <v>0.913931185271228</v>
      </c>
      <c r="D1098" s="43" t="s">
        <v>46</v>
      </c>
    </row>
    <row r="1099" spans="1:4">
      <c r="A1099" s="10">
        <v>1096</v>
      </c>
      <c r="B1099" s="12">
        <f t="shared" si="17"/>
        <v>3.0027397260274</v>
      </c>
      <c r="C1099" s="12">
        <f>EXP(-r_free*B1099)</f>
        <v>0.913856070726503</v>
      </c>
    </row>
    <row r="1100" spans="1:4">
      <c r="A1100" s="4">
        <v>1097</v>
      </c>
      <c r="B1100" s="6">
        <f t="shared" si="17"/>
        <v>3.00547945205479</v>
      </c>
      <c r="C1100" s="6">
        <f>EXP(-r_free*B1100)</f>
        <v>0.913780962355323</v>
      </c>
    </row>
    <row r="1101" spans="1:4">
      <c r="A1101" s="10">
        <v>1098</v>
      </c>
      <c r="B1101" s="12">
        <f t="shared" si="17"/>
        <v>3.00821917808219</v>
      </c>
      <c r="C1101" s="12">
        <f>EXP(-r_free*B1101)</f>
        <v>0.91370586015718</v>
      </c>
    </row>
    <row r="1102" spans="1:4">
      <c r="A1102" s="4">
        <v>1099</v>
      </c>
      <c r="B1102" s="6">
        <f t="shared" si="17"/>
        <v>3.01095890410959</v>
      </c>
      <c r="C1102" s="6">
        <f>EXP(-r_free*B1102)</f>
        <v>0.913630764131567</v>
      </c>
    </row>
    <row r="1103" spans="1:4">
      <c r="A1103" s="10">
        <v>1100</v>
      </c>
      <c r="B1103" s="12">
        <f t="shared" si="17"/>
        <v>3.01369863013699</v>
      </c>
      <c r="C1103" s="12">
        <f>EXP(-r_free*B1103)</f>
        <v>0.913555674277976</v>
      </c>
    </row>
    <row r="1104" spans="1:4">
      <c r="A1104" s="4">
        <v>1101</v>
      </c>
      <c r="B1104" s="6">
        <f t="shared" si="17"/>
        <v>3.01643835616438</v>
      </c>
      <c r="C1104" s="6">
        <f>EXP(-r_free*B1104)</f>
        <v>0.9134805905959</v>
      </c>
    </row>
    <row r="1105" spans="1:3">
      <c r="A1105" s="10">
        <v>1102</v>
      </c>
      <c r="B1105" s="12">
        <f t="shared" si="17"/>
        <v>3.01917808219178</v>
      </c>
      <c r="C1105" s="12">
        <f>EXP(-r_free*B1105)</f>
        <v>0.913405513084832</v>
      </c>
    </row>
    <row r="1106" spans="1:3">
      <c r="A1106" s="4">
        <v>1103</v>
      </c>
      <c r="B1106" s="6">
        <f t="shared" si="17"/>
        <v>3.02191780821918</v>
      </c>
      <c r="C1106" s="6">
        <f>EXP(-r_free*B1106)</f>
        <v>0.913330441744265</v>
      </c>
    </row>
    <row r="1107" spans="1:3">
      <c r="A1107" s="10">
        <v>1104</v>
      </c>
      <c r="B1107" s="12">
        <f t="shared" si="17"/>
        <v>3.02465753424658</v>
      </c>
      <c r="C1107" s="12">
        <f>EXP(-r_free*B1107)</f>
        <v>0.913255376573691</v>
      </c>
    </row>
    <row r="1108" spans="1:3">
      <c r="A1108" s="4">
        <v>1105</v>
      </c>
      <c r="B1108" s="6">
        <f t="shared" si="17"/>
        <v>3.02739726027397</v>
      </c>
      <c r="C1108" s="6">
        <f>EXP(-r_free*B1108)</f>
        <v>0.913180317572604</v>
      </c>
    </row>
    <row r="1109" spans="1:3">
      <c r="A1109" s="10">
        <v>1106</v>
      </c>
      <c r="B1109" s="12">
        <f t="shared" si="17"/>
        <v>3.03013698630137</v>
      </c>
      <c r="C1109" s="12">
        <f>EXP(-r_free*B1109)</f>
        <v>0.913105264740496</v>
      </c>
    </row>
    <row r="1110" spans="1:3">
      <c r="A1110" s="4">
        <v>1107</v>
      </c>
      <c r="B1110" s="6">
        <f t="shared" si="17"/>
        <v>3.03287671232877</v>
      </c>
      <c r="C1110" s="6">
        <f>EXP(-r_free*B1110)</f>
        <v>0.913030218076861</v>
      </c>
    </row>
    <row r="1111" spans="1:3">
      <c r="A1111" s="10">
        <v>1108</v>
      </c>
      <c r="B1111" s="12">
        <f t="shared" si="17"/>
        <v>3.03561643835616</v>
      </c>
      <c r="C1111" s="12">
        <f>EXP(-r_free*B1111)</f>
        <v>0.912955177581192</v>
      </c>
    </row>
    <row r="1112" spans="1:3">
      <c r="A1112" s="4">
        <v>1109</v>
      </c>
      <c r="B1112" s="6">
        <f t="shared" si="17"/>
        <v>3.03835616438356</v>
      </c>
      <c r="C1112" s="6">
        <f>EXP(-r_free*B1112)</f>
        <v>0.91288014325298</v>
      </c>
    </row>
    <row r="1113" spans="1:3">
      <c r="A1113" s="10">
        <v>1110</v>
      </c>
      <c r="B1113" s="12">
        <f t="shared" si="17"/>
        <v>3.04109589041096</v>
      </c>
      <c r="C1113" s="12">
        <f>EXP(-r_free*B1113)</f>
        <v>0.912805115091721</v>
      </c>
    </row>
    <row r="1114" spans="1:3">
      <c r="A1114" s="4">
        <v>1111</v>
      </c>
      <c r="B1114" s="6">
        <f t="shared" si="17"/>
        <v>3.04383561643836</v>
      </c>
      <c r="C1114" s="6">
        <f>EXP(-r_free*B1114)</f>
        <v>0.912730093096906</v>
      </c>
    </row>
    <row r="1115" spans="1:3">
      <c r="A1115" s="10">
        <v>1112</v>
      </c>
      <c r="B1115" s="12">
        <f t="shared" si="17"/>
        <v>3.04657534246575</v>
      </c>
      <c r="C1115" s="12">
        <f>EXP(-r_free*B1115)</f>
        <v>0.912655077268029</v>
      </c>
    </row>
    <row r="1116" spans="1:3">
      <c r="A1116" s="4">
        <v>1113</v>
      </c>
      <c r="B1116" s="6">
        <f t="shared" si="17"/>
        <v>3.04931506849315</v>
      </c>
      <c r="C1116" s="6">
        <f>EXP(-r_free*B1116)</f>
        <v>0.912580067604583</v>
      </c>
    </row>
    <row r="1117" spans="1:3">
      <c r="A1117" s="10">
        <v>1114</v>
      </c>
      <c r="B1117" s="12">
        <f t="shared" si="17"/>
        <v>3.05205479452055</v>
      </c>
      <c r="C1117" s="12">
        <f>EXP(-r_free*B1117)</f>
        <v>0.912505064106062</v>
      </c>
    </row>
    <row r="1118" spans="1:3">
      <c r="A1118" s="4">
        <v>1115</v>
      </c>
      <c r="B1118" s="6">
        <f t="shared" si="17"/>
        <v>3.05479452054795</v>
      </c>
      <c r="C1118" s="6">
        <f>EXP(-r_free*B1118)</f>
        <v>0.912430066771959</v>
      </c>
    </row>
    <row r="1119" spans="1:3">
      <c r="A1119" s="10">
        <v>1116</v>
      </c>
      <c r="B1119" s="12">
        <f t="shared" si="17"/>
        <v>3.05753424657534</v>
      </c>
      <c r="C1119" s="12">
        <f>EXP(-r_free*B1119)</f>
        <v>0.912355075601766</v>
      </c>
    </row>
    <row r="1120" spans="1:3">
      <c r="A1120" s="4">
        <v>1117</v>
      </c>
      <c r="B1120" s="6">
        <f t="shared" si="17"/>
        <v>3.06027397260274</v>
      </c>
      <c r="C1120" s="6">
        <f>EXP(-r_free*B1120)</f>
        <v>0.912280090594979</v>
      </c>
    </row>
    <row r="1121" spans="1:3">
      <c r="A1121" s="10">
        <v>1118</v>
      </c>
      <c r="B1121" s="12">
        <f t="shared" si="17"/>
        <v>3.06301369863014</v>
      </c>
      <c r="C1121" s="12">
        <f>EXP(-r_free*B1121)</f>
        <v>0.912205111751089</v>
      </c>
    </row>
    <row r="1122" spans="1:3">
      <c r="A1122" s="4">
        <v>1119</v>
      </c>
      <c r="B1122" s="6">
        <f t="shared" si="17"/>
        <v>3.06575342465753</v>
      </c>
      <c r="C1122" s="6">
        <f>EXP(-r_free*B1122)</f>
        <v>0.91213013906959</v>
      </c>
    </row>
    <row r="1123" spans="1:3">
      <c r="A1123" s="10">
        <v>1120</v>
      </c>
      <c r="B1123" s="12">
        <f t="shared" si="17"/>
        <v>3.06849315068493</v>
      </c>
      <c r="C1123" s="12">
        <f>EXP(-r_free*B1123)</f>
        <v>0.912055172549977</v>
      </c>
    </row>
    <row r="1124" spans="1:3">
      <c r="A1124" s="4">
        <v>1121</v>
      </c>
      <c r="B1124" s="6">
        <f t="shared" si="17"/>
        <v>3.07123287671233</v>
      </c>
      <c r="C1124" s="6">
        <f>EXP(-r_free*B1124)</f>
        <v>0.911980212191742</v>
      </c>
    </row>
    <row r="1125" spans="1:3">
      <c r="A1125" s="10">
        <v>1122</v>
      </c>
      <c r="B1125" s="12">
        <f t="shared" si="17"/>
        <v>3.07397260273973</v>
      </c>
      <c r="C1125" s="12">
        <f>EXP(-r_free*B1125)</f>
        <v>0.911905257994379</v>
      </c>
    </row>
    <row r="1126" spans="1:3">
      <c r="A1126" s="4">
        <v>1123</v>
      </c>
      <c r="B1126" s="6">
        <f t="shared" si="17"/>
        <v>3.07671232876712</v>
      </c>
      <c r="C1126" s="6">
        <f>EXP(-r_free*B1126)</f>
        <v>0.911830309957383</v>
      </c>
    </row>
    <row r="1127" spans="1:3">
      <c r="A1127" s="10">
        <v>1124</v>
      </c>
      <c r="B1127" s="12">
        <f t="shared" si="17"/>
        <v>3.07945205479452</v>
      </c>
      <c r="C1127" s="12">
        <f>EXP(-r_free*B1127)</f>
        <v>0.911755368080245</v>
      </c>
    </row>
    <row r="1128" spans="1:3">
      <c r="A1128" s="4">
        <v>1125</v>
      </c>
      <c r="B1128" s="6">
        <f t="shared" si="17"/>
        <v>3.08219178082192</v>
      </c>
      <c r="C1128" s="6">
        <f>EXP(-r_free*B1128)</f>
        <v>0.911680432362461</v>
      </c>
    </row>
    <row r="1129" spans="1:3">
      <c r="A1129" s="10">
        <v>1126</v>
      </c>
      <c r="B1129" s="12">
        <f t="shared" si="17"/>
        <v>3.08493150684931</v>
      </c>
      <c r="C1129" s="12">
        <f>EXP(-r_free*B1129)</f>
        <v>0.911605502803524</v>
      </c>
    </row>
    <row r="1130" spans="1:3">
      <c r="A1130" s="4">
        <v>1127</v>
      </c>
      <c r="B1130" s="6">
        <f t="shared" si="17"/>
        <v>3.08767123287671</v>
      </c>
      <c r="C1130" s="6">
        <f>EXP(-r_free*B1130)</f>
        <v>0.911530579402927</v>
      </c>
    </row>
    <row r="1131" spans="1:3">
      <c r="A1131" s="10">
        <v>1128</v>
      </c>
      <c r="B1131" s="12">
        <f t="shared" si="17"/>
        <v>3.09041095890411</v>
      </c>
      <c r="C1131" s="12">
        <f>EXP(-r_free*B1131)</f>
        <v>0.911455662160165</v>
      </c>
    </row>
    <row r="1132" spans="1:3">
      <c r="A1132" s="4">
        <v>1129</v>
      </c>
      <c r="B1132" s="6">
        <f t="shared" si="17"/>
        <v>3.09315068493151</v>
      </c>
      <c r="C1132" s="6">
        <f>EXP(-r_free*B1132)</f>
        <v>0.911380751074732</v>
      </c>
    </row>
    <row r="1133" spans="1:3">
      <c r="A1133" s="10">
        <v>1130</v>
      </c>
      <c r="B1133" s="12">
        <f t="shared" si="17"/>
        <v>3.0958904109589</v>
      </c>
      <c r="C1133" s="12">
        <f>EXP(-r_free*B1133)</f>
        <v>0.911305846146121</v>
      </c>
    </row>
    <row r="1134" spans="1:3">
      <c r="A1134" s="4">
        <v>1131</v>
      </c>
      <c r="B1134" s="6">
        <f t="shared" si="17"/>
        <v>3.0986301369863</v>
      </c>
      <c r="C1134" s="6">
        <f>EXP(-r_free*B1134)</f>
        <v>0.911230947373827</v>
      </c>
    </row>
    <row r="1135" spans="1:3">
      <c r="A1135" s="10">
        <v>1132</v>
      </c>
      <c r="B1135" s="12">
        <f t="shared" si="17"/>
        <v>3.1013698630137</v>
      </c>
      <c r="C1135" s="12">
        <f>EXP(-r_free*B1135)</f>
        <v>0.911156054757343</v>
      </c>
    </row>
    <row r="1136" spans="1:3">
      <c r="A1136" s="4">
        <v>1133</v>
      </c>
      <c r="B1136" s="6">
        <f t="shared" si="17"/>
        <v>3.1041095890411</v>
      </c>
      <c r="C1136" s="6">
        <f>EXP(-r_free*B1136)</f>
        <v>0.911081168296164</v>
      </c>
    </row>
    <row r="1137" spans="1:3">
      <c r="A1137" s="10">
        <v>1134</v>
      </c>
      <c r="B1137" s="12">
        <f t="shared" si="17"/>
        <v>3.10684931506849</v>
      </c>
      <c r="C1137" s="12">
        <f>EXP(-r_free*B1137)</f>
        <v>0.911006287989784</v>
      </c>
    </row>
    <row r="1138" spans="1:3">
      <c r="A1138" s="4">
        <v>1135</v>
      </c>
      <c r="B1138" s="6">
        <f t="shared" si="17"/>
        <v>3.10958904109589</v>
      </c>
      <c r="C1138" s="6">
        <f>EXP(-r_free*B1138)</f>
        <v>0.910931413837696</v>
      </c>
    </row>
    <row r="1139" spans="1:3">
      <c r="A1139" s="10">
        <v>1136</v>
      </c>
      <c r="B1139" s="12">
        <f t="shared" si="17"/>
        <v>3.11232876712329</v>
      </c>
      <c r="C1139" s="12">
        <f>EXP(-r_free*B1139)</f>
        <v>0.910856545839395</v>
      </c>
    </row>
    <row r="1140" spans="1:3">
      <c r="A1140" s="4">
        <v>1137</v>
      </c>
      <c r="B1140" s="6">
        <f t="shared" si="17"/>
        <v>3.11506849315068</v>
      </c>
      <c r="C1140" s="6">
        <f>EXP(-r_free*B1140)</f>
        <v>0.910781683994376</v>
      </c>
    </row>
    <row r="1141" spans="1:3">
      <c r="A1141" s="10">
        <v>1138</v>
      </c>
      <c r="B1141" s="12">
        <f t="shared" si="17"/>
        <v>3.11780821917808</v>
      </c>
      <c r="C1141" s="12">
        <f>EXP(-r_free*B1141)</f>
        <v>0.910706828302132</v>
      </c>
    </row>
    <row r="1142" spans="1:3">
      <c r="A1142" s="4">
        <v>1139</v>
      </c>
      <c r="B1142" s="6">
        <f t="shared" si="17"/>
        <v>3.12054794520548</v>
      </c>
      <c r="C1142" s="6">
        <f>EXP(-r_free*B1142)</f>
        <v>0.910631978762157</v>
      </c>
    </row>
    <row r="1143" spans="1:3">
      <c r="A1143" s="10">
        <v>1140</v>
      </c>
      <c r="B1143" s="12">
        <f t="shared" si="17"/>
        <v>3.12328767123288</v>
      </c>
      <c r="C1143" s="12">
        <f>EXP(-r_free*B1143)</f>
        <v>0.910557135373947</v>
      </c>
    </row>
    <row r="1144" spans="1:3">
      <c r="A1144" s="4">
        <v>1141</v>
      </c>
      <c r="B1144" s="6">
        <f t="shared" si="17"/>
        <v>3.12602739726027</v>
      </c>
      <c r="C1144" s="6">
        <f>EXP(-r_free*B1144)</f>
        <v>0.910482298136996</v>
      </c>
    </row>
    <row r="1145" spans="1:3">
      <c r="A1145" s="10">
        <v>1142</v>
      </c>
      <c r="B1145" s="12">
        <f t="shared" si="17"/>
        <v>3.12876712328767</v>
      </c>
      <c r="C1145" s="12">
        <f>EXP(-r_free*B1145)</f>
        <v>0.910407467050797</v>
      </c>
    </row>
    <row r="1146" spans="1:3">
      <c r="A1146" s="4">
        <v>1143</v>
      </c>
      <c r="B1146" s="6">
        <f t="shared" si="17"/>
        <v>3.13150684931507</v>
      </c>
      <c r="C1146" s="6">
        <f>EXP(-r_free*B1146)</f>
        <v>0.910332642114846</v>
      </c>
    </row>
    <row r="1147" spans="1:3">
      <c r="A1147" s="10">
        <v>1144</v>
      </c>
      <c r="B1147" s="12">
        <f t="shared" si="17"/>
        <v>3.13424657534247</v>
      </c>
      <c r="C1147" s="12">
        <f>EXP(-r_free*B1147)</f>
        <v>0.910257823328637</v>
      </c>
    </row>
    <row r="1148" spans="1:3">
      <c r="A1148" s="4">
        <v>1145</v>
      </c>
      <c r="B1148" s="6">
        <f t="shared" si="17"/>
        <v>3.13698630136986</v>
      </c>
      <c r="C1148" s="6">
        <f>EXP(-r_free*B1148)</f>
        <v>0.910183010691665</v>
      </c>
    </row>
    <row r="1149" spans="1:3">
      <c r="A1149" s="10">
        <v>1146</v>
      </c>
      <c r="B1149" s="12">
        <f t="shared" si="17"/>
        <v>3.13972602739726</v>
      </c>
      <c r="C1149" s="12">
        <f>EXP(-r_free*B1149)</f>
        <v>0.910108204203424</v>
      </c>
    </row>
    <row r="1150" spans="1:3">
      <c r="A1150" s="4">
        <v>1147</v>
      </c>
      <c r="B1150" s="6">
        <f t="shared" si="17"/>
        <v>3.14246575342466</v>
      </c>
      <c r="C1150" s="6">
        <f>EXP(-r_free*B1150)</f>
        <v>0.910033403863408</v>
      </c>
    </row>
    <row r="1151" spans="1:3">
      <c r="A1151" s="10">
        <v>1148</v>
      </c>
      <c r="B1151" s="12">
        <f t="shared" si="17"/>
        <v>3.14520547945205</v>
      </c>
      <c r="C1151" s="12">
        <f>EXP(-r_free*B1151)</f>
        <v>0.909958609671113</v>
      </c>
    </row>
    <row r="1152" spans="1:3">
      <c r="A1152" s="4">
        <v>1149</v>
      </c>
      <c r="B1152" s="6">
        <f t="shared" si="17"/>
        <v>3.14794520547945</v>
      </c>
      <c r="C1152" s="6">
        <f>EXP(-r_free*B1152)</f>
        <v>0.909883821626034</v>
      </c>
    </row>
    <row r="1153" spans="1:3">
      <c r="A1153" s="10">
        <v>1150</v>
      </c>
      <c r="B1153" s="12">
        <f t="shared" si="17"/>
        <v>3.15068493150685</v>
      </c>
      <c r="C1153" s="12">
        <f>EXP(-r_free*B1153)</f>
        <v>0.909809039727664</v>
      </c>
    </row>
    <row r="1154" spans="1:3">
      <c r="A1154" s="4">
        <v>1151</v>
      </c>
      <c r="B1154" s="6">
        <f t="shared" si="17"/>
        <v>3.15342465753425</v>
      </c>
      <c r="C1154" s="6">
        <f>EXP(-r_free*B1154)</f>
        <v>0.909734263975499</v>
      </c>
    </row>
    <row r="1155" spans="1:3">
      <c r="A1155" s="10">
        <v>1152</v>
      </c>
      <c r="B1155" s="12">
        <f t="shared" ref="B1155:B1218" si="18">A1155/365</f>
        <v>3.15616438356164</v>
      </c>
      <c r="C1155" s="12">
        <f>EXP(-r_free*B1155)</f>
        <v>0.909659494369034</v>
      </c>
    </row>
    <row r="1156" spans="1:3">
      <c r="A1156" s="4">
        <v>1153</v>
      </c>
      <c r="B1156" s="6">
        <f t="shared" si="18"/>
        <v>3.15890410958904</v>
      </c>
      <c r="C1156" s="6">
        <f>EXP(-r_free*B1156)</f>
        <v>0.909584730907763</v>
      </c>
    </row>
    <row r="1157" spans="1:3">
      <c r="A1157" s="10">
        <v>1154</v>
      </c>
      <c r="B1157" s="12">
        <f t="shared" si="18"/>
        <v>3.16164383561644</v>
      </c>
      <c r="C1157" s="12">
        <f>EXP(-r_free*B1157)</f>
        <v>0.909509973591182</v>
      </c>
    </row>
    <row r="1158" spans="1:3">
      <c r="A1158" s="4">
        <v>1155</v>
      </c>
      <c r="B1158" s="6">
        <f t="shared" si="18"/>
        <v>3.16438356164384</v>
      </c>
      <c r="C1158" s="6">
        <f>EXP(-r_free*B1158)</f>
        <v>0.909435222418785</v>
      </c>
    </row>
    <row r="1159" spans="1:3">
      <c r="A1159" s="10">
        <v>1156</v>
      </c>
      <c r="B1159" s="12">
        <f t="shared" si="18"/>
        <v>3.16712328767123</v>
      </c>
      <c r="C1159" s="12">
        <f>EXP(-r_free*B1159)</f>
        <v>0.909360477390068</v>
      </c>
    </row>
    <row r="1160" spans="1:3">
      <c r="A1160" s="4">
        <v>1157</v>
      </c>
      <c r="B1160" s="6">
        <f t="shared" si="18"/>
        <v>3.16986301369863</v>
      </c>
      <c r="C1160" s="6">
        <f>EXP(-r_free*B1160)</f>
        <v>0.909285738504526</v>
      </c>
    </row>
    <row r="1161" spans="1:3">
      <c r="A1161" s="10">
        <v>1158</v>
      </c>
      <c r="B1161" s="12">
        <f t="shared" si="18"/>
        <v>3.17260273972603</v>
      </c>
      <c r="C1161" s="12">
        <f>EXP(-r_free*B1161)</f>
        <v>0.909211005761653</v>
      </c>
    </row>
    <row r="1162" spans="1:3">
      <c r="A1162" s="4">
        <v>1159</v>
      </c>
      <c r="B1162" s="6">
        <f t="shared" si="18"/>
        <v>3.17534246575342</v>
      </c>
      <c r="C1162" s="6">
        <f>EXP(-r_free*B1162)</f>
        <v>0.909136279160944</v>
      </c>
    </row>
    <row r="1163" spans="1:3">
      <c r="A1163" s="10">
        <v>1160</v>
      </c>
      <c r="B1163" s="12">
        <f t="shared" si="18"/>
        <v>3.17808219178082</v>
      </c>
      <c r="C1163" s="12">
        <f>EXP(-r_free*B1163)</f>
        <v>0.909061558701896</v>
      </c>
    </row>
    <row r="1164" spans="1:3">
      <c r="A1164" s="4">
        <v>1161</v>
      </c>
      <c r="B1164" s="6">
        <f t="shared" si="18"/>
        <v>3.18082191780822</v>
      </c>
      <c r="C1164" s="6">
        <f>EXP(-r_free*B1164)</f>
        <v>0.908986844384003</v>
      </c>
    </row>
    <row r="1165" spans="1:3">
      <c r="A1165" s="10">
        <v>1162</v>
      </c>
      <c r="B1165" s="12">
        <f t="shared" si="18"/>
        <v>3.18356164383562</v>
      </c>
      <c r="C1165" s="12">
        <f>EXP(-r_free*B1165)</f>
        <v>0.908912136206761</v>
      </c>
    </row>
    <row r="1166" spans="1:3">
      <c r="A1166" s="4">
        <v>1163</v>
      </c>
      <c r="B1166" s="6">
        <f t="shared" si="18"/>
        <v>3.18630136986301</v>
      </c>
      <c r="C1166" s="6">
        <f>EXP(-r_free*B1166)</f>
        <v>0.908837434169664</v>
      </c>
    </row>
    <row r="1167" spans="1:3">
      <c r="A1167" s="10">
        <v>1164</v>
      </c>
      <c r="B1167" s="12">
        <f t="shared" si="18"/>
        <v>3.18904109589041</v>
      </c>
      <c r="C1167" s="12">
        <f>EXP(-r_free*B1167)</f>
        <v>0.908762738272209</v>
      </c>
    </row>
    <row r="1168" spans="1:3">
      <c r="A1168" s="4">
        <v>1165</v>
      </c>
      <c r="B1168" s="6">
        <f t="shared" si="18"/>
        <v>3.19178082191781</v>
      </c>
      <c r="C1168" s="6">
        <f>EXP(-r_free*B1168)</f>
        <v>0.90868804851389</v>
      </c>
    </row>
    <row r="1169" spans="1:3">
      <c r="A1169" s="10">
        <v>1166</v>
      </c>
      <c r="B1169" s="12">
        <f t="shared" si="18"/>
        <v>3.19452054794521</v>
      </c>
      <c r="C1169" s="12">
        <f>EXP(-r_free*B1169)</f>
        <v>0.908613364894202</v>
      </c>
    </row>
    <row r="1170" spans="1:3">
      <c r="A1170" s="4">
        <v>1167</v>
      </c>
      <c r="B1170" s="6">
        <f t="shared" si="18"/>
        <v>3.1972602739726</v>
      </c>
      <c r="C1170" s="6">
        <f>EXP(-r_free*B1170)</f>
        <v>0.908538687412643</v>
      </c>
    </row>
    <row r="1171" spans="1:3">
      <c r="A1171" s="10">
        <v>1168</v>
      </c>
      <c r="B1171" s="12">
        <f t="shared" si="18"/>
        <v>3.2</v>
      </c>
      <c r="C1171" s="12">
        <f>EXP(-r_free*B1171)</f>
        <v>0.908464016068706</v>
      </c>
    </row>
    <row r="1172" spans="1:3">
      <c r="A1172" s="4">
        <v>1169</v>
      </c>
      <c r="B1172" s="6">
        <f t="shared" si="18"/>
        <v>3.2027397260274</v>
      </c>
      <c r="C1172" s="6">
        <f>EXP(-r_free*B1172)</f>
        <v>0.908389350861888</v>
      </c>
    </row>
    <row r="1173" spans="1:3">
      <c r="A1173" s="10">
        <v>1170</v>
      </c>
      <c r="B1173" s="12">
        <f t="shared" si="18"/>
        <v>3.20547945205479</v>
      </c>
      <c r="C1173" s="12">
        <f>EXP(-r_free*B1173)</f>
        <v>0.908314691791684</v>
      </c>
    </row>
    <row r="1174" spans="1:3">
      <c r="A1174" s="4">
        <v>1171</v>
      </c>
      <c r="B1174" s="6">
        <f t="shared" si="18"/>
        <v>3.20821917808219</v>
      </c>
      <c r="C1174" s="6">
        <f>EXP(-r_free*B1174)</f>
        <v>0.90824003885759</v>
      </c>
    </row>
    <row r="1175" spans="1:3">
      <c r="A1175" s="10">
        <v>1172</v>
      </c>
      <c r="B1175" s="12">
        <f t="shared" si="18"/>
        <v>3.21095890410959</v>
      </c>
      <c r="C1175" s="12">
        <f>EXP(-r_free*B1175)</f>
        <v>0.908165392059101</v>
      </c>
    </row>
    <row r="1176" spans="1:3">
      <c r="A1176" s="4">
        <v>1173</v>
      </c>
      <c r="B1176" s="6">
        <f t="shared" si="18"/>
        <v>3.21369863013699</v>
      </c>
      <c r="C1176" s="6">
        <f>EXP(-r_free*B1176)</f>
        <v>0.908090751395713</v>
      </c>
    </row>
    <row r="1177" spans="1:3">
      <c r="A1177" s="10">
        <v>1174</v>
      </c>
      <c r="B1177" s="12">
        <f t="shared" si="18"/>
        <v>3.21643835616438</v>
      </c>
      <c r="C1177" s="12">
        <f>EXP(-r_free*B1177)</f>
        <v>0.908016116866923</v>
      </c>
    </row>
    <row r="1178" spans="1:3">
      <c r="A1178" s="4">
        <v>1175</v>
      </c>
      <c r="B1178" s="6">
        <f t="shared" si="18"/>
        <v>3.21917808219178</v>
      </c>
      <c r="C1178" s="6">
        <f>EXP(-r_free*B1178)</f>
        <v>0.907941488472225</v>
      </c>
    </row>
    <row r="1179" spans="1:3">
      <c r="A1179" s="10">
        <v>1176</v>
      </c>
      <c r="B1179" s="12">
        <f t="shared" si="18"/>
        <v>3.22191780821918</v>
      </c>
      <c r="C1179" s="12">
        <f>EXP(-r_free*B1179)</f>
        <v>0.907866866211115</v>
      </c>
    </row>
    <row r="1180" spans="1:3">
      <c r="A1180" s="4">
        <v>1177</v>
      </c>
      <c r="B1180" s="6">
        <f t="shared" si="18"/>
        <v>3.22465753424658</v>
      </c>
      <c r="C1180" s="6">
        <f>EXP(-r_free*B1180)</f>
        <v>0.907792250083091</v>
      </c>
    </row>
    <row r="1181" spans="1:3">
      <c r="A1181" s="10">
        <v>1178</v>
      </c>
      <c r="B1181" s="12">
        <f t="shared" si="18"/>
        <v>3.22739726027397</v>
      </c>
      <c r="C1181" s="12">
        <f>EXP(-r_free*B1181)</f>
        <v>0.907717640087646</v>
      </c>
    </row>
    <row r="1182" spans="1:3">
      <c r="A1182" s="4">
        <v>1179</v>
      </c>
      <c r="B1182" s="6">
        <f t="shared" si="18"/>
        <v>3.23013698630137</v>
      </c>
      <c r="C1182" s="6">
        <f>EXP(-r_free*B1182)</f>
        <v>0.907643036224278</v>
      </c>
    </row>
    <row r="1183" spans="1:3">
      <c r="A1183" s="10">
        <v>1180</v>
      </c>
      <c r="B1183" s="12">
        <f t="shared" si="18"/>
        <v>3.23287671232877</v>
      </c>
      <c r="C1183" s="12">
        <f>EXP(-r_free*B1183)</f>
        <v>0.907568438492482</v>
      </c>
    </row>
    <row r="1184" spans="1:3">
      <c r="A1184" s="4">
        <v>1181</v>
      </c>
      <c r="B1184" s="6">
        <f t="shared" si="18"/>
        <v>3.23561643835616</v>
      </c>
      <c r="C1184" s="6">
        <f>EXP(-r_free*B1184)</f>
        <v>0.907493846891755</v>
      </c>
    </row>
    <row r="1185" spans="1:4">
      <c r="A1185" s="10">
        <v>1182</v>
      </c>
      <c r="B1185" s="12">
        <f t="shared" si="18"/>
        <v>3.23835616438356</v>
      </c>
      <c r="C1185" s="12">
        <f>EXP(-r_free*B1185)</f>
        <v>0.907419261421592</v>
      </c>
    </row>
    <row r="1186" spans="1:4">
      <c r="A1186" s="4">
        <v>1183</v>
      </c>
      <c r="B1186" s="6">
        <f t="shared" si="18"/>
        <v>3.24109589041096</v>
      </c>
      <c r="C1186" s="6">
        <f>EXP(-r_free*B1186)</f>
        <v>0.90734468208149</v>
      </c>
    </row>
    <row r="1187" spans="1:4">
      <c r="A1187" s="10">
        <v>1184</v>
      </c>
      <c r="B1187" s="12">
        <f t="shared" si="18"/>
        <v>3.24383561643836</v>
      </c>
      <c r="C1187" s="12">
        <f>EXP(-r_free*B1187)</f>
        <v>0.907270108870945</v>
      </c>
    </row>
    <row r="1188" spans="1:4">
      <c r="A1188" s="4">
        <v>1185</v>
      </c>
      <c r="B1188" s="6">
        <f t="shared" si="18"/>
        <v>3.24657534246575</v>
      </c>
      <c r="C1188" s="6">
        <f>EXP(-r_free*B1188)</f>
        <v>0.907195541789453</v>
      </c>
    </row>
    <row r="1189" spans="1:4">
      <c r="A1189" s="10">
        <v>1186</v>
      </c>
      <c r="B1189" s="12">
        <f t="shared" si="18"/>
        <v>3.24931506849315</v>
      </c>
      <c r="C1189" s="12">
        <f>EXP(-r_free*B1189)</f>
        <v>0.907120980836511</v>
      </c>
      <c r="D1189" s="43" t="s">
        <v>47</v>
      </c>
    </row>
    <row r="1190" spans="1:4">
      <c r="A1190" s="4">
        <v>1187</v>
      </c>
      <c r="B1190" s="6">
        <f t="shared" si="18"/>
        <v>3.25205479452055</v>
      </c>
      <c r="C1190" s="6">
        <f>EXP(-r_free*B1190)</f>
        <v>0.907046426011614</v>
      </c>
    </row>
    <row r="1191" spans="1:4">
      <c r="A1191" s="10">
        <v>1188</v>
      </c>
      <c r="B1191" s="12">
        <f t="shared" si="18"/>
        <v>3.25479452054794</v>
      </c>
      <c r="C1191" s="12">
        <f>EXP(-r_free*B1191)</f>
        <v>0.906971877314259</v>
      </c>
    </row>
    <row r="1192" spans="1:4">
      <c r="A1192" s="4">
        <v>1189</v>
      </c>
      <c r="B1192" s="6">
        <f t="shared" si="18"/>
        <v>3.25753424657534</v>
      </c>
      <c r="C1192" s="6">
        <f>EXP(-r_free*B1192)</f>
        <v>0.906897334743942</v>
      </c>
    </row>
    <row r="1193" spans="1:4">
      <c r="A1193" s="10">
        <v>1190</v>
      </c>
      <c r="B1193" s="12">
        <f t="shared" si="18"/>
        <v>3.26027397260274</v>
      </c>
      <c r="C1193" s="12">
        <f>EXP(-r_free*B1193)</f>
        <v>0.90682279830016</v>
      </c>
    </row>
    <row r="1194" spans="1:4">
      <c r="A1194" s="4">
        <v>1191</v>
      </c>
      <c r="B1194" s="6">
        <f t="shared" si="18"/>
        <v>3.26301369863014</v>
      </c>
      <c r="C1194" s="6">
        <f>EXP(-r_free*B1194)</f>
        <v>0.90674826798241</v>
      </c>
    </row>
    <row r="1195" spans="1:4">
      <c r="A1195" s="10">
        <v>1192</v>
      </c>
      <c r="B1195" s="12">
        <f t="shared" si="18"/>
        <v>3.26575342465753</v>
      </c>
      <c r="C1195" s="12">
        <f>EXP(-r_free*B1195)</f>
        <v>0.906673743790187</v>
      </c>
    </row>
    <row r="1196" spans="1:4">
      <c r="A1196" s="4">
        <v>1193</v>
      </c>
      <c r="B1196" s="6">
        <f t="shared" si="18"/>
        <v>3.26849315068493</v>
      </c>
      <c r="C1196" s="6">
        <f>EXP(-r_free*B1196)</f>
        <v>0.906599225722989</v>
      </c>
    </row>
    <row r="1197" spans="1:4">
      <c r="A1197" s="10">
        <v>1194</v>
      </c>
      <c r="B1197" s="12">
        <f t="shared" si="18"/>
        <v>3.27123287671233</v>
      </c>
      <c r="C1197" s="12">
        <f>EXP(-r_free*B1197)</f>
        <v>0.906524713780311</v>
      </c>
    </row>
    <row r="1198" spans="1:4">
      <c r="A1198" s="4">
        <v>1195</v>
      </c>
      <c r="B1198" s="6">
        <f t="shared" si="18"/>
        <v>3.27397260273973</v>
      </c>
      <c r="C1198" s="6">
        <f>EXP(-r_free*B1198)</f>
        <v>0.906450207961652</v>
      </c>
    </row>
    <row r="1199" spans="1:4">
      <c r="A1199" s="10">
        <v>1196</v>
      </c>
      <c r="B1199" s="12">
        <f t="shared" si="18"/>
        <v>3.27671232876712</v>
      </c>
      <c r="C1199" s="12">
        <f>EXP(-r_free*B1199)</f>
        <v>0.906375708266506</v>
      </c>
    </row>
    <row r="1200" spans="1:4">
      <c r="A1200" s="4">
        <v>1197</v>
      </c>
      <c r="B1200" s="6">
        <f t="shared" si="18"/>
        <v>3.27945205479452</v>
      </c>
      <c r="C1200" s="6">
        <f>EXP(-r_free*B1200)</f>
        <v>0.906301214694372</v>
      </c>
    </row>
    <row r="1201" spans="1:3">
      <c r="A1201" s="10">
        <v>1198</v>
      </c>
      <c r="B1201" s="12">
        <f t="shared" si="18"/>
        <v>3.28219178082192</v>
      </c>
      <c r="C1201" s="12">
        <f>EXP(-r_free*B1201)</f>
        <v>0.906226727244745</v>
      </c>
    </row>
    <row r="1202" spans="1:3">
      <c r="A1202" s="4">
        <v>1199</v>
      </c>
      <c r="B1202" s="6">
        <f t="shared" si="18"/>
        <v>3.28493150684932</v>
      </c>
      <c r="C1202" s="6">
        <f>EXP(-r_free*B1202)</f>
        <v>0.906152245917123</v>
      </c>
    </row>
    <row r="1203" spans="1:3">
      <c r="A1203" s="10">
        <v>1200</v>
      </c>
      <c r="B1203" s="12">
        <f t="shared" si="18"/>
        <v>3.28767123287671</v>
      </c>
      <c r="C1203" s="12">
        <f>EXP(-r_free*B1203)</f>
        <v>0.906077770711002</v>
      </c>
    </row>
    <row r="1204" spans="1:3">
      <c r="A1204" s="4">
        <v>1201</v>
      </c>
      <c r="B1204" s="6">
        <f t="shared" si="18"/>
        <v>3.29041095890411</v>
      </c>
      <c r="C1204" s="6">
        <f>EXP(-r_free*B1204)</f>
        <v>0.906003301625879</v>
      </c>
    </row>
    <row r="1205" spans="1:3">
      <c r="A1205" s="10">
        <v>1202</v>
      </c>
      <c r="B1205" s="12">
        <f t="shared" si="18"/>
        <v>3.29315068493151</v>
      </c>
      <c r="C1205" s="12">
        <f>EXP(-r_free*B1205)</f>
        <v>0.905928838661252</v>
      </c>
    </row>
    <row r="1206" spans="1:3">
      <c r="A1206" s="4">
        <v>1203</v>
      </c>
      <c r="B1206" s="6">
        <f t="shared" si="18"/>
        <v>3.2958904109589</v>
      </c>
      <c r="C1206" s="6">
        <f>EXP(-r_free*B1206)</f>
        <v>0.905854381816616</v>
      </c>
    </row>
    <row r="1207" spans="1:3">
      <c r="A1207" s="10">
        <v>1204</v>
      </c>
      <c r="B1207" s="12">
        <f t="shared" si="18"/>
        <v>3.2986301369863</v>
      </c>
      <c r="C1207" s="12">
        <f>EXP(-r_free*B1207)</f>
        <v>0.90577993109147</v>
      </c>
    </row>
    <row r="1208" spans="1:3">
      <c r="A1208" s="4">
        <v>1205</v>
      </c>
      <c r="B1208" s="6">
        <f t="shared" si="18"/>
        <v>3.3013698630137</v>
      </c>
      <c r="C1208" s="6">
        <f>EXP(-r_free*B1208)</f>
        <v>0.90570548648531</v>
      </c>
    </row>
    <row r="1209" spans="1:3">
      <c r="A1209" s="10">
        <v>1206</v>
      </c>
      <c r="B1209" s="12">
        <f t="shared" si="18"/>
        <v>3.3041095890411</v>
      </c>
      <c r="C1209" s="12">
        <f>EXP(-r_free*B1209)</f>
        <v>0.905631047997634</v>
      </c>
    </row>
    <row r="1210" spans="1:3">
      <c r="A1210" s="4">
        <v>1207</v>
      </c>
      <c r="B1210" s="6">
        <f t="shared" si="18"/>
        <v>3.30684931506849</v>
      </c>
      <c r="C1210" s="6">
        <f>EXP(-r_free*B1210)</f>
        <v>0.905556615627938</v>
      </c>
    </row>
    <row r="1211" spans="1:3">
      <c r="A1211" s="10">
        <v>1208</v>
      </c>
      <c r="B1211" s="12">
        <f t="shared" si="18"/>
        <v>3.30958904109589</v>
      </c>
      <c r="C1211" s="12">
        <f>EXP(-r_free*B1211)</f>
        <v>0.905482189375719</v>
      </c>
    </row>
    <row r="1212" spans="1:3">
      <c r="A1212" s="4">
        <v>1209</v>
      </c>
      <c r="B1212" s="6">
        <f t="shared" si="18"/>
        <v>3.31232876712329</v>
      </c>
      <c r="C1212" s="6">
        <f>EXP(-r_free*B1212)</f>
        <v>0.905407769240476</v>
      </c>
    </row>
    <row r="1213" spans="1:3">
      <c r="A1213" s="10">
        <v>1210</v>
      </c>
      <c r="B1213" s="12">
        <f t="shared" si="18"/>
        <v>3.31506849315068</v>
      </c>
      <c r="C1213" s="12">
        <f>EXP(-r_free*B1213)</f>
        <v>0.905333355221704</v>
      </c>
    </row>
    <row r="1214" spans="1:3">
      <c r="A1214" s="4">
        <v>1211</v>
      </c>
      <c r="B1214" s="6">
        <f t="shared" si="18"/>
        <v>3.31780821917808</v>
      </c>
      <c r="C1214" s="6">
        <f>EXP(-r_free*B1214)</f>
        <v>0.905258947318902</v>
      </c>
    </row>
    <row r="1215" spans="1:3">
      <c r="A1215" s="10">
        <v>1212</v>
      </c>
      <c r="B1215" s="12">
        <f t="shared" si="18"/>
        <v>3.32054794520548</v>
      </c>
      <c r="C1215" s="12">
        <f>EXP(-r_free*B1215)</f>
        <v>0.905184545531566</v>
      </c>
    </row>
    <row r="1216" spans="1:3">
      <c r="A1216" s="4">
        <v>1213</v>
      </c>
      <c r="B1216" s="6">
        <f t="shared" si="18"/>
        <v>3.32328767123288</v>
      </c>
      <c r="C1216" s="6">
        <f>EXP(-r_free*B1216)</f>
        <v>0.905110149859195</v>
      </c>
    </row>
    <row r="1217" spans="1:3">
      <c r="A1217" s="10">
        <v>1214</v>
      </c>
      <c r="B1217" s="12">
        <f t="shared" si="18"/>
        <v>3.32602739726027</v>
      </c>
      <c r="C1217" s="12">
        <f>EXP(-r_free*B1217)</f>
        <v>0.905035760301285</v>
      </c>
    </row>
    <row r="1218" spans="1:3">
      <c r="A1218" s="4">
        <v>1215</v>
      </c>
      <c r="B1218" s="6">
        <f t="shared" si="18"/>
        <v>3.32876712328767</v>
      </c>
      <c r="C1218" s="6">
        <f>EXP(-r_free*B1218)</f>
        <v>0.904961376857334</v>
      </c>
    </row>
    <row r="1219" spans="1:3">
      <c r="A1219" s="10">
        <v>1216</v>
      </c>
      <c r="B1219" s="12">
        <f t="shared" ref="B1219:B1282" si="19">A1219/365</f>
        <v>3.33150684931507</v>
      </c>
      <c r="C1219" s="12">
        <f>EXP(-r_free*B1219)</f>
        <v>0.904886999526839</v>
      </c>
    </row>
    <row r="1220" spans="1:3">
      <c r="A1220" s="4">
        <v>1217</v>
      </c>
      <c r="B1220" s="6">
        <f t="shared" si="19"/>
        <v>3.33424657534247</v>
      </c>
      <c r="C1220" s="6">
        <f>EXP(-r_free*B1220)</f>
        <v>0.904812628309299</v>
      </c>
    </row>
    <row r="1221" spans="1:3">
      <c r="A1221" s="10">
        <v>1218</v>
      </c>
      <c r="B1221" s="12">
        <f t="shared" si="19"/>
        <v>3.33698630136986</v>
      </c>
      <c r="C1221" s="12">
        <f>EXP(-r_free*B1221)</f>
        <v>0.90473826320421</v>
      </c>
    </row>
    <row r="1222" spans="1:3">
      <c r="A1222" s="4">
        <v>1219</v>
      </c>
      <c r="B1222" s="6">
        <f t="shared" si="19"/>
        <v>3.33972602739726</v>
      </c>
      <c r="C1222" s="6">
        <f>EXP(-r_free*B1222)</f>
        <v>0.90466390421107</v>
      </c>
    </row>
    <row r="1223" spans="1:3">
      <c r="A1223" s="10">
        <v>1220</v>
      </c>
      <c r="B1223" s="12">
        <f t="shared" si="19"/>
        <v>3.34246575342466</v>
      </c>
      <c r="C1223" s="12">
        <f>EXP(-r_free*B1223)</f>
        <v>0.904589551329378</v>
      </c>
    </row>
    <row r="1224" spans="1:3">
      <c r="A1224" s="4">
        <v>1221</v>
      </c>
      <c r="B1224" s="6">
        <f t="shared" si="19"/>
        <v>3.34520547945205</v>
      </c>
      <c r="C1224" s="6">
        <f>EXP(-r_free*B1224)</f>
        <v>0.90451520455863</v>
      </c>
    </row>
    <row r="1225" spans="1:3">
      <c r="A1225" s="10">
        <v>1222</v>
      </c>
      <c r="B1225" s="12">
        <f t="shared" si="19"/>
        <v>3.34794520547945</v>
      </c>
      <c r="C1225" s="12">
        <f>EXP(-r_free*B1225)</f>
        <v>0.904440863898324</v>
      </c>
    </row>
    <row r="1226" spans="1:3">
      <c r="A1226" s="4">
        <v>1223</v>
      </c>
      <c r="B1226" s="6">
        <f t="shared" si="19"/>
        <v>3.35068493150685</v>
      </c>
      <c r="C1226" s="6">
        <f>EXP(-r_free*B1226)</f>
        <v>0.904366529347958</v>
      </c>
    </row>
    <row r="1227" spans="1:3">
      <c r="A1227" s="10">
        <v>1224</v>
      </c>
      <c r="B1227" s="12">
        <f t="shared" si="19"/>
        <v>3.35342465753425</v>
      </c>
      <c r="C1227" s="12">
        <f>EXP(-r_free*B1227)</f>
        <v>0.904292200907031</v>
      </c>
    </row>
    <row r="1228" spans="1:3">
      <c r="A1228" s="4">
        <v>1225</v>
      </c>
      <c r="B1228" s="6">
        <f t="shared" si="19"/>
        <v>3.35616438356164</v>
      </c>
      <c r="C1228" s="6">
        <f>EXP(-r_free*B1228)</f>
        <v>0.904217878575039</v>
      </c>
    </row>
    <row r="1229" spans="1:3">
      <c r="A1229" s="10">
        <v>1226</v>
      </c>
      <c r="B1229" s="12">
        <f t="shared" si="19"/>
        <v>3.35890410958904</v>
      </c>
      <c r="C1229" s="12">
        <f>EXP(-r_free*B1229)</f>
        <v>0.904143562351481</v>
      </c>
    </row>
    <row r="1230" spans="1:3">
      <c r="A1230" s="4">
        <v>1227</v>
      </c>
      <c r="B1230" s="6">
        <f t="shared" si="19"/>
        <v>3.36164383561644</v>
      </c>
      <c r="C1230" s="6">
        <f>EXP(-r_free*B1230)</f>
        <v>0.904069252235855</v>
      </c>
    </row>
    <row r="1231" spans="1:3">
      <c r="A1231" s="10">
        <v>1228</v>
      </c>
      <c r="B1231" s="12">
        <f t="shared" si="19"/>
        <v>3.36438356164384</v>
      </c>
      <c r="C1231" s="12">
        <f>EXP(-r_free*B1231)</f>
        <v>0.903994948227659</v>
      </c>
    </row>
    <row r="1232" spans="1:3">
      <c r="A1232" s="4">
        <v>1229</v>
      </c>
      <c r="B1232" s="6">
        <f t="shared" si="19"/>
        <v>3.36712328767123</v>
      </c>
      <c r="C1232" s="6">
        <f>EXP(-r_free*B1232)</f>
        <v>0.90392065032639</v>
      </c>
    </row>
    <row r="1233" spans="1:3">
      <c r="A1233" s="10">
        <v>1230</v>
      </c>
      <c r="B1233" s="12">
        <f t="shared" si="19"/>
        <v>3.36986301369863</v>
      </c>
      <c r="C1233" s="12">
        <f>EXP(-r_free*B1233)</f>
        <v>0.903846358531547</v>
      </c>
    </row>
    <row r="1234" spans="1:3">
      <c r="A1234" s="4">
        <v>1231</v>
      </c>
      <c r="B1234" s="6">
        <f t="shared" si="19"/>
        <v>3.37260273972603</v>
      </c>
      <c r="C1234" s="6">
        <f>EXP(-r_free*B1234)</f>
        <v>0.903772072842629</v>
      </c>
    </row>
    <row r="1235" spans="1:3">
      <c r="A1235" s="10">
        <v>1232</v>
      </c>
      <c r="B1235" s="12">
        <f t="shared" si="19"/>
        <v>3.37534246575342</v>
      </c>
      <c r="C1235" s="12">
        <f>EXP(-r_free*B1235)</f>
        <v>0.903697793259132</v>
      </c>
    </row>
    <row r="1236" spans="1:3">
      <c r="A1236" s="4">
        <v>1233</v>
      </c>
      <c r="B1236" s="6">
        <f t="shared" si="19"/>
        <v>3.37808219178082</v>
      </c>
      <c r="C1236" s="6">
        <f>EXP(-r_free*B1236)</f>
        <v>0.903623519780556</v>
      </c>
    </row>
    <row r="1237" spans="1:3">
      <c r="A1237" s="10">
        <v>1234</v>
      </c>
      <c r="B1237" s="12">
        <f t="shared" si="19"/>
        <v>3.38082191780822</v>
      </c>
      <c r="C1237" s="12">
        <f>EXP(-r_free*B1237)</f>
        <v>0.903549252406398</v>
      </c>
    </row>
    <row r="1238" spans="1:3">
      <c r="A1238" s="4">
        <v>1235</v>
      </c>
      <c r="B1238" s="6">
        <f t="shared" si="19"/>
        <v>3.38356164383562</v>
      </c>
      <c r="C1238" s="6">
        <f>EXP(-r_free*B1238)</f>
        <v>0.903474991136157</v>
      </c>
    </row>
    <row r="1239" spans="1:3">
      <c r="A1239" s="10">
        <v>1236</v>
      </c>
      <c r="B1239" s="12">
        <f t="shared" si="19"/>
        <v>3.38630136986301</v>
      </c>
      <c r="C1239" s="12">
        <f>EXP(-r_free*B1239)</f>
        <v>0.903400735969332</v>
      </c>
    </row>
    <row r="1240" spans="1:3">
      <c r="A1240" s="4">
        <v>1237</v>
      </c>
      <c r="B1240" s="6">
        <f t="shared" si="19"/>
        <v>3.38904109589041</v>
      </c>
      <c r="C1240" s="6">
        <f>EXP(-r_free*B1240)</f>
        <v>0.90332648690542</v>
      </c>
    </row>
    <row r="1241" spans="1:3">
      <c r="A1241" s="10">
        <v>1238</v>
      </c>
      <c r="B1241" s="12">
        <f t="shared" si="19"/>
        <v>3.39178082191781</v>
      </c>
      <c r="C1241" s="12">
        <f>EXP(-r_free*B1241)</f>
        <v>0.90325224394392</v>
      </c>
    </row>
    <row r="1242" spans="1:3">
      <c r="A1242" s="4">
        <v>1239</v>
      </c>
      <c r="B1242" s="6">
        <f t="shared" si="19"/>
        <v>3.39452054794521</v>
      </c>
      <c r="C1242" s="6">
        <f>EXP(-r_free*B1242)</f>
        <v>0.90317800708433</v>
      </c>
    </row>
    <row r="1243" spans="1:3">
      <c r="A1243" s="10">
        <v>1240</v>
      </c>
      <c r="B1243" s="12">
        <f t="shared" si="19"/>
        <v>3.3972602739726</v>
      </c>
      <c r="C1243" s="12">
        <f>EXP(-r_free*B1243)</f>
        <v>0.90310377632615</v>
      </c>
    </row>
    <row r="1244" spans="1:3">
      <c r="A1244" s="4">
        <v>1241</v>
      </c>
      <c r="B1244" s="6">
        <f t="shared" si="19"/>
        <v>3.4</v>
      </c>
      <c r="C1244" s="6">
        <f>EXP(-r_free*B1244)</f>
        <v>0.903029551668877</v>
      </c>
    </row>
    <row r="1245" spans="1:3">
      <c r="A1245" s="10">
        <v>1242</v>
      </c>
      <c r="B1245" s="12">
        <f t="shared" si="19"/>
        <v>3.4027397260274</v>
      </c>
      <c r="C1245" s="12">
        <f>EXP(-r_free*B1245)</f>
        <v>0.90295533311201</v>
      </c>
    </row>
    <row r="1246" spans="1:3">
      <c r="A1246" s="4">
        <v>1243</v>
      </c>
      <c r="B1246" s="6">
        <f t="shared" si="19"/>
        <v>3.40547945205479</v>
      </c>
      <c r="C1246" s="6">
        <f>EXP(-r_free*B1246)</f>
        <v>0.902881120655047</v>
      </c>
    </row>
    <row r="1247" spans="1:3">
      <c r="A1247" s="10">
        <v>1244</v>
      </c>
      <c r="B1247" s="12">
        <f t="shared" si="19"/>
        <v>3.40821917808219</v>
      </c>
      <c r="C1247" s="12">
        <f>EXP(-r_free*B1247)</f>
        <v>0.902806914297488</v>
      </c>
    </row>
    <row r="1248" spans="1:3">
      <c r="A1248" s="4">
        <v>1245</v>
      </c>
      <c r="B1248" s="6">
        <f t="shared" si="19"/>
        <v>3.41095890410959</v>
      </c>
      <c r="C1248" s="6">
        <f>EXP(-r_free*B1248)</f>
        <v>0.902732714038831</v>
      </c>
    </row>
    <row r="1249" spans="1:3">
      <c r="A1249" s="10">
        <v>1246</v>
      </c>
      <c r="B1249" s="12">
        <f t="shared" si="19"/>
        <v>3.41369863013699</v>
      </c>
      <c r="C1249" s="12">
        <f>EXP(-r_free*B1249)</f>
        <v>0.902658519878575</v>
      </c>
    </row>
    <row r="1250" spans="1:3">
      <c r="A1250" s="4">
        <v>1247</v>
      </c>
      <c r="B1250" s="6">
        <f t="shared" si="19"/>
        <v>3.41643835616438</v>
      </c>
      <c r="C1250" s="6">
        <f>EXP(-r_free*B1250)</f>
        <v>0.902584331816219</v>
      </c>
    </row>
    <row r="1251" spans="1:3">
      <c r="A1251" s="10">
        <v>1248</v>
      </c>
      <c r="B1251" s="12">
        <f t="shared" si="19"/>
        <v>3.41917808219178</v>
      </c>
      <c r="C1251" s="12">
        <f>EXP(-r_free*B1251)</f>
        <v>0.90251014985126</v>
      </c>
    </row>
    <row r="1252" spans="1:3">
      <c r="A1252" s="4">
        <v>1249</v>
      </c>
      <c r="B1252" s="6">
        <f t="shared" si="19"/>
        <v>3.42191780821918</v>
      </c>
      <c r="C1252" s="6">
        <f>EXP(-r_free*B1252)</f>
        <v>0.902435973983199</v>
      </c>
    </row>
    <row r="1253" spans="1:3">
      <c r="A1253" s="10">
        <v>1250</v>
      </c>
      <c r="B1253" s="12">
        <f t="shared" si="19"/>
        <v>3.42465753424658</v>
      </c>
      <c r="C1253" s="12">
        <f>EXP(-r_free*B1253)</f>
        <v>0.902361804211534</v>
      </c>
    </row>
    <row r="1254" spans="1:3">
      <c r="A1254" s="4">
        <v>1251</v>
      </c>
      <c r="B1254" s="6">
        <f t="shared" si="19"/>
        <v>3.42739726027397</v>
      </c>
      <c r="C1254" s="6">
        <f>EXP(-r_free*B1254)</f>
        <v>0.902287640535765</v>
      </c>
    </row>
    <row r="1255" spans="1:3">
      <c r="A1255" s="10">
        <v>1252</v>
      </c>
      <c r="B1255" s="12">
        <f t="shared" si="19"/>
        <v>3.43013698630137</v>
      </c>
      <c r="C1255" s="12">
        <f>EXP(-r_free*B1255)</f>
        <v>0.902213482955389</v>
      </c>
    </row>
    <row r="1256" spans="1:3">
      <c r="A1256" s="4">
        <v>1253</v>
      </c>
      <c r="B1256" s="6">
        <f t="shared" si="19"/>
        <v>3.43287671232877</v>
      </c>
      <c r="C1256" s="6">
        <f>EXP(-r_free*B1256)</f>
        <v>0.902139331469906</v>
      </c>
    </row>
    <row r="1257" spans="1:3">
      <c r="A1257" s="10">
        <v>1254</v>
      </c>
      <c r="B1257" s="12">
        <f t="shared" si="19"/>
        <v>3.43561643835616</v>
      </c>
      <c r="C1257" s="12">
        <f>EXP(-r_free*B1257)</f>
        <v>0.902065186078816</v>
      </c>
    </row>
    <row r="1258" spans="1:3">
      <c r="A1258" s="4">
        <v>1255</v>
      </c>
      <c r="B1258" s="6">
        <f t="shared" si="19"/>
        <v>3.43835616438356</v>
      </c>
      <c r="C1258" s="6">
        <f>EXP(-r_free*B1258)</f>
        <v>0.901991046781617</v>
      </c>
    </row>
    <row r="1259" spans="1:3">
      <c r="A1259" s="10">
        <v>1256</v>
      </c>
      <c r="B1259" s="12">
        <f t="shared" si="19"/>
        <v>3.44109589041096</v>
      </c>
      <c r="C1259" s="12">
        <f>EXP(-r_free*B1259)</f>
        <v>0.901916913577808</v>
      </c>
    </row>
    <row r="1260" spans="1:3">
      <c r="A1260" s="4">
        <v>1257</v>
      </c>
      <c r="B1260" s="6">
        <f t="shared" si="19"/>
        <v>3.44383561643836</v>
      </c>
      <c r="C1260" s="6">
        <f>EXP(-r_free*B1260)</f>
        <v>0.901842786466889</v>
      </c>
    </row>
    <row r="1261" spans="1:3">
      <c r="A1261" s="10">
        <v>1258</v>
      </c>
      <c r="B1261" s="12">
        <f t="shared" si="19"/>
        <v>3.44657534246575</v>
      </c>
      <c r="C1261" s="12">
        <f>EXP(-r_free*B1261)</f>
        <v>0.901768665448359</v>
      </c>
    </row>
    <row r="1262" spans="1:3">
      <c r="A1262" s="4">
        <v>1259</v>
      </c>
      <c r="B1262" s="6">
        <f t="shared" si="19"/>
        <v>3.44931506849315</v>
      </c>
      <c r="C1262" s="6">
        <f>EXP(-r_free*B1262)</f>
        <v>0.901694550521717</v>
      </c>
    </row>
    <row r="1263" spans="1:3">
      <c r="A1263" s="10">
        <v>1260</v>
      </c>
      <c r="B1263" s="12">
        <f t="shared" si="19"/>
        <v>3.45205479452055</v>
      </c>
      <c r="C1263" s="12">
        <f>EXP(-r_free*B1263)</f>
        <v>0.901620441686463</v>
      </c>
    </row>
    <row r="1264" spans="1:3">
      <c r="A1264" s="4">
        <v>1261</v>
      </c>
      <c r="B1264" s="6">
        <f t="shared" si="19"/>
        <v>3.45479452054795</v>
      </c>
      <c r="C1264" s="6">
        <f>EXP(-r_free*B1264)</f>
        <v>0.901546338942095</v>
      </c>
    </row>
    <row r="1265" spans="1:4">
      <c r="A1265" s="10">
        <v>1262</v>
      </c>
      <c r="B1265" s="12">
        <f t="shared" si="19"/>
        <v>3.45753424657534</v>
      </c>
      <c r="C1265" s="12">
        <f>EXP(-r_free*B1265)</f>
        <v>0.901472242288114</v>
      </c>
    </row>
    <row r="1266" spans="1:4">
      <c r="A1266" s="4">
        <v>1263</v>
      </c>
      <c r="B1266" s="6">
        <f t="shared" si="19"/>
        <v>3.46027397260274</v>
      </c>
      <c r="C1266" s="6">
        <f>EXP(-r_free*B1266)</f>
        <v>0.901398151724018</v>
      </c>
    </row>
    <row r="1267" spans="1:4">
      <c r="A1267" s="10">
        <v>1264</v>
      </c>
      <c r="B1267" s="12">
        <f t="shared" si="19"/>
        <v>3.46301369863014</v>
      </c>
      <c r="C1267" s="12">
        <f>EXP(-r_free*B1267)</f>
        <v>0.901324067249307</v>
      </c>
    </row>
    <row r="1268" spans="1:4">
      <c r="A1268" s="4">
        <v>1265</v>
      </c>
      <c r="B1268" s="6">
        <f t="shared" si="19"/>
        <v>3.46575342465753</v>
      </c>
      <c r="C1268" s="6">
        <f>EXP(-r_free*B1268)</f>
        <v>0.901249988863481</v>
      </c>
    </row>
    <row r="1269" spans="1:4">
      <c r="A1269" s="10">
        <v>1266</v>
      </c>
      <c r="B1269" s="12">
        <f t="shared" si="19"/>
        <v>3.46849315068493</v>
      </c>
      <c r="C1269" s="12">
        <f>EXP(-r_free*B1269)</f>
        <v>0.901175916566039</v>
      </c>
    </row>
    <row r="1270" spans="1:4">
      <c r="A1270" s="4">
        <v>1267</v>
      </c>
      <c r="B1270" s="6">
        <f t="shared" si="19"/>
        <v>3.47123287671233</v>
      </c>
      <c r="C1270" s="6">
        <f>EXP(-r_free*B1270)</f>
        <v>0.901101850356481</v>
      </c>
    </row>
    <row r="1271" spans="1:4">
      <c r="A1271" s="10">
        <v>1268</v>
      </c>
      <c r="B1271" s="12">
        <f t="shared" si="19"/>
        <v>3.47397260273973</v>
      </c>
      <c r="C1271" s="12">
        <f>EXP(-r_free*B1271)</f>
        <v>0.901027790234307</v>
      </c>
    </row>
    <row r="1272" spans="1:4">
      <c r="A1272" s="4">
        <v>1269</v>
      </c>
      <c r="B1272" s="6">
        <f t="shared" si="19"/>
        <v>3.47671232876712</v>
      </c>
      <c r="C1272" s="6">
        <f>EXP(-r_free*B1272)</f>
        <v>0.900953736199016</v>
      </c>
    </row>
    <row r="1273" spans="1:4">
      <c r="A1273" s="10">
        <v>1270</v>
      </c>
      <c r="B1273" s="12">
        <f t="shared" si="19"/>
        <v>3.47945205479452</v>
      </c>
      <c r="C1273" s="12">
        <f>EXP(-r_free*B1273)</f>
        <v>0.900879688250108</v>
      </c>
    </row>
    <row r="1274" spans="1:4">
      <c r="A1274" s="4">
        <v>1271</v>
      </c>
      <c r="B1274" s="6">
        <f t="shared" si="19"/>
        <v>3.48219178082192</v>
      </c>
      <c r="C1274" s="6">
        <f>EXP(-r_free*B1274)</f>
        <v>0.900805646387082</v>
      </c>
    </row>
    <row r="1275" spans="1:4">
      <c r="A1275" s="10">
        <v>1272</v>
      </c>
      <c r="B1275" s="12">
        <f t="shared" si="19"/>
        <v>3.48493150684931</v>
      </c>
      <c r="C1275" s="12">
        <f>EXP(-r_free*B1275)</f>
        <v>0.900731610609439</v>
      </c>
    </row>
    <row r="1276" spans="1:4">
      <c r="A1276" s="4">
        <v>1273</v>
      </c>
      <c r="B1276" s="6">
        <f t="shared" si="19"/>
        <v>3.48767123287671</v>
      </c>
      <c r="C1276" s="6">
        <f>EXP(-r_free*B1276)</f>
        <v>0.900657580916678</v>
      </c>
    </row>
    <row r="1277" spans="1:4">
      <c r="A1277" s="10">
        <v>1274</v>
      </c>
      <c r="B1277" s="12">
        <f t="shared" si="19"/>
        <v>3.49041095890411</v>
      </c>
      <c r="C1277" s="12">
        <f>EXP(-r_free*B1277)</f>
        <v>0.9005835573083</v>
      </c>
    </row>
    <row r="1278" spans="1:4">
      <c r="A1278" s="4">
        <v>1275</v>
      </c>
      <c r="B1278" s="6">
        <f t="shared" si="19"/>
        <v>3.49315068493151</v>
      </c>
      <c r="C1278" s="6">
        <f>EXP(-r_free*B1278)</f>
        <v>0.900509539783803</v>
      </c>
    </row>
    <row r="1279" spans="1:4">
      <c r="A1279" s="10">
        <v>1276</v>
      </c>
      <c r="B1279" s="12">
        <f t="shared" si="19"/>
        <v>3.4958904109589</v>
      </c>
      <c r="C1279" s="12">
        <f>EXP(-r_free*B1279)</f>
        <v>0.900435528342689</v>
      </c>
    </row>
    <row r="1280" spans="1:4">
      <c r="A1280" s="4">
        <v>1277</v>
      </c>
      <c r="B1280" s="6">
        <f t="shared" si="19"/>
        <v>3.4986301369863</v>
      </c>
      <c r="C1280" s="6">
        <f>EXP(-r_free*B1280)</f>
        <v>0.900361522984457</v>
      </c>
      <c r="D1280" s="43" t="s">
        <v>48</v>
      </c>
    </row>
    <row r="1281" spans="1:3">
      <c r="A1281" s="10">
        <v>1278</v>
      </c>
      <c r="B1281" s="12">
        <f t="shared" si="19"/>
        <v>3.5013698630137</v>
      </c>
      <c r="C1281" s="12">
        <f>EXP(-r_free*B1281)</f>
        <v>0.900287523708607</v>
      </c>
    </row>
    <row r="1282" spans="1:3">
      <c r="A1282" s="4">
        <v>1279</v>
      </c>
      <c r="B1282" s="6">
        <f t="shared" si="19"/>
        <v>3.5041095890411</v>
      </c>
      <c r="C1282" s="6">
        <f>EXP(-r_free*B1282)</f>
        <v>0.90021353051464</v>
      </c>
    </row>
    <row r="1283" spans="1:3">
      <c r="A1283" s="10">
        <v>1280</v>
      </c>
      <c r="B1283" s="12">
        <f t="shared" ref="B1283:B1346" si="20">A1283/365</f>
        <v>3.50684931506849</v>
      </c>
      <c r="C1283" s="12">
        <f>EXP(-r_free*B1283)</f>
        <v>0.900139543402055</v>
      </c>
    </row>
    <row r="1284" spans="1:3">
      <c r="A1284" s="4">
        <v>1281</v>
      </c>
      <c r="B1284" s="6">
        <f t="shared" si="20"/>
        <v>3.50958904109589</v>
      </c>
      <c r="C1284" s="6">
        <f>EXP(-r_free*B1284)</f>
        <v>0.900065562370352</v>
      </c>
    </row>
    <row r="1285" spans="1:3">
      <c r="A1285" s="10">
        <v>1282</v>
      </c>
      <c r="B1285" s="12">
        <f t="shared" si="20"/>
        <v>3.51232876712329</v>
      </c>
      <c r="C1285" s="12">
        <f>EXP(-r_free*B1285)</f>
        <v>0.899991587419033</v>
      </c>
    </row>
    <row r="1286" spans="1:3">
      <c r="A1286" s="4">
        <v>1283</v>
      </c>
      <c r="B1286" s="6">
        <f t="shared" si="20"/>
        <v>3.51506849315068</v>
      </c>
      <c r="C1286" s="6">
        <f>EXP(-r_free*B1286)</f>
        <v>0.899917618547596</v>
      </c>
    </row>
    <row r="1287" spans="1:3">
      <c r="A1287" s="10">
        <v>1284</v>
      </c>
      <c r="B1287" s="12">
        <f t="shared" si="20"/>
        <v>3.51780821917808</v>
      </c>
      <c r="C1287" s="12">
        <f>EXP(-r_free*B1287)</f>
        <v>0.899843655755543</v>
      </c>
    </row>
    <row r="1288" spans="1:3">
      <c r="A1288" s="4">
        <v>1285</v>
      </c>
      <c r="B1288" s="6">
        <f t="shared" si="20"/>
        <v>3.52054794520548</v>
      </c>
      <c r="C1288" s="6">
        <f>EXP(-r_free*B1288)</f>
        <v>0.899769699042374</v>
      </c>
    </row>
    <row r="1289" spans="1:3">
      <c r="A1289" s="10">
        <v>1286</v>
      </c>
      <c r="B1289" s="12">
        <f t="shared" si="20"/>
        <v>3.52328767123288</v>
      </c>
      <c r="C1289" s="12">
        <f>EXP(-r_free*B1289)</f>
        <v>0.899695748407589</v>
      </c>
    </row>
    <row r="1290" spans="1:3">
      <c r="A1290" s="4">
        <v>1287</v>
      </c>
      <c r="B1290" s="6">
        <f t="shared" si="20"/>
        <v>3.52602739726027</v>
      </c>
      <c r="C1290" s="6">
        <f>EXP(-r_free*B1290)</f>
        <v>0.899621803850688</v>
      </c>
    </row>
    <row r="1291" spans="1:3">
      <c r="A1291" s="10">
        <v>1288</v>
      </c>
      <c r="B1291" s="12">
        <f t="shared" si="20"/>
        <v>3.52876712328767</v>
      </c>
      <c r="C1291" s="12">
        <f>EXP(-r_free*B1291)</f>
        <v>0.899547865371173</v>
      </c>
    </row>
    <row r="1292" spans="1:3">
      <c r="A1292" s="4">
        <v>1289</v>
      </c>
      <c r="B1292" s="6">
        <f t="shared" si="20"/>
        <v>3.53150684931507</v>
      </c>
      <c r="C1292" s="6">
        <f>EXP(-r_free*B1292)</f>
        <v>0.899473932968543</v>
      </c>
    </row>
    <row r="1293" spans="1:3">
      <c r="A1293" s="10">
        <v>1290</v>
      </c>
      <c r="B1293" s="12">
        <f t="shared" si="20"/>
        <v>3.53424657534247</v>
      </c>
      <c r="C1293" s="12">
        <f>EXP(-r_free*B1293)</f>
        <v>0.899400006642299</v>
      </c>
    </row>
    <row r="1294" spans="1:3">
      <c r="A1294" s="4">
        <v>1291</v>
      </c>
      <c r="B1294" s="6">
        <f t="shared" si="20"/>
        <v>3.53698630136986</v>
      </c>
      <c r="C1294" s="6">
        <f>EXP(-r_free*B1294)</f>
        <v>0.899326086391942</v>
      </c>
    </row>
    <row r="1295" spans="1:3">
      <c r="A1295" s="10">
        <v>1292</v>
      </c>
      <c r="B1295" s="12">
        <f t="shared" si="20"/>
        <v>3.53972602739726</v>
      </c>
      <c r="C1295" s="12">
        <f>EXP(-r_free*B1295)</f>
        <v>0.899252172216973</v>
      </c>
    </row>
    <row r="1296" spans="1:3">
      <c r="A1296" s="4">
        <v>1293</v>
      </c>
      <c r="B1296" s="6">
        <f t="shared" si="20"/>
        <v>3.54246575342466</v>
      </c>
      <c r="C1296" s="6">
        <f>EXP(-r_free*B1296)</f>
        <v>0.899178264116891</v>
      </c>
    </row>
    <row r="1297" spans="1:3">
      <c r="A1297" s="10">
        <v>1294</v>
      </c>
      <c r="B1297" s="12">
        <f t="shared" si="20"/>
        <v>3.54520547945205</v>
      </c>
      <c r="C1297" s="12">
        <f>EXP(-r_free*B1297)</f>
        <v>0.899104362091198</v>
      </c>
    </row>
    <row r="1298" spans="1:3">
      <c r="A1298" s="4">
        <v>1295</v>
      </c>
      <c r="B1298" s="6">
        <f t="shared" si="20"/>
        <v>3.54794520547945</v>
      </c>
      <c r="C1298" s="6">
        <f>EXP(-r_free*B1298)</f>
        <v>0.899030466139394</v>
      </c>
    </row>
    <row r="1299" spans="1:3">
      <c r="A1299" s="10">
        <v>1296</v>
      </c>
      <c r="B1299" s="12">
        <f t="shared" si="20"/>
        <v>3.55068493150685</v>
      </c>
      <c r="C1299" s="12">
        <f>EXP(-r_free*B1299)</f>
        <v>0.898956576260981</v>
      </c>
    </row>
    <row r="1300" spans="1:3">
      <c r="A1300" s="4">
        <v>1297</v>
      </c>
      <c r="B1300" s="6">
        <f t="shared" si="20"/>
        <v>3.55342465753425</v>
      </c>
      <c r="C1300" s="6">
        <f>EXP(-r_free*B1300)</f>
        <v>0.898882692455459</v>
      </c>
    </row>
    <row r="1301" spans="1:3">
      <c r="A1301" s="10">
        <v>1298</v>
      </c>
      <c r="B1301" s="12">
        <f t="shared" si="20"/>
        <v>3.55616438356164</v>
      </c>
      <c r="C1301" s="12">
        <f>EXP(-r_free*B1301)</f>
        <v>0.898808814722329</v>
      </c>
    </row>
    <row r="1302" spans="1:3">
      <c r="A1302" s="4">
        <v>1299</v>
      </c>
      <c r="B1302" s="6">
        <f t="shared" si="20"/>
        <v>3.55890410958904</v>
      </c>
      <c r="C1302" s="6">
        <f>EXP(-r_free*B1302)</f>
        <v>0.898734943061092</v>
      </c>
    </row>
    <row r="1303" spans="1:3">
      <c r="A1303" s="10">
        <v>1300</v>
      </c>
      <c r="B1303" s="12">
        <f t="shared" si="20"/>
        <v>3.56164383561644</v>
      </c>
      <c r="C1303" s="12">
        <f>EXP(-r_free*B1303)</f>
        <v>0.898661077471248</v>
      </c>
    </row>
    <row r="1304" spans="1:3">
      <c r="A1304" s="4">
        <v>1301</v>
      </c>
      <c r="B1304" s="6">
        <f t="shared" si="20"/>
        <v>3.56438356164384</v>
      </c>
      <c r="C1304" s="6">
        <f>EXP(-r_free*B1304)</f>
        <v>0.8985872179523</v>
      </c>
    </row>
    <row r="1305" spans="1:3">
      <c r="A1305" s="10">
        <v>1302</v>
      </c>
      <c r="B1305" s="12">
        <f t="shared" si="20"/>
        <v>3.56712328767123</v>
      </c>
      <c r="C1305" s="12">
        <f>EXP(-r_free*B1305)</f>
        <v>0.898513364503748</v>
      </c>
    </row>
    <row r="1306" spans="1:3">
      <c r="A1306" s="4">
        <v>1303</v>
      </c>
      <c r="B1306" s="6">
        <f t="shared" si="20"/>
        <v>3.56986301369863</v>
      </c>
      <c r="C1306" s="6">
        <f>EXP(-r_free*B1306)</f>
        <v>0.898439517125092</v>
      </c>
    </row>
    <row r="1307" spans="1:3">
      <c r="A1307" s="10">
        <v>1304</v>
      </c>
      <c r="B1307" s="12">
        <f t="shared" si="20"/>
        <v>3.57260273972603</v>
      </c>
      <c r="C1307" s="12">
        <f>EXP(-r_free*B1307)</f>
        <v>0.898365675815835</v>
      </c>
    </row>
    <row r="1308" spans="1:3">
      <c r="A1308" s="4">
        <v>1305</v>
      </c>
      <c r="B1308" s="6">
        <f t="shared" si="20"/>
        <v>3.57534246575342</v>
      </c>
      <c r="C1308" s="6">
        <f>EXP(-r_free*B1308)</f>
        <v>0.898291840575477</v>
      </c>
    </row>
    <row r="1309" spans="1:3">
      <c r="A1309" s="10">
        <v>1306</v>
      </c>
      <c r="B1309" s="12">
        <f t="shared" si="20"/>
        <v>3.57808219178082</v>
      </c>
      <c r="C1309" s="12">
        <f>EXP(-r_free*B1309)</f>
        <v>0.898218011403519</v>
      </c>
    </row>
    <row r="1310" spans="1:3">
      <c r="A1310" s="4">
        <v>1307</v>
      </c>
      <c r="B1310" s="6">
        <f t="shared" si="20"/>
        <v>3.58082191780822</v>
      </c>
      <c r="C1310" s="6">
        <f>EXP(-r_free*B1310)</f>
        <v>0.898144188299463</v>
      </c>
    </row>
    <row r="1311" spans="1:3">
      <c r="A1311" s="10">
        <v>1308</v>
      </c>
      <c r="B1311" s="12">
        <f t="shared" si="20"/>
        <v>3.58356164383562</v>
      </c>
      <c r="C1311" s="12">
        <f>EXP(-r_free*B1311)</f>
        <v>0.89807037126281</v>
      </c>
    </row>
    <row r="1312" spans="1:3">
      <c r="A1312" s="4">
        <v>1309</v>
      </c>
      <c r="B1312" s="6">
        <f t="shared" si="20"/>
        <v>3.58630136986301</v>
      </c>
      <c r="C1312" s="6">
        <f>EXP(-r_free*B1312)</f>
        <v>0.897996560293062</v>
      </c>
    </row>
    <row r="1313" spans="1:3">
      <c r="A1313" s="10">
        <v>1310</v>
      </c>
      <c r="B1313" s="12">
        <f t="shared" si="20"/>
        <v>3.58904109589041</v>
      </c>
      <c r="C1313" s="12">
        <f>EXP(-r_free*B1313)</f>
        <v>0.897922755389719</v>
      </c>
    </row>
    <row r="1314" spans="1:3">
      <c r="A1314" s="4">
        <v>1311</v>
      </c>
      <c r="B1314" s="6">
        <f t="shared" si="20"/>
        <v>3.59178082191781</v>
      </c>
      <c r="C1314" s="6">
        <f>EXP(-r_free*B1314)</f>
        <v>0.897848956552284</v>
      </c>
    </row>
    <row r="1315" spans="1:3">
      <c r="A1315" s="10">
        <v>1312</v>
      </c>
      <c r="B1315" s="12">
        <f t="shared" si="20"/>
        <v>3.59452054794521</v>
      </c>
      <c r="C1315" s="12">
        <f>EXP(-r_free*B1315)</f>
        <v>0.897775163780257</v>
      </c>
    </row>
    <row r="1316" spans="1:3">
      <c r="A1316" s="4">
        <v>1313</v>
      </c>
      <c r="B1316" s="6">
        <f t="shared" si="20"/>
        <v>3.5972602739726</v>
      </c>
      <c r="C1316" s="6">
        <f>EXP(-r_free*B1316)</f>
        <v>0.89770137707314</v>
      </c>
    </row>
    <row r="1317" spans="1:3">
      <c r="A1317" s="10">
        <v>1314</v>
      </c>
      <c r="B1317" s="12">
        <f t="shared" si="20"/>
        <v>3.6</v>
      </c>
      <c r="C1317" s="12">
        <f>EXP(-r_free*B1317)</f>
        <v>0.897627596430435</v>
      </c>
    </row>
    <row r="1318" spans="1:3">
      <c r="A1318" s="4">
        <v>1315</v>
      </c>
      <c r="B1318" s="6">
        <f t="shared" si="20"/>
        <v>3.6027397260274</v>
      </c>
      <c r="C1318" s="6">
        <f>EXP(-r_free*B1318)</f>
        <v>0.897553821851643</v>
      </c>
    </row>
    <row r="1319" spans="1:3">
      <c r="A1319" s="10">
        <v>1316</v>
      </c>
      <c r="B1319" s="12">
        <f t="shared" si="20"/>
        <v>3.60547945205479</v>
      </c>
      <c r="C1319" s="12">
        <f>EXP(-r_free*B1319)</f>
        <v>0.897480053336266</v>
      </c>
    </row>
    <row r="1320" spans="1:3">
      <c r="A1320" s="4">
        <v>1317</v>
      </c>
      <c r="B1320" s="6">
        <f t="shared" si="20"/>
        <v>3.60821917808219</v>
      </c>
      <c r="C1320" s="6">
        <f>EXP(-r_free*B1320)</f>
        <v>0.897406290883805</v>
      </c>
    </row>
    <row r="1321" spans="1:3">
      <c r="A1321" s="10">
        <v>1318</v>
      </c>
      <c r="B1321" s="12">
        <f t="shared" si="20"/>
        <v>3.61095890410959</v>
      </c>
      <c r="C1321" s="12">
        <f>EXP(-r_free*B1321)</f>
        <v>0.897332534493763</v>
      </c>
    </row>
    <row r="1322" spans="1:3">
      <c r="A1322" s="4">
        <v>1319</v>
      </c>
      <c r="B1322" s="6">
        <f t="shared" si="20"/>
        <v>3.61369863013699</v>
      </c>
      <c r="C1322" s="6">
        <f>EXP(-r_free*B1322)</f>
        <v>0.89725878416564</v>
      </c>
    </row>
    <row r="1323" spans="1:3">
      <c r="A1323" s="10">
        <v>1320</v>
      </c>
      <c r="B1323" s="12">
        <f t="shared" si="20"/>
        <v>3.61643835616438</v>
      </c>
      <c r="C1323" s="12">
        <f>EXP(-r_free*B1323)</f>
        <v>0.897185039898939</v>
      </c>
    </row>
    <row r="1324" spans="1:3">
      <c r="A1324" s="4">
        <v>1321</v>
      </c>
      <c r="B1324" s="6">
        <f t="shared" si="20"/>
        <v>3.61917808219178</v>
      </c>
      <c r="C1324" s="6">
        <f>EXP(-r_free*B1324)</f>
        <v>0.897111301693162</v>
      </c>
    </row>
    <row r="1325" spans="1:3">
      <c r="A1325" s="10">
        <v>1322</v>
      </c>
      <c r="B1325" s="12">
        <f t="shared" si="20"/>
        <v>3.62191780821918</v>
      </c>
      <c r="C1325" s="12">
        <f>EXP(-r_free*B1325)</f>
        <v>0.89703756954781</v>
      </c>
    </row>
    <row r="1326" spans="1:3">
      <c r="A1326" s="4">
        <v>1323</v>
      </c>
      <c r="B1326" s="6">
        <f t="shared" si="20"/>
        <v>3.62465753424658</v>
      </c>
      <c r="C1326" s="6">
        <f>EXP(-r_free*B1326)</f>
        <v>0.896963843462385</v>
      </c>
    </row>
    <row r="1327" spans="1:3">
      <c r="A1327" s="10">
        <v>1324</v>
      </c>
      <c r="B1327" s="12">
        <f t="shared" si="20"/>
        <v>3.62739726027397</v>
      </c>
      <c r="C1327" s="12">
        <f>EXP(-r_free*B1327)</f>
        <v>0.89689012343639</v>
      </c>
    </row>
    <row r="1328" spans="1:3">
      <c r="A1328" s="4">
        <v>1325</v>
      </c>
      <c r="B1328" s="6">
        <f t="shared" si="20"/>
        <v>3.63013698630137</v>
      </c>
      <c r="C1328" s="6">
        <f>EXP(-r_free*B1328)</f>
        <v>0.896816409469326</v>
      </c>
    </row>
    <row r="1329" spans="1:3">
      <c r="A1329" s="10">
        <v>1326</v>
      </c>
      <c r="B1329" s="12">
        <f t="shared" si="20"/>
        <v>3.63287671232877</v>
      </c>
      <c r="C1329" s="12">
        <f>EXP(-r_free*B1329)</f>
        <v>0.896742701560695</v>
      </c>
    </row>
    <row r="1330" spans="1:3">
      <c r="A1330" s="4">
        <v>1327</v>
      </c>
      <c r="B1330" s="6">
        <f t="shared" si="20"/>
        <v>3.63561643835616</v>
      </c>
      <c r="C1330" s="6">
        <f>EXP(-r_free*B1330)</f>
        <v>0.896668999709999</v>
      </c>
    </row>
    <row r="1331" spans="1:3">
      <c r="A1331" s="10">
        <v>1328</v>
      </c>
      <c r="B1331" s="12">
        <f t="shared" si="20"/>
        <v>3.63835616438356</v>
      </c>
      <c r="C1331" s="12">
        <f>EXP(-r_free*B1331)</f>
        <v>0.896595303916741</v>
      </c>
    </row>
    <row r="1332" spans="1:3">
      <c r="A1332" s="4">
        <v>1329</v>
      </c>
      <c r="B1332" s="6">
        <f t="shared" si="20"/>
        <v>3.64109589041096</v>
      </c>
      <c r="C1332" s="6">
        <f>EXP(-r_free*B1332)</f>
        <v>0.896521614180422</v>
      </c>
    </row>
    <row r="1333" spans="1:3">
      <c r="A1333" s="10">
        <v>1330</v>
      </c>
      <c r="B1333" s="12">
        <f t="shared" si="20"/>
        <v>3.64383561643836</v>
      </c>
      <c r="C1333" s="12">
        <f>EXP(-r_free*B1333)</f>
        <v>0.896447930500545</v>
      </c>
    </row>
    <row r="1334" spans="1:3">
      <c r="A1334" s="4">
        <v>1331</v>
      </c>
      <c r="B1334" s="6">
        <f t="shared" si="20"/>
        <v>3.64657534246575</v>
      </c>
      <c r="C1334" s="6">
        <f>EXP(-r_free*B1334)</f>
        <v>0.896374252876612</v>
      </c>
    </row>
    <row r="1335" spans="1:3">
      <c r="A1335" s="10">
        <v>1332</v>
      </c>
      <c r="B1335" s="12">
        <f t="shared" si="20"/>
        <v>3.64931506849315</v>
      </c>
      <c r="C1335" s="12">
        <f>EXP(-r_free*B1335)</f>
        <v>0.896300581308126</v>
      </c>
    </row>
    <row r="1336" spans="1:3">
      <c r="A1336" s="4">
        <v>1333</v>
      </c>
      <c r="B1336" s="6">
        <f t="shared" si="20"/>
        <v>3.65205479452055</v>
      </c>
      <c r="C1336" s="6">
        <f>EXP(-r_free*B1336)</f>
        <v>0.896226915794587</v>
      </c>
    </row>
    <row r="1337" spans="1:3">
      <c r="A1337" s="10">
        <v>1334</v>
      </c>
      <c r="B1337" s="12">
        <f t="shared" si="20"/>
        <v>3.65479452054794</v>
      </c>
      <c r="C1337" s="12">
        <f>EXP(-r_free*B1337)</f>
        <v>0.8961532563355</v>
      </c>
    </row>
    <row r="1338" spans="1:3">
      <c r="A1338" s="4">
        <v>1335</v>
      </c>
      <c r="B1338" s="6">
        <f t="shared" si="20"/>
        <v>3.65753424657534</v>
      </c>
      <c r="C1338" s="6">
        <f>EXP(-r_free*B1338)</f>
        <v>0.896079602930366</v>
      </c>
    </row>
    <row r="1339" spans="1:3">
      <c r="A1339" s="10">
        <v>1336</v>
      </c>
      <c r="B1339" s="12">
        <f t="shared" si="20"/>
        <v>3.66027397260274</v>
      </c>
      <c r="C1339" s="12">
        <f>EXP(-r_free*B1339)</f>
        <v>0.896005955578688</v>
      </c>
    </row>
    <row r="1340" spans="1:3">
      <c r="A1340" s="4">
        <v>1337</v>
      </c>
      <c r="B1340" s="6">
        <f t="shared" si="20"/>
        <v>3.66301369863014</v>
      </c>
      <c r="C1340" s="6">
        <f>EXP(-r_free*B1340)</f>
        <v>0.895932314279968</v>
      </c>
    </row>
    <row r="1341" spans="1:3">
      <c r="A1341" s="10">
        <v>1338</v>
      </c>
      <c r="B1341" s="12">
        <f t="shared" si="20"/>
        <v>3.66575342465753</v>
      </c>
      <c r="C1341" s="12">
        <f>EXP(-r_free*B1341)</f>
        <v>0.895858679033709</v>
      </c>
    </row>
    <row r="1342" spans="1:3">
      <c r="A1342" s="4">
        <v>1339</v>
      </c>
      <c r="B1342" s="6">
        <f t="shared" si="20"/>
        <v>3.66849315068493</v>
      </c>
      <c r="C1342" s="6">
        <f>EXP(-r_free*B1342)</f>
        <v>0.895785049839414</v>
      </c>
    </row>
    <row r="1343" spans="1:3">
      <c r="A1343" s="10">
        <v>1340</v>
      </c>
      <c r="B1343" s="12">
        <f t="shared" si="20"/>
        <v>3.67123287671233</v>
      </c>
      <c r="C1343" s="12">
        <f>EXP(-r_free*B1343)</f>
        <v>0.895711426696584</v>
      </c>
    </row>
    <row r="1344" spans="1:3">
      <c r="A1344" s="4">
        <v>1341</v>
      </c>
      <c r="B1344" s="6">
        <f t="shared" si="20"/>
        <v>3.67397260273973</v>
      </c>
      <c r="C1344" s="6">
        <f>EXP(-r_free*B1344)</f>
        <v>0.895637809604722</v>
      </c>
    </row>
    <row r="1345" spans="1:3">
      <c r="A1345" s="10">
        <v>1342</v>
      </c>
      <c r="B1345" s="12">
        <f t="shared" si="20"/>
        <v>3.67671232876712</v>
      </c>
      <c r="C1345" s="12">
        <f>EXP(-r_free*B1345)</f>
        <v>0.895564198563332</v>
      </c>
    </row>
    <row r="1346" spans="1:3">
      <c r="A1346" s="4">
        <v>1343</v>
      </c>
      <c r="B1346" s="6">
        <f t="shared" si="20"/>
        <v>3.67945205479452</v>
      </c>
      <c r="C1346" s="6">
        <f>EXP(-r_free*B1346)</f>
        <v>0.895490593571916</v>
      </c>
    </row>
    <row r="1347" spans="1:3">
      <c r="A1347" s="10">
        <v>1344</v>
      </c>
      <c r="B1347" s="12">
        <f t="shared" ref="B1347:B1410" si="21">A1347/365</f>
        <v>3.68219178082192</v>
      </c>
      <c r="C1347" s="12">
        <f>EXP(-r_free*B1347)</f>
        <v>0.895416994629976</v>
      </c>
    </row>
    <row r="1348" spans="1:3">
      <c r="A1348" s="4">
        <v>1345</v>
      </c>
      <c r="B1348" s="6">
        <f t="shared" si="21"/>
        <v>3.68493150684931</v>
      </c>
      <c r="C1348" s="6">
        <f>EXP(-r_free*B1348)</f>
        <v>0.895343401737017</v>
      </c>
    </row>
    <row r="1349" spans="1:3">
      <c r="A1349" s="10">
        <v>1346</v>
      </c>
      <c r="B1349" s="12">
        <f t="shared" si="21"/>
        <v>3.68767123287671</v>
      </c>
      <c r="C1349" s="12">
        <f>EXP(-r_free*B1349)</f>
        <v>0.895269814892539</v>
      </c>
    </row>
    <row r="1350" spans="1:3">
      <c r="A1350" s="4">
        <v>1347</v>
      </c>
      <c r="B1350" s="6">
        <f t="shared" si="21"/>
        <v>3.69041095890411</v>
      </c>
      <c r="C1350" s="6">
        <f>EXP(-r_free*B1350)</f>
        <v>0.895196234096047</v>
      </c>
    </row>
    <row r="1351" spans="1:3">
      <c r="A1351" s="10">
        <v>1348</v>
      </c>
      <c r="B1351" s="12">
        <f t="shared" si="21"/>
        <v>3.69315068493151</v>
      </c>
      <c r="C1351" s="12">
        <f>EXP(-r_free*B1351)</f>
        <v>0.895122659347042</v>
      </c>
    </row>
    <row r="1352" spans="1:3">
      <c r="A1352" s="4">
        <v>1349</v>
      </c>
      <c r="B1352" s="6">
        <f t="shared" si="21"/>
        <v>3.6958904109589</v>
      </c>
      <c r="C1352" s="6">
        <f>EXP(-r_free*B1352)</f>
        <v>0.895049090645029</v>
      </c>
    </row>
    <row r="1353" spans="1:3">
      <c r="A1353" s="10">
        <v>1350</v>
      </c>
      <c r="B1353" s="12">
        <f t="shared" si="21"/>
        <v>3.6986301369863</v>
      </c>
      <c r="C1353" s="12">
        <f>EXP(-r_free*B1353)</f>
        <v>0.89497552798951</v>
      </c>
    </row>
    <row r="1354" spans="1:3">
      <c r="A1354" s="4">
        <v>1351</v>
      </c>
      <c r="B1354" s="6">
        <f t="shared" si="21"/>
        <v>3.7013698630137</v>
      </c>
      <c r="C1354" s="6">
        <f>EXP(-r_free*B1354)</f>
        <v>0.894901971379989</v>
      </c>
    </row>
    <row r="1355" spans="1:3">
      <c r="A1355" s="10">
        <v>1352</v>
      </c>
      <c r="B1355" s="12">
        <f t="shared" si="21"/>
        <v>3.7041095890411</v>
      </c>
      <c r="C1355" s="12">
        <f>EXP(-r_free*B1355)</f>
        <v>0.894828420815967</v>
      </c>
    </row>
    <row r="1356" spans="1:3">
      <c r="A1356" s="4">
        <v>1353</v>
      </c>
      <c r="B1356" s="6">
        <f t="shared" si="21"/>
        <v>3.70684931506849</v>
      </c>
      <c r="C1356" s="6">
        <f>EXP(-r_free*B1356)</f>
        <v>0.894754876296949</v>
      </c>
    </row>
    <row r="1357" spans="1:3">
      <c r="A1357" s="10">
        <v>1354</v>
      </c>
      <c r="B1357" s="12">
        <f t="shared" si="21"/>
        <v>3.70958904109589</v>
      </c>
      <c r="C1357" s="12">
        <f>EXP(-r_free*B1357)</f>
        <v>0.894681337822438</v>
      </c>
    </row>
    <row r="1358" spans="1:3">
      <c r="A1358" s="4">
        <v>1355</v>
      </c>
      <c r="B1358" s="6">
        <f t="shared" si="21"/>
        <v>3.71232876712329</v>
      </c>
      <c r="C1358" s="6">
        <f>EXP(-r_free*B1358)</f>
        <v>0.894607805391936</v>
      </c>
    </row>
    <row r="1359" spans="1:3">
      <c r="A1359" s="10">
        <v>1356</v>
      </c>
      <c r="B1359" s="12">
        <f t="shared" si="21"/>
        <v>3.71506849315068</v>
      </c>
      <c r="C1359" s="12">
        <f>EXP(-r_free*B1359)</f>
        <v>0.894534279004948</v>
      </c>
    </row>
    <row r="1360" spans="1:3">
      <c r="A1360" s="4">
        <v>1357</v>
      </c>
      <c r="B1360" s="6">
        <f t="shared" si="21"/>
        <v>3.71780821917808</v>
      </c>
      <c r="C1360" s="6">
        <f>EXP(-r_free*B1360)</f>
        <v>0.894460758660975</v>
      </c>
    </row>
    <row r="1361" spans="1:4">
      <c r="A1361" s="10">
        <v>1358</v>
      </c>
      <c r="B1361" s="12">
        <f t="shared" si="21"/>
        <v>3.72054794520548</v>
      </c>
      <c r="C1361" s="12">
        <f>EXP(-r_free*B1361)</f>
        <v>0.894387244359523</v>
      </c>
    </row>
    <row r="1362" spans="1:4">
      <c r="A1362" s="4">
        <v>1359</v>
      </c>
      <c r="B1362" s="6">
        <f t="shared" si="21"/>
        <v>3.72328767123288</v>
      </c>
      <c r="C1362" s="6">
        <f>EXP(-r_free*B1362)</f>
        <v>0.894313736100093</v>
      </c>
    </row>
    <row r="1363" spans="1:4">
      <c r="A1363" s="10">
        <v>1360</v>
      </c>
      <c r="B1363" s="12">
        <f t="shared" si="21"/>
        <v>3.72602739726027</v>
      </c>
      <c r="C1363" s="12">
        <f>EXP(-r_free*B1363)</f>
        <v>0.89424023388219</v>
      </c>
    </row>
    <row r="1364" spans="1:4">
      <c r="A1364" s="4">
        <v>1361</v>
      </c>
      <c r="B1364" s="6">
        <f t="shared" si="21"/>
        <v>3.72876712328767</v>
      </c>
      <c r="C1364" s="6">
        <f>EXP(-r_free*B1364)</f>
        <v>0.894166737705317</v>
      </c>
    </row>
    <row r="1365" spans="1:4">
      <c r="A1365" s="10">
        <v>1362</v>
      </c>
      <c r="B1365" s="12">
        <f t="shared" si="21"/>
        <v>3.73150684931507</v>
      </c>
      <c r="C1365" s="12">
        <f>EXP(-r_free*B1365)</f>
        <v>0.894093247568977</v>
      </c>
    </row>
    <row r="1366" spans="1:4">
      <c r="A1366" s="4">
        <v>1363</v>
      </c>
      <c r="B1366" s="6">
        <f t="shared" si="21"/>
        <v>3.73424657534247</v>
      </c>
      <c r="C1366" s="6">
        <f>EXP(-r_free*B1366)</f>
        <v>0.894019763472674</v>
      </c>
    </row>
    <row r="1367" spans="1:4">
      <c r="A1367" s="10">
        <v>1364</v>
      </c>
      <c r="B1367" s="12">
        <f t="shared" si="21"/>
        <v>3.73698630136986</v>
      </c>
      <c r="C1367" s="12">
        <f>EXP(-r_free*B1367)</f>
        <v>0.893946285415912</v>
      </c>
    </row>
    <row r="1368" spans="1:4">
      <c r="A1368" s="4">
        <v>1365</v>
      </c>
      <c r="B1368" s="6">
        <f t="shared" si="21"/>
        <v>3.73972602739726</v>
      </c>
      <c r="C1368" s="6">
        <f>EXP(-r_free*B1368)</f>
        <v>0.893872813398194</v>
      </c>
    </row>
    <row r="1369" spans="1:4">
      <c r="A1369" s="10">
        <v>1366</v>
      </c>
      <c r="B1369" s="12">
        <f t="shared" si="21"/>
        <v>3.74246575342466</v>
      </c>
      <c r="C1369" s="12">
        <f>EXP(-r_free*B1369)</f>
        <v>0.893799347419024</v>
      </c>
    </row>
    <row r="1370" spans="1:4">
      <c r="A1370" s="4">
        <v>1367</v>
      </c>
      <c r="B1370" s="6">
        <f t="shared" si="21"/>
        <v>3.74520547945205</v>
      </c>
      <c r="C1370" s="6">
        <f>EXP(-r_free*B1370)</f>
        <v>0.893725887477905</v>
      </c>
    </row>
    <row r="1371" spans="1:4">
      <c r="A1371" s="10">
        <v>1368</v>
      </c>
      <c r="B1371" s="12">
        <f t="shared" si="21"/>
        <v>3.74794520547945</v>
      </c>
      <c r="C1371" s="12">
        <f>EXP(-r_free*B1371)</f>
        <v>0.893652433574341</v>
      </c>
      <c r="D1371" s="43" t="s">
        <v>49</v>
      </c>
    </row>
    <row r="1372" spans="1:4">
      <c r="A1372" s="4">
        <v>1369</v>
      </c>
      <c r="B1372" s="6">
        <f t="shared" si="21"/>
        <v>3.75068493150685</v>
      </c>
      <c r="C1372" s="6">
        <f>EXP(-r_free*B1372)</f>
        <v>0.893578985707837</v>
      </c>
    </row>
    <row r="1373" spans="1:4">
      <c r="A1373" s="10">
        <v>1370</v>
      </c>
      <c r="B1373" s="12">
        <f t="shared" si="21"/>
        <v>3.75342465753425</v>
      </c>
      <c r="C1373" s="12">
        <f>EXP(-r_free*B1373)</f>
        <v>0.893505543877895</v>
      </c>
    </row>
    <row r="1374" spans="1:4">
      <c r="A1374" s="4">
        <v>1371</v>
      </c>
      <c r="B1374" s="6">
        <f t="shared" si="21"/>
        <v>3.75616438356164</v>
      </c>
      <c r="C1374" s="6">
        <f>EXP(-r_free*B1374)</f>
        <v>0.89343210808402</v>
      </c>
    </row>
    <row r="1375" spans="1:4">
      <c r="A1375" s="10">
        <v>1372</v>
      </c>
      <c r="B1375" s="12">
        <f t="shared" si="21"/>
        <v>3.75890410958904</v>
      </c>
      <c r="C1375" s="12">
        <f>EXP(-r_free*B1375)</f>
        <v>0.893358678325716</v>
      </c>
    </row>
    <row r="1376" spans="1:4">
      <c r="A1376" s="4">
        <v>1373</v>
      </c>
      <c r="B1376" s="6">
        <f t="shared" si="21"/>
        <v>3.76164383561644</v>
      </c>
      <c r="C1376" s="6">
        <f>EXP(-r_free*B1376)</f>
        <v>0.893285254602486</v>
      </c>
    </row>
    <row r="1377" spans="1:3">
      <c r="A1377" s="10">
        <v>1374</v>
      </c>
      <c r="B1377" s="12">
        <f t="shared" si="21"/>
        <v>3.76438356164384</v>
      </c>
      <c r="C1377" s="12">
        <f>EXP(-r_free*B1377)</f>
        <v>0.893211836913835</v>
      </c>
    </row>
    <row r="1378" spans="1:3">
      <c r="A1378" s="4">
        <v>1375</v>
      </c>
      <c r="B1378" s="6">
        <f t="shared" si="21"/>
        <v>3.76712328767123</v>
      </c>
      <c r="C1378" s="6">
        <f>EXP(-r_free*B1378)</f>
        <v>0.893138425259267</v>
      </c>
    </row>
    <row r="1379" spans="1:3">
      <c r="A1379" s="10">
        <v>1376</v>
      </c>
      <c r="B1379" s="12">
        <f t="shared" si="21"/>
        <v>3.76986301369863</v>
      </c>
      <c r="C1379" s="12">
        <f>EXP(-r_free*B1379)</f>
        <v>0.893065019638285</v>
      </c>
    </row>
    <row r="1380" spans="1:3">
      <c r="A1380" s="4">
        <v>1377</v>
      </c>
      <c r="B1380" s="6">
        <f t="shared" si="21"/>
        <v>3.77260273972603</v>
      </c>
      <c r="C1380" s="6">
        <f>EXP(-r_free*B1380)</f>
        <v>0.892991620050394</v>
      </c>
    </row>
    <row r="1381" spans="1:3">
      <c r="A1381" s="10">
        <v>1378</v>
      </c>
      <c r="B1381" s="12">
        <f t="shared" si="21"/>
        <v>3.77534246575342</v>
      </c>
      <c r="C1381" s="12">
        <f>EXP(-r_free*B1381)</f>
        <v>0.892918226495097</v>
      </c>
    </row>
    <row r="1382" spans="1:3">
      <c r="A1382" s="4">
        <v>1379</v>
      </c>
      <c r="B1382" s="6">
        <f t="shared" si="21"/>
        <v>3.77808219178082</v>
      </c>
      <c r="C1382" s="6">
        <f>EXP(-r_free*B1382)</f>
        <v>0.8928448389719</v>
      </c>
    </row>
    <row r="1383" spans="1:3">
      <c r="A1383" s="10">
        <v>1380</v>
      </c>
      <c r="B1383" s="12">
        <f t="shared" si="21"/>
        <v>3.78082191780822</v>
      </c>
      <c r="C1383" s="12">
        <f>EXP(-r_free*B1383)</f>
        <v>0.892771457480307</v>
      </c>
    </row>
    <row r="1384" spans="1:3">
      <c r="A1384" s="4">
        <v>1381</v>
      </c>
      <c r="B1384" s="6">
        <f t="shared" si="21"/>
        <v>3.78356164383562</v>
      </c>
      <c r="C1384" s="6">
        <f>EXP(-r_free*B1384)</f>
        <v>0.892698082019821</v>
      </c>
    </row>
    <row r="1385" spans="1:3">
      <c r="A1385" s="10">
        <v>1382</v>
      </c>
      <c r="B1385" s="12">
        <f t="shared" si="21"/>
        <v>3.78630136986301</v>
      </c>
      <c r="C1385" s="12">
        <f>EXP(-r_free*B1385)</f>
        <v>0.892624712589946</v>
      </c>
    </row>
    <row r="1386" spans="1:3">
      <c r="A1386" s="4">
        <v>1383</v>
      </c>
      <c r="B1386" s="6">
        <f t="shared" si="21"/>
        <v>3.78904109589041</v>
      </c>
      <c r="C1386" s="6">
        <f>EXP(-r_free*B1386)</f>
        <v>0.892551349190189</v>
      </c>
    </row>
    <row r="1387" spans="1:3">
      <c r="A1387" s="10">
        <v>1384</v>
      </c>
      <c r="B1387" s="12">
        <f t="shared" si="21"/>
        <v>3.79178082191781</v>
      </c>
      <c r="C1387" s="12">
        <f>EXP(-r_free*B1387)</f>
        <v>0.892477991820051</v>
      </c>
    </row>
    <row r="1388" spans="1:3">
      <c r="A1388" s="4">
        <v>1385</v>
      </c>
      <c r="B1388" s="6">
        <f t="shared" si="21"/>
        <v>3.79452054794521</v>
      </c>
      <c r="C1388" s="6">
        <f>EXP(-r_free*B1388)</f>
        <v>0.892404640479039</v>
      </c>
    </row>
    <row r="1389" spans="1:3">
      <c r="A1389" s="10">
        <v>1386</v>
      </c>
      <c r="B1389" s="12">
        <f t="shared" si="21"/>
        <v>3.7972602739726</v>
      </c>
      <c r="C1389" s="12">
        <f>EXP(-r_free*B1389)</f>
        <v>0.892331295166657</v>
      </c>
    </row>
    <row r="1390" spans="1:3">
      <c r="A1390" s="4">
        <v>1387</v>
      </c>
      <c r="B1390" s="6">
        <f t="shared" si="21"/>
        <v>3.8</v>
      </c>
      <c r="C1390" s="6">
        <f>EXP(-r_free*B1390)</f>
        <v>0.892257955882408</v>
      </c>
    </row>
    <row r="1391" spans="1:3">
      <c r="A1391" s="10">
        <v>1388</v>
      </c>
      <c r="B1391" s="12">
        <f t="shared" si="21"/>
        <v>3.8027397260274</v>
      </c>
      <c r="C1391" s="12">
        <f>EXP(-r_free*B1391)</f>
        <v>0.892184622625799</v>
      </c>
    </row>
    <row r="1392" spans="1:3">
      <c r="A1392" s="4">
        <v>1389</v>
      </c>
      <c r="B1392" s="6">
        <f t="shared" si="21"/>
        <v>3.80547945205479</v>
      </c>
      <c r="C1392" s="6">
        <f>EXP(-r_free*B1392)</f>
        <v>0.892111295396332</v>
      </c>
    </row>
    <row r="1393" spans="1:3">
      <c r="A1393" s="10">
        <v>1390</v>
      </c>
      <c r="B1393" s="12">
        <f t="shared" si="21"/>
        <v>3.80821917808219</v>
      </c>
      <c r="C1393" s="12">
        <f>EXP(-r_free*B1393)</f>
        <v>0.892037974193513</v>
      </c>
    </row>
    <row r="1394" spans="1:3">
      <c r="A1394" s="4">
        <v>1391</v>
      </c>
      <c r="B1394" s="6">
        <f t="shared" si="21"/>
        <v>3.81095890410959</v>
      </c>
      <c r="C1394" s="6">
        <f>EXP(-r_free*B1394)</f>
        <v>0.891964659016848</v>
      </c>
    </row>
    <row r="1395" spans="1:3">
      <c r="A1395" s="10">
        <v>1392</v>
      </c>
      <c r="B1395" s="12">
        <f t="shared" si="21"/>
        <v>3.81369863013699</v>
      </c>
      <c r="C1395" s="12">
        <f>EXP(-r_free*B1395)</f>
        <v>0.891891349865839</v>
      </c>
    </row>
    <row r="1396" spans="1:3">
      <c r="A1396" s="4">
        <v>1393</v>
      </c>
      <c r="B1396" s="6">
        <f t="shared" si="21"/>
        <v>3.81643835616438</v>
      </c>
      <c r="C1396" s="6">
        <f>EXP(-r_free*B1396)</f>
        <v>0.891818046739992</v>
      </c>
    </row>
    <row r="1397" spans="1:3">
      <c r="A1397" s="10">
        <v>1394</v>
      </c>
      <c r="B1397" s="12">
        <f t="shared" si="21"/>
        <v>3.81917808219178</v>
      </c>
      <c r="C1397" s="12">
        <f>EXP(-r_free*B1397)</f>
        <v>0.891744749638812</v>
      </c>
    </row>
    <row r="1398" spans="1:3">
      <c r="A1398" s="4">
        <v>1395</v>
      </c>
      <c r="B1398" s="6">
        <f t="shared" si="21"/>
        <v>3.82191780821918</v>
      </c>
      <c r="C1398" s="6">
        <f>EXP(-r_free*B1398)</f>
        <v>0.891671458561804</v>
      </c>
    </row>
    <row r="1399" spans="1:3">
      <c r="A1399" s="10">
        <v>1396</v>
      </c>
      <c r="B1399" s="12">
        <f t="shared" si="21"/>
        <v>3.82465753424657</v>
      </c>
      <c r="C1399" s="12">
        <f>EXP(-r_free*B1399)</f>
        <v>0.891598173508473</v>
      </c>
    </row>
    <row r="1400" spans="1:3">
      <c r="A1400" s="4">
        <v>1397</v>
      </c>
      <c r="B1400" s="6">
        <f t="shared" si="21"/>
        <v>3.82739726027397</v>
      </c>
      <c r="C1400" s="6">
        <f>EXP(-r_free*B1400)</f>
        <v>0.891524894478323</v>
      </c>
    </row>
    <row r="1401" spans="1:3">
      <c r="A1401" s="10">
        <v>1398</v>
      </c>
      <c r="B1401" s="12">
        <f t="shared" si="21"/>
        <v>3.83013698630137</v>
      </c>
      <c r="C1401" s="12">
        <f>EXP(-r_free*B1401)</f>
        <v>0.891451621470859</v>
      </c>
    </row>
    <row r="1402" spans="1:3">
      <c r="A1402" s="4">
        <v>1399</v>
      </c>
      <c r="B1402" s="6">
        <f t="shared" si="21"/>
        <v>3.83287671232877</v>
      </c>
      <c r="C1402" s="6">
        <f>EXP(-r_free*B1402)</f>
        <v>0.891378354485587</v>
      </c>
    </row>
    <row r="1403" spans="1:3">
      <c r="A1403" s="10">
        <v>1400</v>
      </c>
      <c r="B1403" s="12">
        <f t="shared" si="21"/>
        <v>3.83561643835616</v>
      </c>
      <c r="C1403" s="12">
        <f>EXP(-r_free*B1403)</f>
        <v>0.891305093522012</v>
      </c>
    </row>
    <row r="1404" spans="1:3">
      <c r="A1404" s="4">
        <v>1401</v>
      </c>
      <c r="B1404" s="6">
        <f t="shared" si="21"/>
        <v>3.83835616438356</v>
      </c>
      <c r="C1404" s="6">
        <f>EXP(-r_free*B1404)</f>
        <v>0.891231838579638</v>
      </c>
    </row>
    <row r="1405" spans="1:3">
      <c r="A1405" s="10">
        <v>1402</v>
      </c>
      <c r="B1405" s="12">
        <f t="shared" si="21"/>
        <v>3.84109589041096</v>
      </c>
      <c r="C1405" s="12">
        <f>EXP(-r_free*B1405)</f>
        <v>0.891158589657971</v>
      </c>
    </row>
    <row r="1406" spans="1:3">
      <c r="A1406" s="4">
        <v>1403</v>
      </c>
      <c r="B1406" s="6">
        <f t="shared" si="21"/>
        <v>3.84383561643836</v>
      </c>
      <c r="C1406" s="6">
        <f>EXP(-r_free*B1406)</f>
        <v>0.891085346756516</v>
      </c>
    </row>
    <row r="1407" spans="1:3">
      <c r="A1407" s="10">
        <v>1404</v>
      </c>
      <c r="B1407" s="12">
        <f t="shared" si="21"/>
        <v>3.84657534246575</v>
      </c>
      <c r="C1407" s="12">
        <f>EXP(-r_free*B1407)</f>
        <v>0.891012109874777</v>
      </c>
    </row>
    <row r="1408" spans="1:3">
      <c r="A1408" s="4">
        <v>1405</v>
      </c>
      <c r="B1408" s="6">
        <f t="shared" si="21"/>
        <v>3.84931506849315</v>
      </c>
      <c r="C1408" s="6">
        <f>EXP(-r_free*B1408)</f>
        <v>0.890938879012262</v>
      </c>
    </row>
    <row r="1409" spans="1:3">
      <c r="A1409" s="10">
        <v>1406</v>
      </c>
      <c r="B1409" s="12">
        <f t="shared" si="21"/>
        <v>3.85205479452055</v>
      </c>
      <c r="C1409" s="12">
        <f>EXP(-r_free*B1409)</f>
        <v>0.890865654168473</v>
      </c>
    </row>
    <row r="1410" spans="1:3">
      <c r="A1410" s="4">
        <v>1407</v>
      </c>
      <c r="B1410" s="6">
        <f t="shared" si="21"/>
        <v>3.85479452054795</v>
      </c>
      <c r="C1410" s="6">
        <f>EXP(-r_free*B1410)</f>
        <v>0.890792435342918</v>
      </c>
    </row>
    <row r="1411" spans="1:3">
      <c r="A1411" s="10">
        <v>1408</v>
      </c>
      <c r="B1411" s="12">
        <f t="shared" ref="B1411:B1474" si="22">A1411/365</f>
        <v>3.85753424657534</v>
      </c>
      <c r="C1411" s="12">
        <f>EXP(-r_free*B1411)</f>
        <v>0.890719222535101</v>
      </c>
    </row>
    <row r="1412" spans="1:3">
      <c r="A1412" s="4">
        <v>1409</v>
      </c>
      <c r="B1412" s="6">
        <f t="shared" si="22"/>
        <v>3.86027397260274</v>
      </c>
      <c r="C1412" s="6">
        <f>EXP(-r_free*B1412)</f>
        <v>0.890646015744529</v>
      </c>
    </row>
    <row r="1413" spans="1:3">
      <c r="A1413" s="10">
        <v>1410</v>
      </c>
      <c r="B1413" s="12">
        <f t="shared" si="22"/>
        <v>3.86301369863014</v>
      </c>
      <c r="C1413" s="12">
        <f>EXP(-r_free*B1413)</f>
        <v>0.890572814970705</v>
      </c>
    </row>
    <row r="1414" spans="1:3">
      <c r="A1414" s="4">
        <v>1411</v>
      </c>
      <c r="B1414" s="6">
        <f t="shared" si="22"/>
        <v>3.86575342465753</v>
      </c>
      <c r="C1414" s="6">
        <f>EXP(-r_free*B1414)</f>
        <v>0.890499620213136</v>
      </c>
    </row>
    <row r="1415" spans="1:3">
      <c r="A1415" s="10">
        <v>1412</v>
      </c>
      <c r="B1415" s="12">
        <f t="shared" si="22"/>
        <v>3.86849315068493</v>
      </c>
      <c r="C1415" s="12">
        <f>EXP(-r_free*B1415)</f>
        <v>0.890426431471327</v>
      </c>
    </row>
    <row r="1416" spans="1:3">
      <c r="A1416" s="4">
        <v>1413</v>
      </c>
      <c r="B1416" s="6">
        <f t="shared" si="22"/>
        <v>3.87123287671233</v>
      </c>
      <c r="C1416" s="6">
        <f>EXP(-r_free*B1416)</f>
        <v>0.890353248744784</v>
      </c>
    </row>
    <row r="1417" spans="1:3">
      <c r="A1417" s="10">
        <v>1414</v>
      </c>
      <c r="B1417" s="12">
        <f t="shared" si="22"/>
        <v>3.87397260273973</v>
      </c>
      <c r="C1417" s="12">
        <f>EXP(-r_free*B1417)</f>
        <v>0.890280072033012</v>
      </c>
    </row>
    <row r="1418" spans="1:3">
      <c r="A1418" s="4">
        <v>1415</v>
      </c>
      <c r="B1418" s="6">
        <f t="shared" si="22"/>
        <v>3.87671232876712</v>
      </c>
      <c r="C1418" s="6">
        <f>EXP(-r_free*B1418)</f>
        <v>0.890206901335518</v>
      </c>
    </row>
    <row r="1419" spans="1:3">
      <c r="A1419" s="10">
        <v>1416</v>
      </c>
      <c r="B1419" s="12">
        <f t="shared" si="22"/>
        <v>3.87945205479452</v>
      </c>
      <c r="C1419" s="12">
        <f>EXP(-r_free*B1419)</f>
        <v>0.890133736651806</v>
      </c>
    </row>
    <row r="1420" spans="1:3">
      <c r="A1420" s="4">
        <v>1417</v>
      </c>
      <c r="B1420" s="6">
        <f t="shared" si="22"/>
        <v>3.88219178082192</v>
      </c>
      <c r="C1420" s="6">
        <f>EXP(-r_free*B1420)</f>
        <v>0.890060577981383</v>
      </c>
    </row>
    <row r="1421" spans="1:3">
      <c r="A1421" s="10">
        <v>1418</v>
      </c>
      <c r="B1421" s="12">
        <f t="shared" si="22"/>
        <v>3.88493150684931</v>
      </c>
      <c r="C1421" s="12">
        <f>EXP(-r_free*B1421)</f>
        <v>0.889987425323754</v>
      </c>
    </row>
    <row r="1422" spans="1:3">
      <c r="A1422" s="4">
        <v>1419</v>
      </c>
      <c r="B1422" s="6">
        <f t="shared" si="22"/>
        <v>3.88767123287671</v>
      </c>
      <c r="C1422" s="6">
        <f>EXP(-r_free*B1422)</f>
        <v>0.889914278678425</v>
      </c>
    </row>
    <row r="1423" spans="1:3">
      <c r="A1423" s="10">
        <v>1420</v>
      </c>
      <c r="B1423" s="12">
        <f t="shared" si="22"/>
        <v>3.89041095890411</v>
      </c>
      <c r="C1423" s="12">
        <f>EXP(-r_free*B1423)</f>
        <v>0.889841138044902</v>
      </c>
    </row>
    <row r="1424" spans="1:3">
      <c r="A1424" s="4">
        <v>1421</v>
      </c>
      <c r="B1424" s="6">
        <f t="shared" si="22"/>
        <v>3.89315068493151</v>
      </c>
      <c r="C1424" s="6">
        <f>EXP(-r_free*B1424)</f>
        <v>0.889768003422691</v>
      </c>
    </row>
    <row r="1425" spans="1:3">
      <c r="A1425" s="10">
        <v>1422</v>
      </c>
      <c r="B1425" s="12">
        <f t="shared" si="22"/>
        <v>3.8958904109589</v>
      </c>
      <c r="C1425" s="12">
        <f>EXP(-r_free*B1425)</f>
        <v>0.889694874811298</v>
      </c>
    </row>
    <row r="1426" spans="1:3">
      <c r="A1426" s="4">
        <v>1423</v>
      </c>
      <c r="B1426" s="6">
        <f t="shared" si="22"/>
        <v>3.8986301369863</v>
      </c>
      <c r="C1426" s="6">
        <f>EXP(-r_free*B1426)</f>
        <v>0.889621752210229</v>
      </c>
    </row>
    <row r="1427" spans="1:3">
      <c r="A1427" s="10">
        <v>1424</v>
      </c>
      <c r="B1427" s="12">
        <f t="shared" si="22"/>
        <v>3.9013698630137</v>
      </c>
      <c r="C1427" s="12">
        <f>EXP(-r_free*B1427)</f>
        <v>0.889548635618989</v>
      </c>
    </row>
    <row r="1428" spans="1:3">
      <c r="A1428" s="4">
        <v>1425</v>
      </c>
      <c r="B1428" s="6">
        <f t="shared" si="22"/>
        <v>3.9041095890411</v>
      </c>
      <c r="C1428" s="6">
        <f>EXP(-r_free*B1428)</f>
        <v>0.889475525037086</v>
      </c>
    </row>
    <row r="1429" spans="1:3">
      <c r="A1429" s="10">
        <v>1426</v>
      </c>
      <c r="B1429" s="12">
        <f t="shared" si="22"/>
        <v>3.90684931506849</v>
      </c>
      <c r="C1429" s="12">
        <f>EXP(-r_free*B1429)</f>
        <v>0.889402420464024</v>
      </c>
    </row>
    <row r="1430" spans="1:3">
      <c r="A1430" s="4">
        <v>1427</v>
      </c>
      <c r="B1430" s="6">
        <f t="shared" si="22"/>
        <v>3.90958904109589</v>
      </c>
      <c r="C1430" s="6">
        <f>EXP(-r_free*B1430)</f>
        <v>0.889329321899311</v>
      </c>
    </row>
    <row r="1431" spans="1:3">
      <c r="A1431" s="10">
        <v>1428</v>
      </c>
      <c r="B1431" s="12">
        <f t="shared" si="22"/>
        <v>3.91232876712329</v>
      </c>
      <c r="C1431" s="12">
        <f>EXP(-r_free*B1431)</f>
        <v>0.889256229342452</v>
      </c>
    </row>
    <row r="1432" spans="1:3">
      <c r="A1432" s="4">
        <v>1429</v>
      </c>
      <c r="B1432" s="6">
        <f t="shared" si="22"/>
        <v>3.91506849315068</v>
      </c>
      <c r="C1432" s="6">
        <f>EXP(-r_free*B1432)</f>
        <v>0.889183142792953</v>
      </c>
    </row>
    <row r="1433" spans="1:3">
      <c r="A1433" s="10">
        <v>1430</v>
      </c>
      <c r="B1433" s="12">
        <f t="shared" si="22"/>
        <v>3.91780821917808</v>
      </c>
      <c r="C1433" s="12">
        <f>EXP(-r_free*B1433)</f>
        <v>0.889110062250321</v>
      </c>
    </row>
    <row r="1434" spans="1:3">
      <c r="A1434" s="4">
        <v>1431</v>
      </c>
      <c r="B1434" s="6">
        <f t="shared" si="22"/>
        <v>3.92054794520548</v>
      </c>
      <c r="C1434" s="6">
        <f>EXP(-r_free*B1434)</f>
        <v>0.889036987714062</v>
      </c>
    </row>
    <row r="1435" spans="1:3">
      <c r="A1435" s="10">
        <v>1432</v>
      </c>
      <c r="B1435" s="12">
        <f t="shared" si="22"/>
        <v>3.92328767123288</v>
      </c>
      <c r="C1435" s="12">
        <f>EXP(-r_free*B1435)</f>
        <v>0.888963919183683</v>
      </c>
    </row>
    <row r="1436" spans="1:3">
      <c r="A1436" s="4">
        <v>1433</v>
      </c>
      <c r="B1436" s="6">
        <f t="shared" si="22"/>
        <v>3.92602739726027</v>
      </c>
      <c r="C1436" s="6">
        <f>EXP(-r_free*B1436)</f>
        <v>0.888890856658689</v>
      </c>
    </row>
    <row r="1437" spans="1:3">
      <c r="A1437" s="10">
        <v>1434</v>
      </c>
      <c r="B1437" s="12">
        <f t="shared" si="22"/>
        <v>3.92876712328767</v>
      </c>
      <c r="C1437" s="12">
        <f>EXP(-r_free*B1437)</f>
        <v>0.888817800138588</v>
      </c>
    </row>
    <row r="1438" spans="1:3">
      <c r="A1438" s="4">
        <v>1435</v>
      </c>
      <c r="B1438" s="6">
        <f t="shared" si="22"/>
        <v>3.93150684931507</v>
      </c>
      <c r="C1438" s="6">
        <f>EXP(-r_free*B1438)</f>
        <v>0.888744749622886</v>
      </c>
    </row>
    <row r="1439" spans="1:3">
      <c r="A1439" s="10">
        <v>1436</v>
      </c>
      <c r="B1439" s="12">
        <f t="shared" si="22"/>
        <v>3.93424657534247</v>
      </c>
      <c r="C1439" s="12">
        <f>EXP(-r_free*B1439)</f>
        <v>0.888671705111088</v>
      </c>
    </row>
    <row r="1440" spans="1:3">
      <c r="A1440" s="4">
        <v>1437</v>
      </c>
      <c r="B1440" s="6">
        <f t="shared" si="22"/>
        <v>3.93698630136986</v>
      </c>
      <c r="C1440" s="6">
        <f>EXP(-r_free*B1440)</f>
        <v>0.888598666602703</v>
      </c>
    </row>
    <row r="1441" spans="1:3">
      <c r="A1441" s="10">
        <v>1438</v>
      </c>
      <c r="B1441" s="12">
        <f t="shared" si="22"/>
        <v>3.93972602739726</v>
      </c>
      <c r="C1441" s="12">
        <f>EXP(-r_free*B1441)</f>
        <v>0.888525634097236</v>
      </c>
    </row>
    <row r="1442" spans="1:3">
      <c r="A1442" s="4">
        <v>1439</v>
      </c>
      <c r="B1442" s="6">
        <f t="shared" si="22"/>
        <v>3.94246575342466</v>
      </c>
      <c r="C1442" s="6">
        <f>EXP(-r_free*B1442)</f>
        <v>0.888452607594194</v>
      </c>
    </row>
    <row r="1443" spans="1:3">
      <c r="A1443" s="10">
        <v>1440</v>
      </c>
      <c r="B1443" s="12">
        <f t="shared" si="22"/>
        <v>3.94520547945205</v>
      </c>
      <c r="C1443" s="12">
        <f>EXP(-r_free*B1443)</f>
        <v>0.888379587093083</v>
      </c>
    </row>
    <row r="1444" spans="1:3">
      <c r="A1444" s="4">
        <v>1441</v>
      </c>
      <c r="B1444" s="6">
        <f t="shared" si="22"/>
        <v>3.94794520547945</v>
      </c>
      <c r="C1444" s="6">
        <f>EXP(-r_free*B1444)</f>
        <v>0.888306572593411</v>
      </c>
    </row>
    <row r="1445" spans="1:3">
      <c r="A1445" s="10">
        <v>1442</v>
      </c>
      <c r="B1445" s="12">
        <f t="shared" si="22"/>
        <v>3.95068493150685</v>
      </c>
      <c r="C1445" s="12">
        <f>EXP(-r_free*B1445)</f>
        <v>0.888233564094684</v>
      </c>
    </row>
    <row r="1446" spans="1:3">
      <c r="A1446" s="4">
        <v>1443</v>
      </c>
      <c r="B1446" s="6">
        <f t="shared" si="22"/>
        <v>3.95342465753425</v>
      </c>
      <c r="C1446" s="6">
        <f>EXP(-r_free*B1446)</f>
        <v>0.888160561596409</v>
      </c>
    </row>
    <row r="1447" spans="1:3">
      <c r="A1447" s="10">
        <v>1444</v>
      </c>
      <c r="B1447" s="12">
        <f t="shared" si="22"/>
        <v>3.95616438356164</v>
      </c>
      <c r="C1447" s="12">
        <f>EXP(-r_free*B1447)</f>
        <v>0.888087565098093</v>
      </c>
    </row>
    <row r="1448" spans="1:3">
      <c r="A1448" s="4">
        <v>1445</v>
      </c>
      <c r="B1448" s="6">
        <f t="shared" si="22"/>
        <v>3.95890410958904</v>
      </c>
      <c r="C1448" s="6">
        <f>EXP(-r_free*B1448)</f>
        <v>0.888014574599243</v>
      </c>
    </row>
    <row r="1449" spans="1:3">
      <c r="A1449" s="10">
        <v>1446</v>
      </c>
      <c r="B1449" s="12">
        <f t="shared" si="22"/>
        <v>3.96164383561644</v>
      </c>
      <c r="C1449" s="12">
        <f>EXP(-r_free*B1449)</f>
        <v>0.887941590099365</v>
      </c>
    </row>
    <row r="1450" spans="1:3">
      <c r="A1450" s="4">
        <v>1447</v>
      </c>
      <c r="B1450" s="6">
        <f t="shared" si="22"/>
        <v>3.96438356164384</v>
      </c>
      <c r="C1450" s="6">
        <f>EXP(-r_free*B1450)</f>
        <v>0.887868611597966</v>
      </c>
    </row>
    <row r="1451" spans="1:3">
      <c r="A1451" s="10">
        <v>1448</v>
      </c>
      <c r="B1451" s="12">
        <f t="shared" si="22"/>
        <v>3.96712328767123</v>
      </c>
      <c r="C1451" s="12">
        <f>EXP(-r_free*B1451)</f>
        <v>0.887795639094554</v>
      </c>
    </row>
    <row r="1452" spans="1:3">
      <c r="A1452" s="4">
        <v>1449</v>
      </c>
      <c r="B1452" s="6">
        <f t="shared" si="22"/>
        <v>3.96986301369863</v>
      </c>
      <c r="C1452" s="6">
        <f>EXP(-r_free*B1452)</f>
        <v>0.887722672588635</v>
      </c>
    </row>
    <row r="1453" spans="1:3">
      <c r="A1453" s="10">
        <v>1450</v>
      </c>
      <c r="B1453" s="12">
        <f t="shared" si="22"/>
        <v>3.97260273972603</v>
      </c>
      <c r="C1453" s="12">
        <f>EXP(-r_free*B1453)</f>
        <v>0.887649712079718</v>
      </c>
    </row>
    <row r="1454" spans="1:3">
      <c r="A1454" s="4">
        <v>1451</v>
      </c>
      <c r="B1454" s="6">
        <f t="shared" si="22"/>
        <v>3.97534246575342</v>
      </c>
      <c r="C1454" s="6">
        <f>EXP(-r_free*B1454)</f>
        <v>0.887576757567307</v>
      </c>
    </row>
    <row r="1455" spans="1:3">
      <c r="A1455" s="10">
        <v>1452</v>
      </c>
      <c r="B1455" s="12">
        <f t="shared" si="22"/>
        <v>3.97808219178082</v>
      </c>
      <c r="C1455" s="12">
        <f>EXP(-r_free*B1455)</f>
        <v>0.887503809050912</v>
      </c>
    </row>
    <row r="1456" spans="1:3">
      <c r="A1456" s="4">
        <v>1453</v>
      </c>
      <c r="B1456" s="6">
        <f t="shared" si="22"/>
        <v>3.98082191780822</v>
      </c>
      <c r="C1456" s="6">
        <f>EXP(-r_free*B1456)</f>
        <v>0.887430866530039</v>
      </c>
    </row>
    <row r="1457" spans="1:4">
      <c r="A1457" s="10">
        <v>1454</v>
      </c>
      <c r="B1457" s="12">
        <f t="shared" si="22"/>
        <v>3.98356164383562</v>
      </c>
      <c r="C1457" s="12">
        <f>EXP(-r_free*B1457)</f>
        <v>0.887357930004195</v>
      </c>
    </row>
    <row r="1458" spans="1:4">
      <c r="A1458" s="4">
        <v>1455</v>
      </c>
      <c r="B1458" s="6">
        <f t="shared" si="22"/>
        <v>3.98630136986301</v>
      </c>
      <c r="C1458" s="6">
        <f>EXP(-r_free*B1458)</f>
        <v>0.887284999472888</v>
      </c>
    </row>
    <row r="1459" spans="1:4">
      <c r="A1459" s="10">
        <v>1456</v>
      </c>
      <c r="B1459" s="12">
        <f t="shared" si="22"/>
        <v>3.98904109589041</v>
      </c>
      <c r="C1459" s="12">
        <f>EXP(-r_free*B1459)</f>
        <v>0.887212074935624</v>
      </c>
    </row>
    <row r="1460" spans="1:4">
      <c r="A1460" s="4">
        <v>1457</v>
      </c>
      <c r="B1460" s="6">
        <f t="shared" si="22"/>
        <v>3.99178082191781</v>
      </c>
      <c r="C1460" s="6">
        <f>EXP(-r_free*B1460)</f>
        <v>0.887139156391912</v>
      </c>
    </row>
    <row r="1461" spans="1:4">
      <c r="A1461" s="10">
        <v>1458</v>
      </c>
      <c r="B1461" s="12">
        <f t="shared" si="22"/>
        <v>3.99452054794521</v>
      </c>
      <c r="C1461" s="12">
        <f>EXP(-r_free*B1461)</f>
        <v>0.887066243841259</v>
      </c>
    </row>
    <row r="1462" spans="1:4">
      <c r="A1462" s="4">
        <v>1459</v>
      </c>
      <c r="B1462" s="6">
        <f t="shared" si="22"/>
        <v>3.9972602739726</v>
      </c>
      <c r="C1462" s="6">
        <f>EXP(-r_free*B1462)</f>
        <v>0.886993337283171</v>
      </c>
    </row>
    <row r="1463" spans="1:4">
      <c r="A1463" s="10">
        <v>1460</v>
      </c>
      <c r="B1463" s="12">
        <f t="shared" si="22"/>
        <v>4</v>
      </c>
      <c r="C1463" s="12">
        <f>EXP(-r_free*B1463)</f>
        <v>0.886920436717157</v>
      </c>
      <c r="D1463" s="43" t="s">
        <v>50</v>
      </c>
    </row>
    <row r="1464" spans="1:4">
      <c r="A1464" s="4">
        <v>1461</v>
      </c>
      <c r="B1464" s="6">
        <f t="shared" si="22"/>
        <v>4.0027397260274</v>
      </c>
      <c r="C1464" s="6">
        <f>EXP(-r_free*B1464)</f>
        <v>0.886847542142725</v>
      </c>
    </row>
    <row r="1465" spans="1:4">
      <c r="A1465" s="10">
        <v>1462</v>
      </c>
      <c r="B1465" s="12">
        <f t="shared" si="22"/>
        <v>4.00547945205479</v>
      </c>
      <c r="C1465" s="12">
        <f>EXP(-r_free*B1465)</f>
        <v>0.886774653559381</v>
      </c>
    </row>
    <row r="1466" spans="1:4">
      <c r="A1466" s="4">
        <v>1463</v>
      </c>
      <c r="B1466" s="6">
        <f t="shared" si="22"/>
        <v>4.00821917808219</v>
      </c>
      <c r="C1466" s="6">
        <f>EXP(-r_free*B1466)</f>
        <v>0.886701770966633</v>
      </c>
    </row>
    <row r="1467" spans="1:4">
      <c r="A1467" s="10">
        <v>1464</v>
      </c>
      <c r="B1467" s="12">
        <f t="shared" si="22"/>
        <v>4.01095890410959</v>
      </c>
      <c r="C1467" s="12">
        <f>EXP(-r_free*B1467)</f>
        <v>0.886628894363989</v>
      </c>
    </row>
    <row r="1468" spans="1:4">
      <c r="A1468" s="4">
        <v>1465</v>
      </c>
      <c r="B1468" s="6">
        <f t="shared" si="22"/>
        <v>4.01369863013699</v>
      </c>
      <c r="C1468" s="6">
        <f>EXP(-r_free*B1468)</f>
        <v>0.886556023750957</v>
      </c>
    </row>
    <row r="1469" spans="1:4">
      <c r="A1469" s="10">
        <v>1466</v>
      </c>
      <c r="B1469" s="12">
        <f t="shared" si="22"/>
        <v>4.01643835616438</v>
      </c>
      <c r="C1469" s="12">
        <f>EXP(-r_free*B1469)</f>
        <v>0.886483159127044</v>
      </c>
    </row>
    <row r="1470" spans="1:4">
      <c r="A1470" s="4">
        <v>1467</v>
      </c>
      <c r="B1470" s="6">
        <f t="shared" si="22"/>
        <v>4.01917808219178</v>
      </c>
      <c r="C1470" s="6">
        <f>EXP(-r_free*B1470)</f>
        <v>0.886410300491759</v>
      </c>
    </row>
    <row r="1471" spans="1:4">
      <c r="A1471" s="10">
        <v>1468</v>
      </c>
      <c r="B1471" s="12">
        <f t="shared" si="22"/>
        <v>4.02191780821918</v>
      </c>
      <c r="C1471" s="12">
        <f>EXP(-r_free*B1471)</f>
        <v>0.886337447844608</v>
      </c>
    </row>
    <row r="1472" spans="1:4">
      <c r="A1472" s="4">
        <v>1469</v>
      </c>
      <c r="B1472" s="6">
        <f t="shared" si="22"/>
        <v>4.02465753424658</v>
      </c>
      <c r="C1472" s="6">
        <f>EXP(-r_free*B1472)</f>
        <v>0.886264601185099</v>
      </c>
    </row>
    <row r="1473" spans="1:3">
      <c r="A1473" s="10">
        <v>1470</v>
      </c>
      <c r="B1473" s="12">
        <f t="shared" si="22"/>
        <v>4.02739726027397</v>
      </c>
      <c r="C1473" s="12">
        <f>EXP(-r_free*B1473)</f>
        <v>0.886191760512742</v>
      </c>
    </row>
    <row r="1474" spans="1:3">
      <c r="A1474" s="4">
        <v>1471</v>
      </c>
      <c r="B1474" s="6">
        <f t="shared" si="22"/>
        <v>4.03013698630137</v>
      </c>
      <c r="C1474" s="6">
        <f>EXP(-r_free*B1474)</f>
        <v>0.886118925827043</v>
      </c>
    </row>
    <row r="1475" spans="1:3">
      <c r="A1475" s="10">
        <v>1472</v>
      </c>
      <c r="B1475" s="12">
        <f t="shared" ref="B1475:B1538" si="23">A1475/365</f>
        <v>4.03287671232877</v>
      </c>
      <c r="C1475" s="12">
        <f>EXP(-r_free*B1475)</f>
        <v>0.88604609712751</v>
      </c>
    </row>
    <row r="1476" spans="1:3">
      <c r="A1476" s="4">
        <v>1473</v>
      </c>
      <c r="B1476" s="6">
        <f t="shared" si="23"/>
        <v>4.03561643835616</v>
      </c>
      <c r="C1476" s="6">
        <f>EXP(-r_free*B1476)</f>
        <v>0.885973274413652</v>
      </c>
    </row>
    <row r="1477" spans="1:3">
      <c r="A1477" s="10">
        <v>1474</v>
      </c>
      <c r="B1477" s="12">
        <f t="shared" si="23"/>
        <v>4.03835616438356</v>
      </c>
      <c r="C1477" s="12">
        <f>EXP(-r_free*B1477)</f>
        <v>0.885900457684977</v>
      </c>
    </row>
    <row r="1478" spans="1:3">
      <c r="A1478" s="4">
        <v>1475</v>
      </c>
      <c r="B1478" s="6">
        <f t="shared" si="23"/>
        <v>4.04109589041096</v>
      </c>
      <c r="C1478" s="6">
        <f>EXP(-r_free*B1478)</f>
        <v>0.885827646940992</v>
      </c>
    </row>
    <row r="1479" spans="1:3">
      <c r="A1479" s="10">
        <v>1476</v>
      </c>
      <c r="B1479" s="12">
        <f t="shared" si="23"/>
        <v>4.04383561643836</v>
      </c>
      <c r="C1479" s="12">
        <f>EXP(-r_free*B1479)</f>
        <v>0.885754842181206</v>
      </c>
    </row>
    <row r="1480" spans="1:3">
      <c r="A1480" s="4">
        <v>1477</v>
      </c>
      <c r="B1480" s="6">
        <f t="shared" si="23"/>
        <v>4.04657534246575</v>
      </c>
      <c r="C1480" s="6">
        <f>EXP(-r_free*B1480)</f>
        <v>0.885682043405127</v>
      </c>
    </row>
    <row r="1481" spans="1:3">
      <c r="A1481" s="10">
        <v>1478</v>
      </c>
      <c r="B1481" s="12">
        <f t="shared" si="23"/>
        <v>4.04931506849315</v>
      </c>
      <c r="C1481" s="12">
        <f>EXP(-r_free*B1481)</f>
        <v>0.885609250612264</v>
      </c>
    </row>
    <row r="1482" spans="1:3">
      <c r="A1482" s="4">
        <v>1479</v>
      </c>
      <c r="B1482" s="6">
        <f t="shared" si="23"/>
        <v>4.05205479452055</v>
      </c>
      <c r="C1482" s="6">
        <f>EXP(-r_free*B1482)</f>
        <v>0.885536463802123</v>
      </c>
    </row>
    <row r="1483" spans="1:3">
      <c r="A1483" s="10">
        <v>1480</v>
      </c>
      <c r="B1483" s="12">
        <f t="shared" si="23"/>
        <v>4.05479452054795</v>
      </c>
      <c r="C1483" s="12">
        <f>EXP(-r_free*B1483)</f>
        <v>0.885463682974214</v>
      </c>
    </row>
    <row r="1484" spans="1:3">
      <c r="A1484" s="4">
        <v>1481</v>
      </c>
      <c r="B1484" s="6">
        <f t="shared" si="23"/>
        <v>4.05753424657534</v>
      </c>
      <c r="C1484" s="6">
        <f>EXP(-r_free*B1484)</f>
        <v>0.885390908128046</v>
      </c>
    </row>
    <row r="1485" spans="1:3">
      <c r="A1485" s="10">
        <v>1482</v>
      </c>
      <c r="B1485" s="12">
        <f t="shared" si="23"/>
        <v>4.06027397260274</v>
      </c>
      <c r="C1485" s="12">
        <f>EXP(-r_free*B1485)</f>
        <v>0.885318139263125</v>
      </c>
    </row>
    <row r="1486" spans="1:3">
      <c r="A1486" s="4">
        <v>1483</v>
      </c>
      <c r="B1486" s="6">
        <f t="shared" si="23"/>
        <v>4.06301369863014</v>
      </c>
      <c r="C1486" s="6">
        <f>EXP(-r_free*B1486)</f>
        <v>0.885245376378962</v>
      </c>
    </row>
    <row r="1487" spans="1:3">
      <c r="A1487" s="10">
        <v>1484</v>
      </c>
      <c r="B1487" s="12">
        <f t="shared" si="23"/>
        <v>4.06575342465753</v>
      </c>
      <c r="C1487" s="12">
        <f>EXP(-r_free*B1487)</f>
        <v>0.885172619475064</v>
      </c>
    </row>
    <row r="1488" spans="1:3">
      <c r="A1488" s="4">
        <v>1485</v>
      </c>
      <c r="B1488" s="6">
        <f t="shared" si="23"/>
        <v>4.06849315068493</v>
      </c>
      <c r="C1488" s="6">
        <f>EXP(-r_free*B1488)</f>
        <v>0.885099868550939</v>
      </c>
    </row>
    <row r="1489" spans="1:3">
      <c r="A1489" s="10">
        <v>1486</v>
      </c>
      <c r="B1489" s="12">
        <f t="shared" si="23"/>
        <v>4.07123287671233</v>
      </c>
      <c r="C1489" s="12">
        <f>EXP(-r_free*B1489)</f>
        <v>0.885027123606097</v>
      </c>
    </row>
    <row r="1490" spans="1:3">
      <c r="A1490" s="4">
        <v>1487</v>
      </c>
      <c r="B1490" s="6">
        <f t="shared" si="23"/>
        <v>4.07397260273973</v>
      </c>
      <c r="C1490" s="6">
        <f>EXP(-r_free*B1490)</f>
        <v>0.884954384640046</v>
      </c>
    </row>
    <row r="1491" spans="1:3">
      <c r="A1491" s="10">
        <v>1488</v>
      </c>
      <c r="B1491" s="12">
        <f t="shared" si="23"/>
        <v>4.07671232876712</v>
      </c>
      <c r="C1491" s="12">
        <f>EXP(-r_free*B1491)</f>
        <v>0.884881651652294</v>
      </c>
    </row>
    <row r="1492" spans="1:3">
      <c r="A1492" s="4">
        <v>1489</v>
      </c>
      <c r="B1492" s="6">
        <f t="shared" si="23"/>
        <v>4.07945205479452</v>
      </c>
      <c r="C1492" s="6">
        <f>EXP(-r_free*B1492)</f>
        <v>0.88480892464235</v>
      </c>
    </row>
    <row r="1493" spans="1:3">
      <c r="A1493" s="10">
        <v>1490</v>
      </c>
      <c r="B1493" s="12">
        <f t="shared" si="23"/>
        <v>4.08219178082192</v>
      </c>
      <c r="C1493" s="12">
        <f>EXP(-r_free*B1493)</f>
        <v>0.884736203609723</v>
      </c>
    </row>
    <row r="1494" spans="1:3">
      <c r="A1494" s="4">
        <v>1491</v>
      </c>
      <c r="B1494" s="6">
        <f t="shared" si="23"/>
        <v>4.08493150684932</v>
      </c>
      <c r="C1494" s="6">
        <f>EXP(-r_free*B1494)</f>
        <v>0.884663488553922</v>
      </c>
    </row>
    <row r="1495" spans="1:3">
      <c r="A1495" s="10">
        <v>1492</v>
      </c>
      <c r="B1495" s="12">
        <f t="shared" si="23"/>
        <v>4.08767123287671</v>
      </c>
      <c r="C1495" s="12">
        <f>EXP(-r_free*B1495)</f>
        <v>0.884590779474454</v>
      </c>
    </row>
    <row r="1496" spans="1:3">
      <c r="A1496" s="4">
        <v>1493</v>
      </c>
      <c r="B1496" s="6">
        <f t="shared" si="23"/>
        <v>4.09041095890411</v>
      </c>
      <c r="C1496" s="6">
        <f>EXP(-r_free*B1496)</f>
        <v>0.884518076370831</v>
      </c>
    </row>
    <row r="1497" spans="1:3">
      <c r="A1497" s="10">
        <v>1494</v>
      </c>
      <c r="B1497" s="12">
        <f t="shared" si="23"/>
        <v>4.09315068493151</v>
      </c>
      <c r="C1497" s="12">
        <f>EXP(-r_free*B1497)</f>
        <v>0.884445379242559</v>
      </c>
    </row>
    <row r="1498" spans="1:3">
      <c r="A1498" s="4">
        <v>1495</v>
      </c>
      <c r="B1498" s="6">
        <f t="shared" si="23"/>
        <v>4.0958904109589</v>
      </c>
      <c r="C1498" s="6">
        <f>EXP(-r_free*B1498)</f>
        <v>0.884372688089147</v>
      </c>
    </row>
    <row r="1499" spans="1:3">
      <c r="A1499" s="10">
        <v>1496</v>
      </c>
      <c r="B1499" s="12">
        <f t="shared" si="23"/>
        <v>4.0986301369863</v>
      </c>
      <c r="C1499" s="12">
        <f>EXP(-r_free*B1499)</f>
        <v>0.884300002910106</v>
      </c>
    </row>
    <row r="1500" spans="1:3">
      <c r="A1500" s="4">
        <v>1497</v>
      </c>
      <c r="B1500" s="6">
        <f t="shared" si="23"/>
        <v>4.1013698630137</v>
      </c>
      <c r="C1500" s="6">
        <f>EXP(-r_free*B1500)</f>
        <v>0.884227323704944</v>
      </c>
    </row>
    <row r="1501" spans="1:3">
      <c r="A1501" s="10">
        <v>1498</v>
      </c>
      <c r="B1501" s="12">
        <f t="shared" si="23"/>
        <v>4.1041095890411</v>
      </c>
      <c r="C1501" s="12">
        <f>EXP(-r_free*B1501)</f>
        <v>0.884154650473169</v>
      </c>
    </row>
    <row r="1502" spans="1:3">
      <c r="A1502" s="4">
        <v>1499</v>
      </c>
      <c r="B1502" s="6">
        <f t="shared" si="23"/>
        <v>4.10684931506849</v>
      </c>
      <c r="C1502" s="6">
        <f>EXP(-r_free*B1502)</f>
        <v>0.884081983214291</v>
      </c>
    </row>
    <row r="1503" spans="1:3">
      <c r="A1503" s="10">
        <v>1500</v>
      </c>
      <c r="B1503" s="12">
        <f t="shared" si="23"/>
        <v>4.10958904109589</v>
      </c>
      <c r="C1503" s="12">
        <f>EXP(-r_free*B1503)</f>
        <v>0.88400932192782</v>
      </c>
    </row>
    <row r="1504" spans="1:3">
      <c r="A1504" s="4">
        <v>1501</v>
      </c>
      <c r="B1504" s="6">
        <f t="shared" si="23"/>
        <v>4.11232876712329</v>
      </c>
      <c r="C1504" s="6">
        <f>EXP(-r_free*B1504)</f>
        <v>0.883936666613263</v>
      </c>
    </row>
    <row r="1505" spans="1:3">
      <c r="A1505" s="10">
        <v>1502</v>
      </c>
      <c r="B1505" s="12">
        <f t="shared" si="23"/>
        <v>4.11506849315068</v>
      </c>
      <c r="C1505" s="12">
        <f>EXP(-r_free*B1505)</f>
        <v>0.883864017270131</v>
      </c>
    </row>
    <row r="1506" spans="1:3">
      <c r="A1506" s="4">
        <v>1503</v>
      </c>
      <c r="B1506" s="6">
        <f t="shared" si="23"/>
        <v>4.11780821917808</v>
      </c>
      <c r="C1506" s="6">
        <f>EXP(-r_free*B1506)</f>
        <v>0.883791373897932</v>
      </c>
    </row>
    <row r="1507" spans="1:3">
      <c r="A1507" s="10">
        <v>1504</v>
      </c>
      <c r="B1507" s="12">
        <f t="shared" si="23"/>
        <v>4.12054794520548</v>
      </c>
      <c r="C1507" s="12">
        <f>EXP(-r_free*B1507)</f>
        <v>0.883718736496176</v>
      </c>
    </row>
    <row r="1508" spans="1:3">
      <c r="A1508" s="4">
        <v>1505</v>
      </c>
      <c r="B1508" s="6">
        <f t="shared" si="23"/>
        <v>4.12328767123288</v>
      </c>
      <c r="C1508" s="6">
        <f>EXP(-r_free*B1508)</f>
        <v>0.883646105064371</v>
      </c>
    </row>
    <row r="1509" spans="1:3">
      <c r="A1509" s="10">
        <v>1506</v>
      </c>
      <c r="B1509" s="12">
        <f t="shared" si="23"/>
        <v>4.12602739726027</v>
      </c>
      <c r="C1509" s="12">
        <f>EXP(-r_free*B1509)</f>
        <v>0.883573479602029</v>
      </c>
    </row>
    <row r="1510" spans="1:3">
      <c r="A1510" s="4">
        <v>1507</v>
      </c>
      <c r="B1510" s="6">
        <f t="shared" si="23"/>
        <v>4.12876712328767</v>
      </c>
      <c r="C1510" s="6">
        <f>EXP(-r_free*B1510)</f>
        <v>0.883500860108657</v>
      </c>
    </row>
    <row r="1511" spans="1:3">
      <c r="A1511" s="10">
        <v>1508</v>
      </c>
      <c r="B1511" s="12">
        <f t="shared" si="23"/>
        <v>4.13150684931507</v>
      </c>
      <c r="C1511" s="12">
        <f>EXP(-r_free*B1511)</f>
        <v>0.883428246583765</v>
      </c>
    </row>
    <row r="1512" spans="1:3">
      <c r="A1512" s="4">
        <v>1509</v>
      </c>
      <c r="B1512" s="6">
        <f t="shared" si="23"/>
        <v>4.13424657534247</v>
      </c>
      <c r="C1512" s="6">
        <f>EXP(-r_free*B1512)</f>
        <v>0.883355639026863</v>
      </c>
    </row>
    <row r="1513" spans="1:3">
      <c r="A1513" s="10">
        <v>1510</v>
      </c>
      <c r="B1513" s="12">
        <f t="shared" si="23"/>
        <v>4.13698630136986</v>
      </c>
      <c r="C1513" s="12">
        <f>EXP(-r_free*B1513)</f>
        <v>0.88328303743746</v>
      </c>
    </row>
    <row r="1514" spans="1:3">
      <c r="A1514" s="4">
        <v>1511</v>
      </c>
      <c r="B1514" s="6">
        <f t="shared" si="23"/>
        <v>4.13972602739726</v>
      </c>
      <c r="C1514" s="6">
        <f>EXP(-r_free*B1514)</f>
        <v>0.883210441815066</v>
      </c>
    </row>
    <row r="1515" spans="1:3">
      <c r="A1515" s="10">
        <v>1512</v>
      </c>
      <c r="B1515" s="12">
        <f t="shared" si="23"/>
        <v>4.14246575342466</v>
      </c>
      <c r="C1515" s="12">
        <f>EXP(-r_free*B1515)</f>
        <v>0.88313785215919</v>
      </c>
    </row>
    <row r="1516" spans="1:3">
      <c r="A1516" s="4">
        <v>1513</v>
      </c>
      <c r="B1516" s="6">
        <f t="shared" si="23"/>
        <v>4.14520547945205</v>
      </c>
      <c r="C1516" s="6">
        <f>EXP(-r_free*B1516)</f>
        <v>0.883065268469342</v>
      </c>
    </row>
    <row r="1517" spans="1:3">
      <c r="A1517" s="10">
        <v>1514</v>
      </c>
      <c r="B1517" s="12">
        <f t="shared" si="23"/>
        <v>4.14794520547945</v>
      </c>
      <c r="C1517" s="12">
        <f>EXP(-r_free*B1517)</f>
        <v>0.882992690745032</v>
      </c>
    </row>
    <row r="1518" spans="1:3">
      <c r="A1518" s="4">
        <v>1515</v>
      </c>
      <c r="B1518" s="6">
        <f t="shared" si="23"/>
        <v>4.15068493150685</v>
      </c>
      <c r="C1518" s="6">
        <f>EXP(-r_free*B1518)</f>
        <v>0.882920118985769</v>
      </c>
    </row>
    <row r="1519" spans="1:3">
      <c r="A1519" s="10">
        <v>1516</v>
      </c>
      <c r="B1519" s="12">
        <f t="shared" si="23"/>
        <v>4.15342465753425</v>
      </c>
      <c r="C1519" s="12">
        <f>EXP(-r_free*B1519)</f>
        <v>0.882847553191063</v>
      </c>
    </row>
    <row r="1520" spans="1:3">
      <c r="A1520" s="4">
        <v>1517</v>
      </c>
      <c r="B1520" s="6">
        <f t="shared" si="23"/>
        <v>4.15616438356164</v>
      </c>
      <c r="C1520" s="6">
        <f>EXP(-r_free*B1520)</f>
        <v>0.882774993360423</v>
      </c>
    </row>
    <row r="1521" spans="1:3">
      <c r="A1521" s="10">
        <v>1518</v>
      </c>
      <c r="B1521" s="12">
        <f t="shared" si="23"/>
        <v>4.15890410958904</v>
      </c>
      <c r="C1521" s="12">
        <f>EXP(-r_free*B1521)</f>
        <v>0.882702439493361</v>
      </c>
    </row>
    <row r="1522" spans="1:3">
      <c r="A1522" s="4">
        <v>1519</v>
      </c>
      <c r="B1522" s="6">
        <f t="shared" si="23"/>
        <v>4.16164383561644</v>
      </c>
      <c r="C1522" s="6">
        <f>EXP(-r_free*B1522)</f>
        <v>0.882629891589384</v>
      </c>
    </row>
    <row r="1523" spans="1:3">
      <c r="A1523" s="10">
        <v>1520</v>
      </c>
      <c r="B1523" s="12">
        <f t="shared" si="23"/>
        <v>4.16438356164384</v>
      </c>
      <c r="C1523" s="12">
        <f>EXP(-r_free*B1523)</f>
        <v>0.882557349648004</v>
      </c>
    </row>
    <row r="1524" spans="1:3">
      <c r="A1524" s="4">
        <v>1521</v>
      </c>
      <c r="B1524" s="6">
        <f t="shared" si="23"/>
        <v>4.16712328767123</v>
      </c>
      <c r="C1524" s="6">
        <f>EXP(-r_free*B1524)</f>
        <v>0.882484813668731</v>
      </c>
    </row>
    <row r="1525" spans="1:3">
      <c r="A1525" s="10">
        <v>1522</v>
      </c>
      <c r="B1525" s="12">
        <f t="shared" si="23"/>
        <v>4.16986301369863</v>
      </c>
      <c r="C1525" s="12">
        <f>EXP(-r_free*B1525)</f>
        <v>0.882412283651074</v>
      </c>
    </row>
    <row r="1526" spans="1:3">
      <c r="A1526" s="4">
        <v>1523</v>
      </c>
      <c r="B1526" s="6">
        <f t="shared" si="23"/>
        <v>4.17260273972603</v>
      </c>
      <c r="C1526" s="6">
        <f>EXP(-r_free*B1526)</f>
        <v>0.882339759594543</v>
      </c>
    </row>
    <row r="1527" spans="1:3">
      <c r="A1527" s="10">
        <v>1524</v>
      </c>
      <c r="B1527" s="12">
        <f t="shared" si="23"/>
        <v>4.17534246575342</v>
      </c>
      <c r="C1527" s="12">
        <f>EXP(-r_free*B1527)</f>
        <v>0.882267241498648</v>
      </c>
    </row>
    <row r="1528" spans="1:3">
      <c r="A1528" s="4">
        <v>1525</v>
      </c>
      <c r="B1528" s="6">
        <f t="shared" si="23"/>
        <v>4.17808219178082</v>
      </c>
      <c r="C1528" s="6">
        <f>EXP(-r_free*B1528)</f>
        <v>0.8821947293629</v>
      </c>
    </row>
    <row r="1529" spans="1:3">
      <c r="A1529" s="10">
        <v>1526</v>
      </c>
      <c r="B1529" s="12">
        <f t="shared" si="23"/>
        <v>4.18082191780822</v>
      </c>
      <c r="C1529" s="12">
        <f>EXP(-r_free*B1529)</f>
        <v>0.882122223186809</v>
      </c>
    </row>
    <row r="1530" spans="1:3">
      <c r="A1530" s="4">
        <v>1527</v>
      </c>
      <c r="B1530" s="6">
        <f t="shared" si="23"/>
        <v>4.18356164383562</v>
      </c>
      <c r="C1530" s="6">
        <f>EXP(-r_free*B1530)</f>
        <v>0.882049722969884</v>
      </c>
    </row>
    <row r="1531" spans="1:3">
      <c r="A1531" s="10">
        <v>1528</v>
      </c>
      <c r="B1531" s="12">
        <f t="shared" si="23"/>
        <v>4.18630136986301</v>
      </c>
      <c r="C1531" s="12">
        <f>EXP(-r_free*B1531)</f>
        <v>0.881977228711637</v>
      </c>
    </row>
    <row r="1532" spans="1:3">
      <c r="A1532" s="4">
        <v>1529</v>
      </c>
      <c r="B1532" s="6">
        <f t="shared" si="23"/>
        <v>4.18904109589041</v>
      </c>
      <c r="C1532" s="6">
        <f>EXP(-r_free*B1532)</f>
        <v>0.881904740411577</v>
      </c>
    </row>
    <row r="1533" spans="1:3">
      <c r="A1533" s="10">
        <v>1530</v>
      </c>
      <c r="B1533" s="12">
        <f t="shared" si="23"/>
        <v>4.19178082191781</v>
      </c>
      <c r="C1533" s="12">
        <f>EXP(-r_free*B1533)</f>
        <v>0.881832258069214</v>
      </c>
    </row>
    <row r="1534" spans="1:3">
      <c r="A1534" s="4">
        <v>1531</v>
      </c>
      <c r="B1534" s="6">
        <f t="shared" si="23"/>
        <v>4.19452054794521</v>
      </c>
      <c r="C1534" s="6">
        <f>EXP(-r_free*B1534)</f>
        <v>0.88175978168406</v>
      </c>
    </row>
    <row r="1535" spans="1:3">
      <c r="A1535" s="10">
        <v>1532</v>
      </c>
      <c r="B1535" s="12">
        <f t="shared" si="23"/>
        <v>4.1972602739726</v>
      </c>
      <c r="C1535" s="12">
        <f>EXP(-r_free*B1535)</f>
        <v>0.881687311255623</v>
      </c>
    </row>
    <row r="1536" spans="1:3">
      <c r="A1536" s="4">
        <v>1533</v>
      </c>
      <c r="B1536" s="6">
        <f t="shared" si="23"/>
        <v>4.2</v>
      </c>
      <c r="C1536" s="6">
        <f>EXP(-r_free*B1536)</f>
        <v>0.881614846783416</v>
      </c>
    </row>
    <row r="1537" spans="1:3">
      <c r="A1537" s="10">
        <v>1534</v>
      </c>
      <c r="B1537" s="12">
        <f t="shared" si="23"/>
        <v>4.2027397260274</v>
      </c>
      <c r="C1537" s="12">
        <f>EXP(-r_free*B1537)</f>
        <v>0.881542388266948</v>
      </c>
    </row>
    <row r="1538" spans="1:3">
      <c r="A1538" s="4">
        <v>1535</v>
      </c>
      <c r="B1538" s="6">
        <f t="shared" si="23"/>
        <v>4.20547945205479</v>
      </c>
      <c r="C1538" s="6">
        <f>EXP(-r_free*B1538)</f>
        <v>0.88146993570573</v>
      </c>
    </row>
    <row r="1539" spans="1:3">
      <c r="A1539" s="10">
        <v>1536</v>
      </c>
      <c r="B1539" s="12">
        <f t="shared" ref="B1539:B1602" si="24">A1539/365</f>
        <v>4.20821917808219</v>
      </c>
      <c r="C1539" s="12">
        <f>EXP(-r_free*B1539)</f>
        <v>0.881397489099272</v>
      </c>
    </row>
    <row r="1540" spans="1:3">
      <c r="A1540" s="4">
        <v>1537</v>
      </c>
      <c r="B1540" s="6">
        <f t="shared" si="24"/>
        <v>4.21095890410959</v>
      </c>
      <c r="C1540" s="6">
        <f>EXP(-r_free*B1540)</f>
        <v>0.881325048447084</v>
      </c>
    </row>
    <row r="1541" spans="1:3">
      <c r="A1541" s="10">
        <v>1538</v>
      </c>
      <c r="B1541" s="12">
        <f t="shared" si="24"/>
        <v>4.21369863013699</v>
      </c>
      <c r="C1541" s="12">
        <f>EXP(-r_free*B1541)</f>
        <v>0.881252613748679</v>
      </c>
    </row>
    <row r="1542" spans="1:3">
      <c r="A1542" s="4">
        <v>1539</v>
      </c>
      <c r="B1542" s="6">
        <f t="shared" si="24"/>
        <v>4.21643835616438</v>
      </c>
      <c r="C1542" s="6">
        <f>EXP(-r_free*B1542)</f>
        <v>0.881180185003565</v>
      </c>
    </row>
    <row r="1543" spans="1:3">
      <c r="A1543" s="10">
        <v>1540</v>
      </c>
      <c r="B1543" s="12">
        <f t="shared" si="24"/>
        <v>4.21917808219178</v>
      </c>
      <c r="C1543" s="12">
        <f>EXP(-r_free*B1543)</f>
        <v>0.881107762211255</v>
      </c>
    </row>
    <row r="1544" spans="1:3">
      <c r="A1544" s="4">
        <v>1541</v>
      </c>
      <c r="B1544" s="6">
        <f t="shared" si="24"/>
        <v>4.22191780821918</v>
      </c>
      <c r="C1544" s="6">
        <f>EXP(-r_free*B1544)</f>
        <v>0.881035345371258</v>
      </c>
    </row>
    <row r="1545" spans="1:3">
      <c r="A1545" s="10">
        <v>1542</v>
      </c>
      <c r="B1545" s="12">
        <f t="shared" si="24"/>
        <v>4.22465753424658</v>
      </c>
      <c r="C1545" s="12">
        <f>EXP(-r_free*B1545)</f>
        <v>0.880962934483085</v>
      </c>
    </row>
    <row r="1546" spans="1:3">
      <c r="A1546" s="4">
        <v>1543</v>
      </c>
      <c r="B1546" s="6">
        <f t="shared" si="24"/>
        <v>4.22739726027397</v>
      </c>
      <c r="C1546" s="6">
        <f>EXP(-r_free*B1546)</f>
        <v>0.880890529546248</v>
      </c>
    </row>
    <row r="1547" spans="1:3">
      <c r="A1547" s="10">
        <v>1544</v>
      </c>
      <c r="B1547" s="12">
        <f t="shared" si="24"/>
        <v>4.23013698630137</v>
      </c>
      <c r="C1547" s="12">
        <f>EXP(-r_free*B1547)</f>
        <v>0.880818130560257</v>
      </c>
    </row>
    <row r="1548" spans="1:3">
      <c r="A1548" s="4">
        <v>1545</v>
      </c>
      <c r="B1548" s="6">
        <f t="shared" si="24"/>
        <v>4.23287671232877</v>
      </c>
      <c r="C1548" s="6">
        <f>EXP(-r_free*B1548)</f>
        <v>0.880745737524623</v>
      </c>
    </row>
    <row r="1549" spans="1:3">
      <c r="A1549" s="10">
        <v>1546</v>
      </c>
      <c r="B1549" s="12">
        <f t="shared" si="24"/>
        <v>4.23561643835616</v>
      </c>
      <c r="C1549" s="12">
        <f>EXP(-r_free*B1549)</f>
        <v>0.880673350438857</v>
      </c>
    </row>
    <row r="1550" spans="1:3">
      <c r="A1550" s="4">
        <v>1547</v>
      </c>
      <c r="B1550" s="6">
        <f t="shared" si="24"/>
        <v>4.23835616438356</v>
      </c>
      <c r="C1550" s="6">
        <f>EXP(-r_free*B1550)</f>
        <v>0.88060096930247</v>
      </c>
    </row>
    <row r="1551" spans="1:3">
      <c r="A1551" s="10">
        <v>1548</v>
      </c>
      <c r="B1551" s="12">
        <f t="shared" si="24"/>
        <v>4.24109589041096</v>
      </c>
      <c r="C1551" s="12">
        <f>EXP(-r_free*B1551)</f>
        <v>0.880528594114973</v>
      </c>
    </row>
    <row r="1552" spans="1:3">
      <c r="A1552" s="4">
        <v>1549</v>
      </c>
      <c r="B1552" s="6">
        <f t="shared" si="24"/>
        <v>4.24383561643836</v>
      </c>
      <c r="C1552" s="6">
        <f>EXP(-r_free*B1552)</f>
        <v>0.880456224875878</v>
      </c>
    </row>
    <row r="1553" spans="1:4">
      <c r="A1553" s="10">
        <v>1550</v>
      </c>
      <c r="B1553" s="12">
        <f t="shared" si="24"/>
        <v>4.24657534246575</v>
      </c>
      <c r="C1553" s="12">
        <f>EXP(-r_free*B1553)</f>
        <v>0.880383861584694</v>
      </c>
    </row>
    <row r="1554" spans="1:4">
      <c r="A1554" s="4">
        <v>1551</v>
      </c>
      <c r="B1554" s="6">
        <f t="shared" si="24"/>
        <v>4.24931506849315</v>
      </c>
      <c r="C1554" s="6">
        <f>EXP(-r_free*B1554)</f>
        <v>0.880311504240934</v>
      </c>
      <c r="D1554" s="43" t="s">
        <v>51</v>
      </c>
    </row>
    <row r="1555" spans="1:4">
      <c r="A1555" s="10">
        <v>1552</v>
      </c>
      <c r="B1555" s="12">
        <f t="shared" si="24"/>
        <v>4.25205479452055</v>
      </c>
      <c r="C1555" s="12">
        <f>EXP(-r_free*B1555)</f>
        <v>0.880239152844108</v>
      </c>
    </row>
    <row r="1556" spans="1:4">
      <c r="A1556" s="4">
        <v>1553</v>
      </c>
      <c r="B1556" s="6">
        <f t="shared" si="24"/>
        <v>4.25479452054795</v>
      </c>
      <c r="C1556" s="6">
        <f>EXP(-r_free*B1556)</f>
        <v>0.880166807393728</v>
      </c>
    </row>
    <row r="1557" spans="1:4">
      <c r="A1557" s="10">
        <v>1554</v>
      </c>
      <c r="B1557" s="12">
        <f t="shared" si="24"/>
        <v>4.25753424657534</v>
      </c>
      <c r="C1557" s="12">
        <f>EXP(-r_free*B1557)</f>
        <v>0.880094467889305</v>
      </c>
    </row>
    <row r="1558" spans="1:4">
      <c r="A1558" s="4">
        <v>1555</v>
      </c>
      <c r="B1558" s="6">
        <f t="shared" si="24"/>
        <v>4.26027397260274</v>
      </c>
      <c r="C1558" s="6">
        <f>EXP(-r_free*B1558)</f>
        <v>0.88002213433035</v>
      </c>
    </row>
    <row r="1559" spans="1:4">
      <c r="A1559" s="10">
        <v>1556</v>
      </c>
      <c r="B1559" s="12">
        <f t="shared" si="24"/>
        <v>4.26301369863014</v>
      </c>
      <c r="C1559" s="12">
        <f>EXP(-r_free*B1559)</f>
        <v>0.879949806716375</v>
      </c>
    </row>
    <row r="1560" spans="1:4">
      <c r="A1560" s="4">
        <v>1557</v>
      </c>
      <c r="B1560" s="6">
        <f t="shared" si="24"/>
        <v>4.26575342465753</v>
      </c>
      <c r="C1560" s="6">
        <f>EXP(-r_free*B1560)</f>
        <v>0.879877485046892</v>
      </c>
    </row>
    <row r="1561" spans="1:4">
      <c r="A1561" s="10">
        <v>1558</v>
      </c>
      <c r="B1561" s="12">
        <f t="shared" si="24"/>
        <v>4.26849315068493</v>
      </c>
      <c r="C1561" s="12">
        <f>EXP(-r_free*B1561)</f>
        <v>0.87980516932141</v>
      </c>
    </row>
    <row r="1562" spans="1:4">
      <c r="A1562" s="4">
        <v>1559</v>
      </c>
      <c r="B1562" s="6">
        <f t="shared" si="24"/>
        <v>4.27123287671233</v>
      </c>
      <c r="C1562" s="6">
        <f>EXP(-r_free*B1562)</f>
        <v>0.879732859539443</v>
      </c>
    </row>
    <row r="1563" spans="1:4">
      <c r="A1563" s="10">
        <v>1560</v>
      </c>
      <c r="B1563" s="12">
        <f t="shared" si="24"/>
        <v>4.27397260273973</v>
      </c>
      <c r="C1563" s="12">
        <f>EXP(-r_free*B1563)</f>
        <v>0.879660555700501</v>
      </c>
    </row>
    <row r="1564" spans="1:4">
      <c r="A1564" s="4">
        <v>1561</v>
      </c>
      <c r="B1564" s="6">
        <f t="shared" si="24"/>
        <v>4.27671232876712</v>
      </c>
      <c r="C1564" s="6">
        <f>EXP(-r_free*B1564)</f>
        <v>0.879588257804097</v>
      </c>
    </row>
    <row r="1565" spans="1:4">
      <c r="A1565" s="10">
        <v>1562</v>
      </c>
      <c r="B1565" s="12">
        <f t="shared" si="24"/>
        <v>4.27945205479452</v>
      </c>
      <c r="C1565" s="12">
        <f>EXP(-r_free*B1565)</f>
        <v>0.87951596584974</v>
      </c>
    </row>
    <row r="1566" spans="1:4">
      <c r="A1566" s="4">
        <v>1563</v>
      </c>
      <c r="B1566" s="6">
        <f t="shared" si="24"/>
        <v>4.28219178082192</v>
      </c>
      <c r="C1566" s="6">
        <f>EXP(-r_free*B1566)</f>
        <v>0.879443679836945</v>
      </c>
    </row>
    <row r="1567" spans="1:4">
      <c r="A1567" s="10">
        <v>1564</v>
      </c>
      <c r="B1567" s="12">
        <f t="shared" si="24"/>
        <v>4.28493150684931</v>
      </c>
      <c r="C1567" s="12">
        <f>EXP(-r_free*B1567)</f>
        <v>0.879371399765221</v>
      </c>
    </row>
    <row r="1568" spans="1:4">
      <c r="A1568" s="4">
        <v>1565</v>
      </c>
      <c r="B1568" s="6">
        <f t="shared" si="24"/>
        <v>4.28767123287671</v>
      </c>
      <c r="C1568" s="6">
        <f>EXP(-r_free*B1568)</f>
        <v>0.879299125634081</v>
      </c>
    </row>
    <row r="1569" spans="1:3">
      <c r="A1569" s="10">
        <v>1566</v>
      </c>
      <c r="B1569" s="12">
        <f t="shared" si="24"/>
        <v>4.29041095890411</v>
      </c>
      <c r="C1569" s="12">
        <f>EXP(-r_free*B1569)</f>
        <v>0.879226857443036</v>
      </c>
    </row>
    <row r="1570" spans="1:3">
      <c r="A1570" s="4">
        <v>1567</v>
      </c>
      <c r="B1570" s="6">
        <f t="shared" si="24"/>
        <v>4.29315068493151</v>
      </c>
      <c r="C1570" s="6">
        <f>EXP(-r_free*B1570)</f>
        <v>0.879154595191599</v>
      </c>
    </row>
    <row r="1571" spans="1:3">
      <c r="A1571" s="10">
        <v>1568</v>
      </c>
      <c r="B1571" s="12">
        <f t="shared" si="24"/>
        <v>4.2958904109589</v>
      </c>
      <c r="C1571" s="12">
        <f>EXP(-r_free*B1571)</f>
        <v>0.87908233887928</v>
      </c>
    </row>
    <row r="1572" spans="1:3">
      <c r="A1572" s="4">
        <v>1569</v>
      </c>
      <c r="B1572" s="6">
        <f t="shared" si="24"/>
        <v>4.2986301369863</v>
      </c>
      <c r="C1572" s="6">
        <f>EXP(-r_free*B1572)</f>
        <v>0.879010088505593</v>
      </c>
    </row>
    <row r="1573" spans="1:3">
      <c r="A1573" s="10">
        <v>1570</v>
      </c>
      <c r="B1573" s="12">
        <f t="shared" si="24"/>
        <v>4.3013698630137</v>
      </c>
      <c r="C1573" s="12">
        <f>EXP(-r_free*B1573)</f>
        <v>0.878937844070048</v>
      </c>
    </row>
    <row r="1574" spans="1:3">
      <c r="A1574" s="4">
        <v>1571</v>
      </c>
      <c r="B1574" s="6">
        <f t="shared" si="24"/>
        <v>4.3041095890411</v>
      </c>
      <c r="C1574" s="6">
        <f>EXP(-r_free*B1574)</f>
        <v>0.878865605572158</v>
      </c>
    </row>
    <row r="1575" spans="1:3">
      <c r="A1575" s="10">
        <v>1572</v>
      </c>
      <c r="B1575" s="12">
        <f t="shared" si="24"/>
        <v>4.30684931506849</v>
      </c>
      <c r="C1575" s="12">
        <f>EXP(-r_free*B1575)</f>
        <v>0.878793373011435</v>
      </c>
    </row>
    <row r="1576" spans="1:3">
      <c r="A1576" s="4">
        <v>1573</v>
      </c>
      <c r="B1576" s="6">
        <f t="shared" si="24"/>
        <v>4.30958904109589</v>
      </c>
      <c r="C1576" s="6">
        <f>EXP(-r_free*B1576)</f>
        <v>0.878721146387391</v>
      </c>
    </row>
    <row r="1577" spans="1:3">
      <c r="A1577" s="10">
        <v>1574</v>
      </c>
      <c r="B1577" s="12">
        <f t="shared" si="24"/>
        <v>4.31232876712329</v>
      </c>
      <c r="C1577" s="12">
        <f>EXP(-r_free*B1577)</f>
        <v>0.878648925699538</v>
      </c>
    </row>
    <row r="1578" spans="1:3">
      <c r="A1578" s="4">
        <v>1575</v>
      </c>
      <c r="B1578" s="6">
        <f t="shared" si="24"/>
        <v>4.31506849315068</v>
      </c>
      <c r="C1578" s="6">
        <f>EXP(-r_free*B1578)</f>
        <v>0.878576710947387</v>
      </c>
    </row>
    <row r="1579" spans="1:3">
      <c r="A1579" s="10">
        <v>1576</v>
      </c>
      <c r="B1579" s="12">
        <f t="shared" si="24"/>
        <v>4.31780821917808</v>
      </c>
      <c r="C1579" s="12">
        <f>EXP(-r_free*B1579)</f>
        <v>0.878504502130452</v>
      </c>
    </row>
    <row r="1580" spans="1:3">
      <c r="A1580" s="4">
        <v>1577</v>
      </c>
      <c r="B1580" s="6">
        <f t="shared" si="24"/>
        <v>4.32054794520548</v>
      </c>
      <c r="C1580" s="6">
        <f>EXP(-r_free*B1580)</f>
        <v>0.878432299248245</v>
      </c>
    </row>
    <row r="1581" spans="1:3">
      <c r="A1581" s="10">
        <v>1578</v>
      </c>
      <c r="B1581" s="12">
        <f t="shared" si="24"/>
        <v>4.32328767123288</v>
      </c>
      <c r="C1581" s="12">
        <f>EXP(-r_free*B1581)</f>
        <v>0.878360102300276</v>
      </c>
    </row>
    <row r="1582" spans="1:3">
      <c r="A1582" s="4">
        <v>1579</v>
      </c>
      <c r="B1582" s="6">
        <f t="shared" si="24"/>
        <v>4.32602739726027</v>
      </c>
      <c r="C1582" s="6">
        <f>EXP(-r_free*B1582)</f>
        <v>0.87828791128606</v>
      </c>
    </row>
    <row r="1583" spans="1:3">
      <c r="A1583" s="10">
        <v>1580</v>
      </c>
      <c r="B1583" s="12">
        <f t="shared" si="24"/>
        <v>4.32876712328767</v>
      </c>
      <c r="C1583" s="12">
        <f>EXP(-r_free*B1583)</f>
        <v>0.878215726205108</v>
      </c>
    </row>
    <row r="1584" spans="1:3">
      <c r="A1584" s="4">
        <v>1581</v>
      </c>
      <c r="B1584" s="6">
        <f t="shared" si="24"/>
        <v>4.33150684931507</v>
      </c>
      <c r="C1584" s="6">
        <f>EXP(-r_free*B1584)</f>
        <v>0.878143547056932</v>
      </c>
    </row>
    <row r="1585" spans="1:3">
      <c r="A1585" s="10">
        <v>1582</v>
      </c>
      <c r="B1585" s="12">
        <f t="shared" si="24"/>
        <v>4.33424657534247</v>
      </c>
      <c r="C1585" s="12">
        <f>EXP(-r_free*B1585)</f>
        <v>0.878071373841046</v>
      </c>
    </row>
    <row r="1586" spans="1:3">
      <c r="A1586" s="4">
        <v>1583</v>
      </c>
      <c r="B1586" s="6">
        <f t="shared" si="24"/>
        <v>4.33698630136986</v>
      </c>
      <c r="C1586" s="6">
        <f>EXP(-r_free*B1586)</f>
        <v>0.87799920655696</v>
      </c>
    </row>
    <row r="1587" spans="1:3">
      <c r="A1587" s="10">
        <v>1584</v>
      </c>
      <c r="B1587" s="12">
        <f t="shared" si="24"/>
        <v>4.33972602739726</v>
      </c>
      <c r="C1587" s="12">
        <f>EXP(-r_free*B1587)</f>
        <v>0.877927045204189</v>
      </c>
    </row>
    <row r="1588" spans="1:3">
      <c r="A1588" s="4">
        <v>1585</v>
      </c>
      <c r="B1588" s="6">
        <f t="shared" si="24"/>
        <v>4.34246575342466</v>
      </c>
      <c r="C1588" s="6">
        <f>EXP(-r_free*B1588)</f>
        <v>0.877854889782244</v>
      </c>
    </row>
    <row r="1589" spans="1:3">
      <c r="A1589" s="10">
        <v>1586</v>
      </c>
      <c r="B1589" s="12">
        <f t="shared" si="24"/>
        <v>4.34520547945205</v>
      </c>
      <c r="C1589" s="12">
        <f>EXP(-r_free*B1589)</f>
        <v>0.877782740290637</v>
      </c>
    </row>
    <row r="1590" spans="1:3">
      <c r="A1590" s="4">
        <v>1587</v>
      </c>
      <c r="B1590" s="6">
        <f t="shared" si="24"/>
        <v>4.34794520547945</v>
      </c>
      <c r="C1590" s="6">
        <f>EXP(-r_free*B1590)</f>
        <v>0.877710596728883</v>
      </c>
    </row>
    <row r="1591" spans="1:3">
      <c r="A1591" s="10">
        <v>1588</v>
      </c>
      <c r="B1591" s="12">
        <f t="shared" si="24"/>
        <v>4.35068493150685</v>
      </c>
      <c r="C1591" s="12">
        <f>EXP(-r_free*B1591)</f>
        <v>0.877638459096492</v>
      </c>
    </row>
    <row r="1592" spans="1:3">
      <c r="A1592" s="4">
        <v>1589</v>
      </c>
      <c r="B1592" s="6">
        <f t="shared" si="24"/>
        <v>4.35342465753425</v>
      </c>
      <c r="C1592" s="6">
        <f>EXP(-r_free*B1592)</f>
        <v>0.877566327392978</v>
      </c>
    </row>
    <row r="1593" spans="1:3">
      <c r="A1593" s="10">
        <v>1590</v>
      </c>
      <c r="B1593" s="12">
        <f t="shared" si="24"/>
        <v>4.35616438356164</v>
      </c>
      <c r="C1593" s="12">
        <f>EXP(-r_free*B1593)</f>
        <v>0.877494201617854</v>
      </c>
    </row>
    <row r="1594" spans="1:3">
      <c r="A1594" s="4">
        <v>1591</v>
      </c>
      <c r="B1594" s="6">
        <f t="shared" si="24"/>
        <v>4.35890410958904</v>
      </c>
      <c r="C1594" s="6">
        <f>EXP(-r_free*B1594)</f>
        <v>0.877422081770632</v>
      </c>
    </row>
    <row r="1595" spans="1:3">
      <c r="A1595" s="10">
        <v>1592</v>
      </c>
      <c r="B1595" s="12">
        <f t="shared" si="24"/>
        <v>4.36164383561644</v>
      </c>
      <c r="C1595" s="12">
        <f>EXP(-r_free*B1595)</f>
        <v>0.877349967850825</v>
      </c>
    </row>
    <row r="1596" spans="1:3">
      <c r="A1596" s="4">
        <v>1593</v>
      </c>
      <c r="B1596" s="6">
        <f t="shared" si="24"/>
        <v>4.36438356164384</v>
      </c>
      <c r="C1596" s="6">
        <f>EXP(-r_free*B1596)</f>
        <v>0.877277859857946</v>
      </c>
    </row>
    <row r="1597" spans="1:3">
      <c r="A1597" s="10">
        <v>1594</v>
      </c>
      <c r="B1597" s="12">
        <f t="shared" si="24"/>
        <v>4.36712328767123</v>
      </c>
      <c r="C1597" s="12">
        <f>EXP(-r_free*B1597)</f>
        <v>0.877205757791508</v>
      </c>
    </row>
    <row r="1598" spans="1:3">
      <c r="A1598" s="4">
        <v>1595</v>
      </c>
      <c r="B1598" s="6">
        <f t="shared" si="24"/>
        <v>4.36986301369863</v>
      </c>
      <c r="C1598" s="6">
        <f>EXP(-r_free*B1598)</f>
        <v>0.877133661651024</v>
      </c>
    </row>
    <row r="1599" spans="1:3">
      <c r="A1599" s="10">
        <v>1596</v>
      </c>
      <c r="B1599" s="12">
        <f t="shared" si="24"/>
        <v>4.37260273972603</v>
      </c>
      <c r="C1599" s="12">
        <f>EXP(-r_free*B1599)</f>
        <v>0.877061571436006</v>
      </c>
    </row>
    <row r="1600" spans="1:3">
      <c r="A1600" s="4">
        <v>1597</v>
      </c>
      <c r="B1600" s="6">
        <f t="shared" si="24"/>
        <v>4.37534246575343</v>
      </c>
      <c r="C1600" s="6">
        <f>EXP(-r_free*B1600)</f>
        <v>0.876989487145968</v>
      </c>
    </row>
    <row r="1601" spans="1:3">
      <c r="A1601" s="10">
        <v>1598</v>
      </c>
      <c r="B1601" s="12">
        <f t="shared" si="24"/>
        <v>4.37808219178082</v>
      </c>
      <c r="C1601" s="12">
        <f>EXP(-r_free*B1601)</f>
        <v>0.876917408780422</v>
      </c>
    </row>
    <row r="1602" spans="1:3">
      <c r="A1602" s="4">
        <v>1599</v>
      </c>
      <c r="B1602" s="6">
        <f t="shared" si="24"/>
        <v>4.38082191780822</v>
      </c>
      <c r="C1602" s="6">
        <f>EXP(-r_free*B1602)</f>
        <v>0.876845336338883</v>
      </c>
    </row>
    <row r="1603" spans="1:3">
      <c r="A1603" s="10">
        <v>1600</v>
      </c>
      <c r="B1603" s="12">
        <f t="shared" ref="B1603:B1666" si="25">A1603/365</f>
        <v>4.38356164383562</v>
      </c>
      <c r="C1603" s="12">
        <f>EXP(-r_free*B1603)</f>
        <v>0.876773269820862</v>
      </c>
    </row>
    <row r="1604" spans="1:3">
      <c r="A1604" s="4">
        <v>1601</v>
      </c>
      <c r="B1604" s="6">
        <f t="shared" si="25"/>
        <v>4.38630136986301</v>
      </c>
      <c r="C1604" s="6">
        <f>EXP(-r_free*B1604)</f>
        <v>0.876701209225873</v>
      </c>
    </row>
    <row r="1605" spans="1:3">
      <c r="A1605" s="10">
        <v>1602</v>
      </c>
      <c r="B1605" s="12">
        <f t="shared" si="25"/>
        <v>4.38904109589041</v>
      </c>
      <c r="C1605" s="12">
        <f>EXP(-r_free*B1605)</f>
        <v>0.87662915455343</v>
      </c>
    </row>
    <row r="1606" spans="1:3">
      <c r="A1606" s="4">
        <v>1603</v>
      </c>
      <c r="B1606" s="6">
        <f t="shared" si="25"/>
        <v>4.39178082191781</v>
      </c>
      <c r="C1606" s="6">
        <f>EXP(-r_free*B1606)</f>
        <v>0.876557105803045</v>
      </c>
    </row>
    <row r="1607" spans="1:3">
      <c r="A1607" s="10">
        <v>1604</v>
      </c>
      <c r="B1607" s="12">
        <f t="shared" si="25"/>
        <v>4.39452054794521</v>
      </c>
      <c r="C1607" s="12">
        <f>EXP(-r_free*B1607)</f>
        <v>0.876485062974231</v>
      </c>
    </row>
    <row r="1608" spans="1:3">
      <c r="A1608" s="4">
        <v>1605</v>
      </c>
      <c r="B1608" s="6">
        <f t="shared" si="25"/>
        <v>4.3972602739726</v>
      </c>
      <c r="C1608" s="6">
        <f>EXP(-r_free*B1608)</f>
        <v>0.876413026066503</v>
      </c>
    </row>
    <row r="1609" spans="1:3">
      <c r="A1609" s="10">
        <v>1606</v>
      </c>
      <c r="B1609" s="12">
        <f t="shared" si="25"/>
        <v>4.4</v>
      </c>
      <c r="C1609" s="12">
        <f>EXP(-r_free*B1609)</f>
        <v>0.876340995079373</v>
      </c>
    </row>
    <row r="1610" spans="1:3">
      <c r="A1610" s="4">
        <v>1607</v>
      </c>
      <c r="B1610" s="6">
        <f t="shared" si="25"/>
        <v>4.4027397260274</v>
      </c>
      <c r="C1610" s="6">
        <f>EXP(-r_free*B1610)</f>
        <v>0.876268970012355</v>
      </c>
    </row>
    <row r="1611" spans="1:3">
      <c r="A1611" s="10">
        <v>1608</v>
      </c>
      <c r="B1611" s="12">
        <f t="shared" si="25"/>
        <v>4.40547945205479</v>
      </c>
      <c r="C1611" s="12">
        <f>EXP(-r_free*B1611)</f>
        <v>0.876196950864963</v>
      </c>
    </row>
    <row r="1612" spans="1:3">
      <c r="A1612" s="4">
        <v>1609</v>
      </c>
      <c r="B1612" s="6">
        <f t="shared" si="25"/>
        <v>4.40821917808219</v>
      </c>
      <c r="C1612" s="6">
        <f>EXP(-r_free*B1612)</f>
        <v>0.876124937636709</v>
      </c>
    </row>
    <row r="1613" spans="1:3">
      <c r="A1613" s="10">
        <v>1610</v>
      </c>
      <c r="B1613" s="12">
        <f t="shared" si="25"/>
        <v>4.41095890410959</v>
      </c>
      <c r="C1613" s="12">
        <f>EXP(-r_free*B1613)</f>
        <v>0.876052930327107</v>
      </c>
    </row>
    <row r="1614" spans="1:3">
      <c r="A1614" s="4">
        <v>1611</v>
      </c>
      <c r="B1614" s="6">
        <f t="shared" si="25"/>
        <v>4.41369863013699</v>
      </c>
      <c r="C1614" s="6">
        <f>EXP(-r_free*B1614)</f>
        <v>0.875980928935671</v>
      </c>
    </row>
    <row r="1615" spans="1:3">
      <c r="A1615" s="10">
        <v>1612</v>
      </c>
      <c r="B1615" s="12">
        <f t="shared" si="25"/>
        <v>4.41643835616438</v>
      </c>
      <c r="C1615" s="12">
        <f>EXP(-r_free*B1615)</f>
        <v>0.875908933461914</v>
      </c>
    </row>
    <row r="1616" spans="1:3">
      <c r="A1616" s="4">
        <v>1613</v>
      </c>
      <c r="B1616" s="6">
        <f t="shared" si="25"/>
        <v>4.41917808219178</v>
      </c>
      <c r="C1616" s="6">
        <f>EXP(-r_free*B1616)</f>
        <v>0.87583694390535</v>
      </c>
    </row>
    <row r="1617" spans="1:3">
      <c r="A1617" s="10">
        <v>1614</v>
      </c>
      <c r="B1617" s="12">
        <f t="shared" si="25"/>
        <v>4.42191780821918</v>
      </c>
      <c r="C1617" s="12">
        <f>EXP(-r_free*B1617)</f>
        <v>0.875764960265493</v>
      </c>
    </row>
    <row r="1618" spans="1:3">
      <c r="A1618" s="4">
        <v>1615</v>
      </c>
      <c r="B1618" s="6">
        <f t="shared" si="25"/>
        <v>4.42465753424658</v>
      </c>
      <c r="C1618" s="6">
        <f>EXP(-r_free*B1618)</f>
        <v>0.875692982541857</v>
      </c>
    </row>
    <row r="1619" spans="1:3">
      <c r="A1619" s="10">
        <v>1616</v>
      </c>
      <c r="B1619" s="12">
        <f t="shared" si="25"/>
        <v>4.42739726027397</v>
      </c>
      <c r="C1619" s="12">
        <f>EXP(-r_free*B1619)</f>
        <v>0.875621010733955</v>
      </c>
    </row>
    <row r="1620" spans="1:3">
      <c r="A1620" s="4">
        <v>1617</v>
      </c>
      <c r="B1620" s="6">
        <f t="shared" si="25"/>
        <v>4.43013698630137</v>
      </c>
      <c r="C1620" s="6">
        <f>EXP(-r_free*B1620)</f>
        <v>0.8755490448413</v>
      </c>
    </row>
    <row r="1621" spans="1:3">
      <c r="A1621" s="10">
        <v>1618</v>
      </c>
      <c r="B1621" s="12">
        <f t="shared" si="25"/>
        <v>4.43287671232877</v>
      </c>
      <c r="C1621" s="12">
        <f>EXP(-r_free*B1621)</f>
        <v>0.875477084863408</v>
      </c>
    </row>
    <row r="1622" spans="1:3">
      <c r="A1622" s="4">
        <v>1619</v>
      </c>
      <c r="B1622" s="6">
        <f t="shared" si="25"/>
        <v>4.43561643835616</v>
      </c>
      <c r="C1622" s="6">
        <f>EXP(-r_free*B1622)</f>
        <v>0.875405130799791</v>
      </c>
    </row>
    <row r="1623" spans="1:3">
      <c r="A1623" s="10">
        <v>1620</v>
      </c>
      <c r="B1623" s="12">
        <f t="shared" si="25"/>
        <v>4.43835616438356</v>
      </c>
      <c r="C1623" s="12">
        <f>EXP(-r_free*B1623)</f>
        <v>0.875333182649964</v>
      </c>
    </row>
    <row r="1624" spans="1:3">
      <c r="A1624" s="4">
        <v>1621</v>
      </c>
      <c r="B1624" s="6">
        <f t="shared" si="25"/>
        <v>4.44109589041096</v>
      </c>
      <c r="C1624" s="6">
        <f>EXP(-r_free*B1624)</f>
        <v>0.87526124041344</v>
      </c>
    </row>
    <row r="1625" spans="1:3">
      <c r="A1625" s="10">
        <v>1622</v>
      </c>
      <c r="B1625" s="12">
        <f t="shared" si="25"/>
        <v>4.44383561643836</v>
      </c>
      <c r="C1625" s="12">
        <f>EXP(-r_free*B1625)</f>
        <v>0.875189304089734</v>
      </c>
    </row>
    <row r="1626" spans="1:3">
      <c r="A1626" s="4">
        <v>1623</v>
      </c>
      <c r="B1626" s="6">
        <f t="shared" si="25"/>
        <v>4.44657534246575</v>
      </c>
      <c r="C1626" s="6">
        <f>EXP(-r_free*B1626)</f>
        <v>0.875117373678359</v>
      </c>
    </row>
    <row r="1627" spans="1:3">
      <c r="A1627" s="10">
        <v>1624</v>
      </c>
      <c r="B1627" s="12">
        <f t="shared" si="25"/>
        <v>4.44931506849315</v>
      </c>
      <c r="C1627" s="12">
        <f>EXP(-r_free*B1627)</f>
        <v>0.87504544917883</v>
      </c>
    </row>
    <row r="1628" spans="1:3">
      <c r="A1628" s="4">
        <v>1625</v>
      </c>
      <c r="B1628" s="6">
        <f t="shared" si="25"/>
        <v>4.45205479452055</v>
      </c>
      <c r="C1628" s="6">
        <f>EXP(-r_free*B1628)</f>
        <v>0.874973530590661</v>
      </c>
    </row>
    <row r="1629" spans="1:3">
      <c r="A1629" s="10">
        <v>1626</v>
      </c>
      <c r="B1629" s="12">
        <f t="shared" si="25"/>
        <v>4.45479452054794</v>
      </c>
      <c r="C1629" s="12">
        <f>EXP(-r_free*B1629)</f>
        <v>0.874901617913366</v>
      </c>
    </row>
    <row r="1630" spans="1:3">
      <c r="A1630" s="4">
        <v>1627</v>
      </c>
      <c r="B1630" s="6">
        <f t="shared" si="25"/>
        <v>4.45753424657534</v>
      </c>
      <c r="C1630" s="6">
        <f>EXP(-r_free*B1630)</f>
        <v>0.874829711146458</v>
      </c>
    </row>
    <row r="1631" spans="1:3">
      <c r="A1631" s="10">
        <v>1628</v>
      </c>
      <c r="B1631" s="12">
        <f t="shared" si="25"/>
        <v>4.46027397260274</v>
      </c>
      <c r="C1631" s="12">
        <f>EXP(-r_free*B1631)</f>
        <v>0.874757810289453</v>
      </c>
    </row>
    <row r="1632" spans="1:3">
      <c r="A1632" s="4">
        <v>1629</v>
      </c>
      <c r="B1632" s="6">
        <f t="shared" si="25"/>
        <v>4.46301369863014</v>
      </c>
      <c r="C1632" s="6">
        <f>EXP(-r_free*B1632)</f>
        <v>0.874685915341865</v>
      </c>
    </row>
    <row r="1633" spans="1:4">
      <c r="A1633" s="10">
        <v>1630</v>
      </c>
      <c r="B1633" s="12">
        <f t="shared" si="25"/>
        <v>4.46575342465753</v>
      </c>
      <c r="C1633" s="12">
        <f>EXP(-r_free*B1633)</f>
        <v>0.874614026303208</v>
      </c>
    </row>
    <row r="1634" spans="1:4">
      <c r="A1634" s="4">
        <v>1631</v>
      </c>
      <c r="B1634" s="6">
        <f t="shared" si="25"/>
        <v>4.46849315068493</v>
      </c>
      <c r="C1634" s="6">
        <f>EXP(-r_free*B1634)</f>
        <v>0.874542143172996</v>
      </c>
    </row>
    <row r="1635" spans="1:4">
      <c r="A1635" s="10">
        <v>1632</v>
      </c>
      <c r="B1635" s="12">
        <f t="shared" si="25"/>
        <v>4.47123287671233</v>
      </c>
      <c r="C1635" s="12">
        <f>EXP(-r_free*B1635)</f>
        <v>0.874470265950744</v>
      </c>
    </row>
    <row r="1636" spans="1:4">
      <c r="A1636" s="4">
        <v>1633</v>
      </c>
      <c r="B1636" s="6">
        <f t="shared" si="25"/>
        <v>4.47397260273973</v>
      </c>
      <c r="C1636" s="6">
        <f>EXP(-r_free*B1636)</f>
        <v>0.874398394635966</v>
      </c>
    </row>
    <row r="1637" spans="1:4">
      <c r="A1637" s="10">
        <v>1634</v>
      </c>
      <c r="B1637" s="12">
        <f t="shared" si="25"/>
        <v>4.47671232876712</v>
      </c>
      <c r="C1637" s="12">
        <f>EXP(-r_free*B1637)</f>
        <v>0.874326529228176</v>
      </c>
    </row>
    <row r="1638" spans="1:4">
      <c r="A1638" s="4">
        <v>1635</v>
      </c>
      <c r="B1638" s="6">
        <f t="shared" si="25"/>
        <v>4.47945205479452</v>
      </c>
      <c r="C1638" s="6">
        <f>EXP(-r_free*B1638)</f>
        <v>0.874254669726889</v>
      </c>
    </row>
    <row r="1639" spans="1:4">
      <c r="A1639" s="10">
        <v>1636</v>
      </c>
      <c r="B1639" s="12">
        <f t="shared" si="25"/>
        <v>4.48219178082192</v>
      </c>
      <c r="C1639" s="12">
        <f>EXP(-r_free*B1639)</f>
        <v>0.874182816131621</v>
      </c>
    </row>
    <row r="1640" spans="1:4">
      <c r="A1640" s="4">
        <v>1637</v>
      </c>
      <c r="B1640" s="6">
        <f t="shared" si="25"/>
        <v>4.48493150684931</v>
      </c>
      <c r="C1640" s="6">
        <f>EXP(-r_free*B1640)</f>
        <v>0.874110968441884</v>
      </c>
    </row>
    <row r="1641" spans="1:4">
      <c r="A1641" s="10">
        <v>1638</v>
      </c>
      <c r="B1641" s="12">
        <f t="shared" si="25"/>
        <v>4.48767123287671</v>
      </c>
      <c r="C1641" s="12">
        <f>EXP(-r_free*B1641)</f>
        <v>0.874039126657195</v>
      </c>
    </row>
    <row r="1642" spans="1:4">
      <c r="A1642" s="4">
        <v>1639</v>
      </c>
      <c r="B1642" s="6">
        <f t="shared" si="25"/>
        <v>4.49041095890411</v>
      </c>
      <c r="C1642" s="6">
        <f>EXP(-r_free*B1642)</f>
        <v>0.873967290777066</v>
      </c>
    </row>
    <row r="1643" spans="1:4">
      <c r="A1643" s="10">
        <v>1640</v>
      </c>
      <c r="B1643" s="12">
        <f t="shared" si="25"/>
        <v>4.49315068493151</v>
      </c>
      <c r="C1643" s="12">
        <f>EXP(-r_free*B1643)</f>
        <v>0.873895460801015</v>
      </c>
    </row>
    <row r="1644" spans="1:4">
      <c r="A1644" s="4">
        <v>1641</v>
      </c>
      <c r="B1644" s="6">
        <f t="shared" si="25"/>
        <v>4.4958904109589</v>
      </c>
      <c r="C1644" s="6">
        <f>EXP(-r_free*B1644)</f>
        <v>0.873823636728554</v>
      </c>
    </row>
    <row r="1645" spans="1:4">
      <c r="A1645" s="10">
        <v>1642</v>
      </c>
      <c r="B1645" s="12">
        <f t="shared" si="25"/>
        <v>4.4986301369863</v>
      </c>
      <c r="C1645" s="12">
        <f>EXP(-r_free*B1645)</f>
        <v>0.873751818559199</v>
      </c>
      <c r="D1645" s="43" t="s">
        <v>52</v>
      </c>
    </row>
    <row r="1646" spans="1:4">
      <c r="A1646" s="4">
        <v>1643</v>
      </c>
      <c r="B1646" s="6">
        <f t="shared" si="25"/>
        <v>4.5013698630137</v>
      </c>
      <c r="C1646" s="6">
        <f>EXP(-r_free*B1646)</f>
        <v>0.873680006292465</v>
      </c>
    </row>
    <row r="1647" spans="1:4">
      <c r="A1647" s="10">
        <v>1644</v>
      </c>
      <c r="B1647" s="12">
        <f t="shared" si="25"/>
        <v>4.5041095890411</v>
      </c>
      <c r="C1647" s="12">
        <f>EXP(-r_free*B1647)</f>
        <v>0.873608199927866</v>
      </c>
    </row>
    <row r="1648" spans="1:4">
      <c r="A1648" s="4">
        <v>1645</v>
      </c>
      <c r="B1648" s="6">
        <f t="shared" si="25"/>
        <v>4.50684931506849</v>
      </c>
      <c r="C1648" s="6">
        <f>EXP(-r_free*B1648)</f>
        <v>0.873536399464917</v>
      </c>
    </row>
    <row r="1649" spans="1:3">
      <c r="A1649" s="10">
        <v>1646</v>
      </c>
      <c r="B1649" s="12">
        <f t="shared" si="25"/>
        <v>4.50958904109589</v>
      </c>
      <c r="C1649" s="12">
        <f>EXP(-r_free*B1649)</f>
        <v>0.873464604903134</v>
      </c>
    </row>
    <row r="1650" spans="1:3">
      <c r="A1650" s="4">
        <v>1647</v>
      </c>
      <c r="B1650" s="6">
        <f t="shared" si="25"/>
        <v>4.51232876712329</v>
      </c>
      <c r="C1650" s="6">
        <f>EXP(-r_free*B1650)</f>
        <v>0.873392816242032</v>
      </c>
    </row>
    <row r="1651" spans="1:3">
      <c r="A1651" s="10">
        <v>1648</v>
      </c>
      <c r="B1651" s="12">
        <f t="shared" si="25"/>
        <v>4.51506849315069</v>
      </c>
      <c r="C1651" s="12">
        <f>EXP(-r_free*B1651)</f>
        <v>0.873321033481125</v>
      </c>
    </row>
    <row r="1652" spans="1:3">
      <c r="A1652" s="4">
        <v>1649</v>
      </c>
      <c r="B1652" s="6">
        <f t="shared" si="25"/>
        <v>4.51780821917808</v>
      </c>
      <c r="C1652" s="6">
        <f>EXP(-r_free*B1652)</f>
        <v>0.873249256619928</v>
      </c>
    </row>
    <row r="1653" spans="1:3">
      <c r="A1653" s="10">
        <v>1650</v>
      </c>
      <c r="B1653" s="12">
        <f t="shared" si="25"/>
        <v>4.52054794520548</v>
      </c>
      <c r="C1653" s="12">
        <f>EXP(-r_free*B1653)</f>
        <v>0.873177485657957</v>
      </c>
    </row>
    <row r="1654" spans="1:3">
      <c r="A1654" s="4">
        <v>1651</v>
      </c>
      <c r="B1654" s="6">
        <f t="shared" si="25"/>
        <v>4.52328767123288</v>
      </c>
      <c r="C1654" s="6">
        <f>EXP(-r_free*B1654)</f>
        <v>0.873105720594727</v>
      </c>
    </row>
    <row r="1655" spans="1:3">
      <c r="A1655" s="10">
        <v>1652</v>
      </c>
      <c r="B1655" s="12">
        <f t="shared" si="25"/>
        <v>4.52602739726027</v>
      </c>
      <c r="C1655" s="12">
        <f>EXP(-r_free*B1655)</f>
        <v>0.873033961429753</v>
      </c>
    </row>
    <row r="1656" spans="1:3">
      <c r="A1656" s="4">
        <v>1653</v>
      </c>
      <c r="B1656" s="6">
        <f t="shared" si="25"/>
        <v>4.52876712328767</v>
      </c>
      <c r="C1656" s="6">
        <f>EXP(-r_free*B1656)</f>
        <v>0.87296220816255</v>
      </c>
    </row>
    <row r="1657" spans="1:3">
      <c r="A1657" s="10">
        <v>1654</v>
      </c>
      <c r="B1657" s="12">
        <f t="shared" si="25"/>
        <v>4.53150684931507</v>
      </c>
      <c r="C1657" s="12">
        <f>EXP(-r_free*B1657)</f>
        <v>0.872890460792633</v>
      </c>
    </row>
    <row r="1658" spans="1:3">
      <c r="A1658" s="4">
        <v>1655</v>
      </c>
      <c r="B1658" s="6">
        <f t="shared" si="25"/>
        <v>4.53424657534247</v>
      </c>
      <c r="C1658" s="6">
        <f>EXP(-r_free*B1658)</f>
        <v>0.872818719319518</v>
      </c>
    </row>
    <row r="1659" spans="1:3">
      <c r="A1659" s="10">
        <v>1656</v>
      </c>
      <c r="B1659" s="12">
        <f t="shared" si="25"/>
        <v>4.53698630136986</v>
      </c>
      <c r="C1659" s="12">
        <f>EXP(-r_free*B1659)</f>
        <v>0.87274698374272</v>
      </c>
    </row>
    <row r="1660" spans="1:3">
      <c r="A1660" s="4">
        <v>1657</v>
      </c>
      <c r="B1660" s="6">
        <f t="shared" si="25"/>
        <v>4.53972602739726</v>
      </c>
      <c r="C1660" s="6">
        <f>EXP(-r_free*B1660)</f>
        <v>0.872675254061755</v>
      </c>
    </row>
    <row r="1661" spans="1:3">
      <c r="A1661" s="10">
        <v>1658</v>
      </c>
      <c r="B1661" s="12">
        <f t="shared" si="25"/>
        <v>4.54246575342466</v>
      </c>
      <c r="C1661" s="12">
        <f>EXP(-r_free*B1661)</f>
        <v>0.872603530276138</v>
      </c>
    </row>
    <row r="1662" spans="1:3">
      <c r="A1662" s="4">
        <v>1659</v>
      </c>
      <c r="B1662" s="6">
        <f t="shared" si="25"/>
        <v>4.54520547945206</v>
      </c>
      <c r="C1662" s="6">
        <f>EXP(-r_free*B1662)</f>
        <v>0.872531812385384</v>
      </c>
    </row>
    <row r="1663" spans="1:3">
      <c r="A1663" s="10">
        <v>1660</v>
      </c>
      <c r="B1663" s="12">
        <f t="shared" si="25"/>
        <v>4.54794520547945</v>
      </c>
      <c r="C1663" s="12">
        <f>EXP(-r_free*B1663)</f>
        <v>0.872460100389009</v>
      </c>
    </row>
    <row r="1664" spans="1:3">
      <c r="A1664" s="4">
        <v>1661</v>
      </c>
      <c r="B1664" s="6">
        <f t="shared" si="25"/>
        <v>4.55068493150685</v>
      </c>
      <c r="C1664" s="6">
        <f>EXP(-r_free*B1664)</f>
        <v>0.872388394286528</v>
      </c>
    </row>
    <row r="1665" spans="1:3">
      <c r="A1665" s="10">
        <v>1662</v>
      </c>
      <c r="B1665" s="12">
        <f t="shared" si="25"/>
        <v>4.55342465753425</v>
      </c>
      <c r="C1665" s="12">
        <f>EXP(-r_free*B1665)</f>
        <v>0.872316694077458</v>
      </c>
    </row>
    <row r="1666" spans="1:3">
      <c r="A1666" s="4">
        <v>1663</v>
      </c>
      <c r="B1666" s="6">
        <f t="shared" si="25"/>
        <v>4.55616438356164</v>
      </c>
      <c r="C1666" s="6">
        <f>EXP(-r_free*B1666)</f>
        <v>0.872244999761313</v>
      </c>
    </row>
    <row r="1667" spans="1:3">
      <c r="A1667" s="10">
        <v>1664</v>
      </c>
      <c r="B1667" s="12">
        <f t="shared" ref="B1667:B1730" si="26">A1667/365</f>
        <v>4.55890410958904</v>
      </c>
      <c r="C1667" s="12">
        <f>EXP(-r_free*B1667)</f>
        <v>0.872173311337609</v>
      </c>
    </row>
    <row r="1668" spans="1:3">
      <c r="A1668" s="4">
        <v>1665</v>
      </c>
      <c r="B1668" s="6">
        <f t="shared" si="26"/>
        <v>4.56164383561644</v>
      </c>
      <c r="C1668" s="6">
        <f>EXP(-r_free*B1668)</f>
        <v>0.872101628805863</v>
      </c>
    </row>
    <row r="1669" spans="1:3">
      <c r="A1669" s="10">
        <v>1666</v>
      </c>
      <c r="B1669" s="12">
        <f t="shared" si="26"/>
        <v>4.56438356164384</v>
      </c>
      <c r="C1669" s="12">
        <f>EXP(-r_free*B1669)</f>
        <v>0.872029952165589</v>
      </c>
    </row>
    <row r="1670" spans="1:3">
      <c r="A1670" s="4">
        <v>1667</v>
      </c>
      <c r="B1670" s="6">
        <f t="shared" si="26"/>
        <v>4.56712328767123</v>
      </c>
      <c r="C1670" s="6">
        <f>EXP(-r_free*B1670)</f>
        <v>0.871958281416304</v>
      </c>
    </row>
    <row r="1671" spans="1:3">
      <c r="A1671" s="10">
        <v>1668</v>
      </c>
      <c r="B1671" s="12">
        <f t="shared" si="26"/>
        <v>4.56986301369863</v>
      </c>
      <c r="C1671" s="12">
        <f>EXP(-r_free*B1671)</f>
        <v>0.871886616557524</v>
      </c>
    </row>
    <row r="1672" spans="1:3">
      <c r="A1672" s="4">
        <v>1669</v>
      </c>
      <c r="B1672" s="6">
        <f t="shared" si="26"/>
        <v>4.57260273972603</v>
      </c>
      <c r="C1672" s="6">
        <f>EXP(-r_free*B1672)</f>
        <v>0.871814957588764</v>
      </c>
    </row>
    <row r="1673" spans="1:3">
      <c r="A1673" s="10">
        <v>1670</v>
      </c>
      <c r="B1673" s="12">
        <f t="shared" si="26"/>
        <v>4.57534246575342</v>
      </c>
      <c r="C1673" s="12">
        <f>EXP(-r_free*B1673)</f>
        <v>0.87174330450954</v>
      </c>
    </row>
    <row r="1674" spans="1:3">
      <c r="A1674" s="4">
        <v>1671</v>
      </c>
      <c r="B1674" s="6">
        <f t="shared" si="26"/>
        <v>4.57808219178082</v>
      </c>
      <c r="C1674" s="6">
        <f>EXP(-r_free*B1674)</f>
        <v>0.871671657319368</v>
      </c>
    </row>
    <row r="1675" spans="1:3">
      <c r="A1675" s="10">
        <v>1672</v>
      </c>
      <c r="B1675" s="12">
        <f t="shared" si="26"/>
        <v>4.58082191780822</v>
      </c>
      <c r="C1675" s="12">
        <f>EXP(-r_free*B1675)</f>
        <v>0.871600016017764</v>
      </c>
    </row>
    <row r="1676" spans="1:3">
      <c r="A1676" s="4">
        <v>1673</v>
      </c>
      <c r="B1676" s="6">
        <f t="shared" si="26"/>
        <v>4.58356164383562</v>
      </c>
      <c r="C1676" s="6">
        <f>EXP(-r_free*B1676)</f>
        <v>0.871528380604245</v>
      </c>
    </row>
    <row r="1677" spans="1:3">
      <c r="A1677" s="10">
        <v>1674</v>
      </c>
      <c r="B1677" s="12">
        <f t="shared" si="26"/>
        <v>4.58630136986301</v>
      </c>
      <c r="C1677" s="12">
        <f>EXP(-r_free*B1677)</f>
        <v>0.871456751078326</v>
      </c>
    </row>
    <row r="1678" spans="1:3">
      <c r="A1678" s="4">
        <v>1675</v>
      </c>
      <c r="B1678" s="6">
        <f t="shared" si="26"/>
        <v>4.58904109589041</v>
      </c>
      <c r="C1678" s="6">
        <f>EXP(-r_free*B1678)</f>
        <v>0.871385127439523</v>
      </c>
    </row>
    <row r="1679" spans="1:3">
      <c r="A1679" s="10">
        <v>1676</v>
      </c>
      <c r="B1679" s="12">
        <f t="shared" si="26"/>
        <v>4.59178082191781</v>
      </c>
      <c r="C1679" s="12">
        <f>EXP(-r_free*B1679)</f>
        <v>0.871313509687352</v>
      </c>
    </row>
    <row r="1680" spans="1:3">
      <c r="A1680" s="4">
        <v>1677</v>
      </c>
      <c r="B1680" s="6">
        <f t="shared" si="26"/>
        <v>4.59452054794521</v>
      </c>
      <c r="C1680" s="6">
        <f>EXP(-r_free*B1680)</f>
        <v>0.871241897821331</v>
      </c>
    </row>
    <row r="1681" spans="1:3">
      <c r="A1681" s="10">
        <v>1678</v>
      </c>
      <c r="B1681" s="12">
        <f t="shared" si="26"/>
        <v>4.5972602739726</v>
      </c>
      <c r="C1681" s="12">
        <f>EXP(-r_free*B1681)</f>
        <v>0.871170291840974</v>
      </c>
    </row>
    <row r="1682" spans="1:3">
      <c r="A1682" s="4">
        <v>1679</v>
      </c>
      <c r="B1682" s="6">
        <f t="shared" si="26"/>
        <v>4.6</v>
      </c>
      <c r="C1682" s="6">
        <f>EXP(-r_free*B1682)</f>
        <v>0.871098691745798</v>
      </c>
    </row>
    <row r="1683" spans="1:3">
      <c r="A1683" s="10">
        <v>1680</v>
      </c>
      <c r="B1683" s="12">
        <f t="shared" si="26"/>
        <v>4.6027397260274</v>
      </c>
      <c r="C1683" s="12">
        <f>EXP(-r_free*B1683)</f>
        <v>0.87102709753532</v>
      </c>
    </row>
    <row r="1684" spans="1:3">
      <c r="A1684" s="4">
        <v>1681</v>
      </c>
      <c r="B1684" s="6">
        <f t="shared" si="26"/>
        <v>4.60547945205479</v>
      </c>
      <c r="C1684" s="6">
        <f>EXP(-r_free*B1684)</f>
        <v>0.870955509209056</v>
      </c>
    </row>
    <row r="1685" spans="1:3">
      <c r="A1685" s="10">
        <v>1682</v>
      </c>
      <c r="B1685" s="12">
        <f t="shared" si="26"/>
        <v>4.60821917808219</v>
      </c>
      <c r="C1685" s="12">
        <f>EXP(-r_free*B1685)</f>
        <v>0.870883926766522</v>
      </c>
    </row>
    <row r="1686" spans="1:3">
      <c r="A1686" s="4">
        <v>1683</v>
      </c>
      <c r="B1686" s="6">
        <f t="shared" si="26"/>
        <v>4.61095890410959</v>
      </c>
      <c r="C1686" s="6">
        <f>EXP(-r_free*B1686)</f>
        <v>0.870812350207235</v>
      </c>
    </row>
    <row r="1687" spans="1:3">
      <c r="A1687" s="10">
        <v>1684</v>
      </c>
      <c r="B1687" s="12">
        <f t="shared" si="26"/>
        <v>4.61369863013699</v>
      </c>
      <c r="C1687" s="12">
        <f>EXP(-r_free*B1687)</f>
        <v>0.87074077953071</v>
      </c>
    </row>
    <row r="1688" spans="1:3">
      <c r="A1688" s="4">
        <v>1685</v>
      </c>
      <c r="B1688" s="6">
        <f t="shared" si="26"/>
        <v>4.61643835616438</v>
      </c>
      <c r="C1688" s="6">
        <f>EXP(-r_free*B1688)</f>
        <v>0.870669214736466</v>
      </c>
    </row>
    <row r="1689" spans="1:3">
      <c r="A1689" s="10">
        <v>1686</v>
      </c>
      <c r="B1689" s="12">
        <f t="shared" si="26"/>
        <v>4.61917808219178</v>
      </c>
      <c r="C1689" s="12">
        <f>EXP(-r_free*B1689)</f>
        <v>0.870597655824017</v>
      </c>
    </row>
    <row r="1690" spans="1:3">
      <c r="A1690" s="4">
        <v>1687</v>
      </c>
      <c r="B1690" s="6">
        <f t="shared" si="26"/>
        <v>4.62191780821918</v>
      </c>
      <c r="C1690" s="6">
        <f>EXP(-r_free*B1690)</f>
        <v>0.870526102792881</v>
      </c>
    </row>
    <row r="1691" spans="1:3">
      <c r="A1691" s="10">
        <v>1688</v>
      </c>
      <c r="B1691" s="12">
        <f t="shared" si="26"/>
        <v>4.62465753424657</v>
      </c>
      <c r="C1691" s="12">
        <f>EXP(-r_free*B1691)</f>
        <v>0.870454555642575</v>
      </c>
    </row>
    <row r="1692" spans="1:3">
      <c r="A1692" s="4">
        <v>1689</v>
      </c>
      <c r="B1692" s="6">
        <f t="shared" si="26"/>
        <v>4.62739726027397</v>
      </c>
      <c r="C1692" s="6">
        <f>EXP(-r_free*B1692)</f>
        <v>0.870383014372615</v>
      </c>
    </row>
    <row r="1693" spans="1:3">
      <c r="A1693" s="10">
        <v>1690</v>
      </c>
      <c r="B1693" s="12">
        <f t="shared" si="26"/>
        <v>4.63013698630137</v>
      </c>
      <c r="C1693" s="12">
        <f>EXP(-r_free*B1693)</f>
        <v>0.870311478982517</v>
      </c>
    </row>
    <row r="1694" spans="1:3">
      <c r="A1694" s="4">
        <v>1691</v>
      </c>
      <c r="B1694" s="6">
        <f t="shared" si="26"/>
        <v>4.63287671232877</v>
      </c>
      <c r="C1694" s="6">
        <f>EXP(-r_free*B1694)</f>
        <v>0.870239949471799</v>
      </c>
    </row>
    <row r="1695" spans="1:3">
      <c r="A1695" s="10">
        <v>1692</v>
      </c>
      <c r="B1695" s="12">
        <f t="shared" si="26"/>
        <v>4.63561643835616</v>
      </c>
      <c r="C1695" s="12">
        <f>EXP(-r_free*B1695)</f>
        <v>0.870168425839977</v>
      </c>
    </row>
    <row r="1696" spans="1:3">
      <c r="A1696" s="4">
        <v>1693</v>
      </c>
      <c r="B1696" s="6">
        <f t="shared" si="26"/>
        <v>4.63835616438356</v>
      </c>
      <c r="C1696" s="6">
        <f>EXP(-r_free*B1696)</f>
        <v>0.870096908086568</v>
      </c>
    </row>
    <row r="1697" spans="1:3">
      <c r="A1697" s="10">
        <v>1694</v>
      </c>
      <c r="B1697" s="12">
        <f t="shared" si="26"/>
        <v>4.64109589041096</v>
      </c>
      <c r="C1697" s="12">
        <f>EXP(-r_free*B1697)</f>
        <v>0.870025396211089</v>
      </c>
    </row>
    <row r="1698" spans="1:3">
      <c r="A1698" s="4">
        <v>1695</v>
      </c>
      <c r="B1698" s="6">
        <f t="shared" si="26"/>
        <v>4.64383561643836</v>
      </c>
      <c r="C1698" s="6">
        <f>EXP(-r_free*B1698)</f>
        <v>0.869953890213057</v>
      </c>
    </row>
    <row r="1699" spans="1:3">
      <c r="A1699" s="10">
        <v>1696</v>
      </c>
      <c r="B1699" s="12">
        <f t="shared" si="26"/>
        <v>4.64657534246575</v>
      </c>
      <c r="C1699" s="12">
        <f>EXP(-r_free*B1699)</f>
        <v>0.869882390091989</v>
      </c>
    </row>
    <row r="1700" spans="1:3">
      <c r="A1700" s="4">
        <v>1697</v>
      </c>
      <c r="B1700" s="6">
        <f t="shared" si="26"/>
        <v>4.64931506849315</v>
      </c>
      <c r="C1700" s="6">
        <f>EXP(-r_free*B1700)</f>
        <v>0.869810895847402</v>
      </c>
    </row>
    <row r="1701" spans="1:3">
      <c r="A1701" s="10">
        <v>1698</v>
      </c>
      <c r="B1701" s="12">
        <f t="shared" si="26"/>
        <v>4.65205479452055</v>
      </c>
      <c r="C1701" s="12">
        <f>EXP(-r_free*B1701)</f>
        <v>0.869739407478812</v>
      </c>
    </row>
    <row r="1702" spans="1:3">
      <c r="A1702" s="4">
        <v>1699</v>
      </c>
      <c r="B1702" s="6">
        <f t="shared" si="26"/>
        <v>4.65479452054795</v>
      </c>
      <c r="C1702" s="6">
        <f>EXP(-r_free*B1702)</f>
        <v>0.869667924985738</v>
      </c>
    </row>
    <row r="1703" spans="1:3">
      <c r="A1703" s="10">
        <v>1700</v>
      </c>
      <c r="B1703" s="12">
        <f t="shared" si="26"/>
        <v>4.65753424657534</v>
      </c>
      <c r="C1703" s="12">
        <f>EXP(-r_free*B1703)</f>
        <v>0.869596448367695</v>
      </c>
    </row>
    <row r="1704" spans="1:3">
      <c r="A1704" s="4">
        <v>1701</v>
      </c>
      <c r="B1704" s="6">
        <f t="shared" si="26"/>
        <v>4.66027397260274</v>
      </c>
      <c r="C1704" s="6">
        <f>EXP(-r_free*B1704)</f>
        <v>0.869524977624201</v>
      </c>
    </row>
    <row r="1705" spans="1:3">
      <c r="A1705" s="10">
        <v>1702</v>
      </c>
      <c r="B1705" s="12">
        <f t="shared" si="26"/>
        <v>4.66301369863014</v>
      </c>
      <c r="C1705" s="12">
        <f>EXP(-r_free*B1705)</f>
        <v>0.869453512754774</v>
      </c>
    </row>
    <row r="1706" spans="1:3">
      <c r="A1706" s="4">
        <v>1703</v>
      </c>
      <c r="B1706" s="6">
        <f t="shared" si="26"/>
        <v>4.66575342465753</v>
      </c>
      <c r="C1706" s="6">
        <f>EXP(-r_free*B1706)</f>
        <v>0.86938205375893</v>
      </c>
    </row>
    <row r="1707" spans="1:3">
      <c r="A1707" s="10">
        <v>1704</v>
      </c>
      <c r="B1707" s="12">
        <f t="shared" si="26"/>
        <v>4.66849315068493</v>
      </c>
      <c r="C1707" s="12">
        <f>EXP(-r_free*B1707)</f>
        <v>0.869310600636187</v>
      </c>
    </row>
    <row r="1708" spans="1:3">
      <c r="A1708" s="4">
        <v>1705</v>
      </c>
      <c r="B1708" s="6">
        <f t="shared" si="26"/>
        <v>4.67123287671233</v>
      </c>
      <c r="C1708" s="6">
        <f>EXP(-r_free*B1708)</f>
        <v>0.869239153386062</v>
      </c>
    </row>
    <row r="1709" spans="1:3">
      <c r="A1709" s="10">
        <v>1706</v>
      </c>
      <c r="B1709" s="12">
        <f t="shared" si="26"/>
        <v>4.67397260273973</v>
      </c>
      <c r="C1709" s="12">
        <f>EXP(-r_free*B1709)</f>
        <v>0.869167712008072</v>
      </c>
    </row>
    <row r="1710" spans="1:3">
      <c r="A1710" s="4">
        <v>1707</v>
      </c>
      <c r="B1710" s="6">
        <f t="shared" si="26"/>
        <v>4.67671232876712</v>
      </c>
      <c r="C1710" s="6">
        <f>EXP(-r_free*B1710)</f>
        <v>0.869096276501735</v>
      </c>
    </row>
    <row r="1711" spans="1:3">
      <c r="A1711" s="10">
        <v>1708</v>
      </c>
      <c r="B1711" s="12">
        <f t="shared" si="26"/>
        <v>4.67945205479452</v>
      </c>
      <c r="C1711" s="12">
        <f>EXP(-r_free*B1711)</f>
        <v>0.869024846866568</v>
      </c>
    </row>
    <row r="1712" spans="1:3">
      <c r="A1712" s="4">
        <v>1709</v>
      </c>
      <c r="B1712" s="6">
        <f t="shared" si="26"/>
        <v>4.68219178082192</v>
      </c>
      <c r="C1712" s="6">
        <f>EXP(-r_free*B1712)</f>
        <v>0.868953423102089</v>
      </c>
    </row>
    <row r="1713" spans="1:3">
      <c r="A1713" s="10">
        <v>1710</v>
      </c>
      <c r="B1713" s="12">
        <f t="shared" si="26"/>
        <v>4.68493150684932</v>
      </c>
      <c r="C1713" s="12">
        <f>EXP(-r_free*B1713)</f>
        <v>0.868882005207815</v>
      </c>
    </row>
    <row r="1714" spans="1:3">
      <c r="A1714" s="4">
        <v>1711</v>
      </c>
      <c r="B1714" s="6">
        <f t="shared" si="26"/>
        <v>4.68767123287671</v>
      </c>
      <c r="C1714" s="6">
        <f>EXP(-r_free*B1714)</f>
        <v>0.868810593183264</v>
      </c>
    </row>
    <row r="1715" spans="1:3">
      <c r="A1715" s="10">
        <v>1712</v>
      </c>
      <c r="B1715" s="12">
        <f t="shared" si="26"/>
        <v>4.69041095890411</v>
      </c>
      <c r="C1715" s="12">
        <f>EXP(-r_free*B1715)</f>
        <v>0.868739187027953</v>
      </c>
    </row>
    <row r="1716" spans="1:3">
      <c r="A1716" s="4">
        <v>1713</v>
      </c>
      <c r="B1716" s="6">
        <f t="shared" si="26"/>
        <v>4.69315068493151</v>
      </c>
      <c r="C1716" s="6">
        <f>EXP(-r_free*B1716)</f>
        <v>0.8686677867414</v>
      </c>
    </row>
    <row r="1717" spans="1:3">
      <c r="A1717" s="10">
        <v>1714</v>
      </c>
      <c r="B1717" s="12">
        <f t="shared" si="26"/>
        <v>4.6958904109589</v>
      </c>
      <c r="C1717" s="12">
        <f>EXP(-r_free*B1717)</f>
        <v>0.868596392323123</v>
      </c>
    </row>
    <row r="1718" spans="1:3">
      <c r="A1718" s="4">
        <v>1715</v>
      </c>
      <c r="B1718" s="6">
        <f t="shared" si="26"/>
        <v>4.6986301369863</v>
      </c>
      <c r="C1718" s="6">
        <f>EXP(-r_free*B1718)</f>
        <v>0.868525003772638</v>
      </c>
    </row>
    <row r="1719" spans="1:3">
      <c r="A1719" s="10">
        <v>1716</v>
      </c>
      <c r="B1719" s="12">
        <f t="shared" si="26"/>
        <v>4.7013698630137</v>
      </c>
      <c r="C1719" s="12">
        <f>EXP(-r_free*B1719)</f>
        <v>0.868453621089465</v>
      </c>
    </row>
    <row r="1720" spans="1:3">
      <c r="A1720" s="4">
        <v>1717</v>
      </c>
      <c r="B1720" s="6">
        <f t="shared" si="26"/>
        <v>4.7041095890411</v>
      </c>
      <c r="C1720" s="6">
        <f>EXP(-r_free*B1720)</f>
        <v>0.86838224427312</v>
      </c>
    </row>
    <row r="1721" spans="1:3">
      <c r="A1721" s="10">
        <v>1718</v>
      </c>
      <c r="B1721" s="12">
        <f t="shared" si="26"/>
        <v>4.70684931506849</v>
      </c>
      <c r="C1721" s="12">
        <f>EXP(-r_free*B1721)</f>
        <v>0.868310873323122</v>
      </c>
    </row>
    <row r="1722" spans="1:3">
      <c r="A1722" s="4">
        <v>1719</v>
      </c>
      <c r="B1722" s="6">
        <f t="shared" si="26"/>
        <v>4.70958904109589</v>
      </c>
      <c r="C1722" s="6">
        <f>EXP(-r_free*B1722)</f>
        <v>0.868239508238989</v>
      </c>
    </row>
    <row r="1723" spans="1:3">
      <c r="A1723" s="10">
        <v>1720</v>
      </c>
      <c r="B1723" s="12">
        <f t="shared" si="26"/>
        <v>4.71232876712329</v>
      </c>
      <c r="C1723" s="12">
        <f>EXP(-r_free*B1723)</f>
        <v>0.868168149020237</v>
      </c>
    </row>
    <row r="1724" spans="1:3">
      <c r="A1724" s="4">
        <v>1721</v>
      </c>
      <c r="B1724" s="6">
        <f t="shared" si="26"/>
        <v>4.71506849315069</v>
      </c>
      <c r="C1724" s="6">
        <f>EXP(-r_free*B1724)</f>
        <v>0.868096795666386</v>
      </c>
    </row>
    <row r="1725" spans="1:3">
      <c r="A1725" s="10">
        <v>1722</v>
      </c>
      <c r="B1725" s="12">
        <f t="shared" si="26"/>
        <v>4.71780821917808</v>
      </c>
      <c r="C1725" s="12">
        <f>EXP(-r_free*B1725)</f>
        <v>0.868025448176953</v>
      </c>
    </row>
    <row r="1726" spans="1:3">
      <c r="A1726" s="4">
        <v>1723</v>
      </c>
      <c r="B1726" s="6">
        <f t="shared" si="26"/>
        <v>4.72054794520548</v>
      </c>
      <c r="C1726" s="6">
        <f>EXP(-r_free*B1726)</f>
        <v>0.867954106551457</v>
      </c>
    </row>
    <row r="1727" spans="1:3">
      <c r="A1727" s="10">
        <v>1724</v>
      </c>
      <c r="B1727" s="12">
        <f t="shared" si="26"/>
        <v>4.72328767123288</v>
      </c>
      <c r="C1727" s="12">
        <f>EXP(-r_free*B1727)</f>
        <v>0.867882770789415</v>
      </c>
    </row>
    <row r="1728" spans="1:3">
      <c r="A1728" s="4">
        <v>1725</v>
      </c>
      <c r="B1728" s="6">
        <f t="shared" si="26"/>
        <v>4.72602739726027</v>
      </c>
      <c r="C1728" s="6">
        <f>EXP(-r_free*B1728)</f>
        <v>0.867811440890345</v>
      </c>
    </row>
    <row r="1729" spans="1:4">
      <c r="A1729" s="10">
        <v>1726</v>
      </c>
      <c r="B1729" s="12">
        <f t="shared" si="26"/>
        <v>4.72876712328767</v>
      </c>
      <c r="C1729" s="12">
        <f>EXP(-r_free*B1729)</f>
        <v>0.867740116853765</v>
      </c>
    </row>
    <row r="1730" spans="1:4">
      <c r="A1730" s="4">
        <v>1727</v>
      </c>
      <c r="B1730" s="6">
        <f t="shared" si="26"/>
        <v>4.73150684931507</v>
      </c>
      <c r="C1730" s="6">
        <f>EXP(-r_free*B1730)</f>
        <v>0.867668798679194</v>
      </c>
    </row>
    <row r="1731" spans="1:4">
      <c r="A1731" s="10">
        <v>1728</v>
      </c>
      <c r="B1731" s="12">
        <f t="shared" ref="B1731:B1794" si="27">A1731/365</f>
        <v>4.73424657534247</v>
      </c>
      <c r="C1731" s="12">
        <f>EXP(-r_free*B1731)</f>
        <v>0.86759748636615</v>
      </c>
    </row>
    <row r="1732" spans="1:4">
      <c r="A1732" s="4">
        <v>1729</v>
      </c>
      <c r="B1732" s="6">
        <f t="shared" si="27"/>
        <v>4.73698630136986</v>
      </c>
      <c r="C1732" s="6">
        <f>EXP(-r_free*B1732)</f>
        <v>0.867526179914152</v>
      </c>
    </row>
    <row r="1733" spans="1:4">
      <c r="A1733" s="10">
        <v>1730</v>
      </c>
      <c r="B1733" s="12">
        <f t="shared" si="27"/>
        <v>4.73972602739726</v>
      </c>
      <c r="C1733" s="12">
        <f>EXP(-r_free*B1733)</f>
        <v>0.867454879322716</v>
      </c>
    </row>
    <row r="1734" spans="1:4">
      <c r="A1734" s="4">
        <v>1731</v>
      </c>
      <c r="B1734" s="6">
        <f t="shared" si="27"/>
        <v>4.74246575342466</v>
      </c>
      <c r="C1734" s="6">
        <f>EXP(-r_free*B1734)</f>
        <v>0.867383584591363</v>
      </c>
    </row>
    <row r="1735" spans="1:4">
      <c r="A1735" s="10">
        <v>1732</v>
      </c>
      <c r="B1735" s="12">
        <f t="shared" si="27"/>
        <v>4.74520547945205</v>
      </c>
      <c r="C1735" s="12">
        <f>EXP(-r_free*B1735)</f>
        <v>0.867312295719609</v>
      </c>
    </row>
    <row r="1736" spans="1:4">
      <c r="A1736" s="4">
        <v>1733</v>
      </c>
      <c r="B1736" s="6">
        <f t="shared" si="27"/>
        <v>4.74794520547945</v>
      </c>
      <c r="C1736" s="6">
        <f>EXP(-r_free*B1736)</f>
        <v>0.867241012706974</v>
      </c>
      <c r="D1736" s="43" t="s">
        <v>53</v>
      </c>
    </row>
    <row r="1737" spans="1:4">
      <c r="A1737" s="10">
        <v>1734</v>
      </c>
      <c r="B1737" s="12">
        <f t="shared" si="27"/>
        <v>4.75068493150685</v>
      </c>
      <c r="C1737" s="12">
        <f>EXP(-r_free*B1737)</f>
        <v>0.867169735552976</v>
      </c>
    </row>
    <row r="1738" spans="1:4">
      <c r="A1738" s="4">
        <v>1735</v>
      </c>
      <c r="B1738" s="6">
        <f t="shared" si="27"/>
        <v>4.75342465753425</v>
      </c>
      <c r="C1738" s="6">
        <f>EXP(-r_free*B1738)</f>
        <v>0.867098464257134</v>
      </c>
    </row>
    <row r="1739" spans="1:4">
      <c r="A1739" s="10">
        <v>1736</v>
      </c>
      <c r="B1739" s="12">
        <f t="shared" si="27"/>
        <v>4.75616438356164</v>
      </c>
      <c r="C1739" s="12">
        <f>EXP(-r_free*B1739)</f>
        <v>0.867027198818965</v>
      </c>
    </row>
    <row r="1740" spans="1:4">
      <c r="A1740" s="4">
        <v>1737</v>
      </c>
      <c r="B1740" s="6">
        <f t="shared" si="27"/>
        <v>4.75890410958904</v>
      </c>
      <c r="C1740" s="6">
        <f>EXP(-r_free*B1740)</f>
        <v>0.866955939237989</v>
      </c>
    </row>
    <row r="1741" spans="1:4">
      <c r="A1741" s="10">
        <v>1738</v>
      </c>
      <c r="B1741" s="12">
        <f t="shared" si="27"/>
        <v>4.76164383561644</v>
      </c>
      <c r="C1741" s="12">
        <f>EXP(-r_free*B1741)</f>
        <v>0.866884685513725</v>
      </c>
    </row>
    <row r="1742" spans="1:4">
      <c r="A1742" s="4">
        <v>1739</v>
      </c>
      <c r="B1742" s="6">
        <f t="shared" si="27"/>
        <v>4.76438356164384</v>
      </c>
      <c r="C1742" s="6">
        <f>EXP(-r_free*B1742)</f>
        <v>0.86681343764569</v>
      </c>
    </row>
    <row r="1743" spans="1:4">
      <c r="A1743" s="10">
        <v>1740</v>
      </c>
      <c r="B1743" s="12">
        <f t="shared" si="27"/>
        <v>4.76712328767123</v>
      </c>
      <c r="C1743" s="12">
        <f>EXP(-r_free*B1743)</f>
        <v>0.866742195633403</v>
      </c>
    </row>
    <row r="1744" spans="1:4">
      <c r="A1744" s="4">
        <v>1741</v>
      </c>
      <c r="B1744" s="6">
        <f t="shared" si="27"/>
        <v>4.76986301369863</v>
      </c>
      <c r="C1744" s="6">
        <f>EXP(-r_free*B1744)</f>
        <v>0.866670959476384</v>
      </c>
    </row>
    <row r="1745" spans="1:3">
      <c r="A1745" s="10">
        <v>1742</v>
      </c>
      <c r="B1745" s="12">
        <f t="shared" si="27"/>
        <v>4.77260273972603</v>
      </c>
      <c r="C1745" s="12">
        <f>EXP(-r_free*B1745)</f>
        <v>0.866599729174151</v>
      </c>
    </row>
    <row r="1746" spans="1:3">
      <c r="A1746" s="4">
        <v>1743</v>
      </c>
      <c r="B1746" s="6">
        <f t="shared" si="27"/>
        <v>4.77534246575342</v>
      </c>
      <c r="C1746" s="6">
        <f>EXP(-r_free*B1746)</f>
        <v>0.866528504726223</v>
      </c>
    </row>
    <row r="1747" spans="1:3">
      <c r="A1747" s="10">
        <v>1744</v>
      </c>
      <c r="B1747" s="12">
        <f t="shared" si="27"/>
        <v>4.77808219178082</v>
      </c>
      <c r="C1747" s="12">
        <f>EXP(-r_free*B1747)</f>
        <v>0.866457286132118</v>
      </c>
    </row>
    <row r="1748" spans="1:3">
      <c r="A1748" s="4">
        <v>1745</v>
      </c>
      <c r="B1748" s="6">
        <f t="shared" si="27"/>
        <v>4.78082191780822</v>
      </c>
      <c r="C1748" s="6">
        <f>EXP(-r_free*B1748)</f>
        <v>0.866386073391356</v>
      </c>
    </row>
    <row r="1749" spans="1:3">
      <c r="A1749" s="10">
        <v>1746</v>
      </c>
      <c r="B1749" s="12">
        <f t="shared" si="27"/>
        <v>4.78356164383562</v>
      </c>
      <c r="C1749" s="12">
        <f>EXP(-r_free*B1749)</f>
        <v>0.866314866503455</v>
      </c>
    </row>
    <row r="1750" spans="1:3">
      <c r="A1750" s="4">
        <v>1747</v>
      </c>
      <c r="B1750" s="6">
        <f t="shared" si="27"/>
        <v>4.78630136986301</v>
      </c>
      <c r="C1750" s="6">
        <f>EXP(-r_free*B1750)</f>
        <v>0.866243665467934</v>
      </c>
    </row>
    <row r="1751" spans="1:3">
      <c r="A1751" s="10">
        <v>1748</v>
      </c>
      <c r="B1751" s="12">
        <f t="shared" si="27"/>
        <v>4.78904109589041</v>
      </c>
      <c r="C1751" s="12">
        <f>EXP(-r_free*B1751)</f>
        <v>0.866172470284313</v>
      </c>
    </row>
    <row r="1752" spans="1:3">
      <c r="A1752" s="4">
        <v>1749</v>
      </c>
      <c r="B1752" s="6">
        <f t="shared" si="27"/>
        <v>4.79178082191781</v>
      </c>
      <c r="C1752" s="6">
        <f>EXP(-r_free*B1752)</f>
        <v>0.866101280952111</v>
      </c>
    </row>
    <row r="1753" spans="1:3">
      <c r="A1753" s="10">
        <v>1750</v>
      </c>
      <c r="B1753" s="12">
        <f t="shared" si="27"/>
        <v>4.79452054794521</v>
      </c>
      <c r="C1753" s="12">
        <f>EXP(-r_free*B1753)</f>
        <v>0.866030097470846</v>
      </c>
    </row>
    <row r="1754" spans="1:3">
      <c r="A1754" s="4">
        <v>1751</v>
      </c>
      <c r="B1754" s="6">
        <f t="shared" si="27"/>
        <v>4.7972602739726</v>
      </c>
      <c r="C1754" s="6">
        <f>EXP(-r_free*B1754)</f>
        <v>0.865958919840037</v>
      </c>
    </row>
    <row r="1755" spans="1:3">
      <c r="A1755" s="10">
        <v>1752</v>
      </c>
      <c r="B1755" s="12">
        <f t="shared" si="27"/>
        <v>4.8</v>
      </c>
      <c r="C1755" s="12">
        <f>EXP(-r_free*B1755)</f>
        <v>0.865887748059205</v>
      </c>
    </row>
    <row r="1756" spans="1:3">
      <c r="A1756" s="4">
        <v>1753</v>
      </c>
      <c r="B1756" s="6">
        <f t="shared" si="27"/>
        <v>4.8027397260274</v>
      </c>
      <c r="C1756" s="6">
        <f>EXP(-r_free*B1756)</f>
        <v>0.865816582127867</v>
      </c>
    </row>
    <row r="1757" spans="1:3">
      <c r="A1757" s="10">
        <v>1754</v>
      </c>
      <c r="B1757" s="12">
        <f t="shared" si="27"/>
        <v>4.80547945205479</v>
      </c>
      <c r="C1757" s="12">
        <f>EXP(-r_free*B1757)</f>
        <v>0.865745422045544</v>
      </c>
    </row>
    <row r="1758" spans="1:3">
      <c r="A1758" s="4">
        <v>1755</v>
      </c>
      <c r="B1758" s="6">
        <f t="shared" si="27"/>
        <v>4.80821917808219</v>
      </c>
      <c r="C1758" s="6">
        <f>EXP(-r_free*B1758)</f>
        <v>0.865674267811755</v>
      </c>
    </row>
    <row r="1759" spans="1:3">
      <c r="A1759" s="10">
        <v>1756</v>
      </c>
      <c r="B1759" s="12">
        <f t="shared" si="27"/>
        <v>4.81095890410959</v>
      </c>
      <c r="C1759" s="12">
        <f>EXP(-r_free*B1759)</f>
        <v>0.865603119426018</v>
      </c>
    </row>
    <row r="1760" spans="1:3">
      <c r="A1760" s="4">
        <v>1757</v>
      </c>
      <c r="B1760" s="6">
        <f t="shared" si="27"/>
        <v>4.81369863013699</v>
      </c>
      <c r="C1760" s="6">
        <f>EXP(-r_free*B1760)</f>
        <v>0.865531976887853</v>
      </c>
    </row>
    <row r="1761" spans="1:3">
      <c r="A1761" s="10">
        <v>1758</v>
      </c>
      <c r="B1761" s="12">
        <f t="shared" si="27"/>
        <v>4.81643835616438</v>
      </c>
      <c r="C1761" s="12">
        <f>EXP(-r_free*B1761)</f>
        <v>0.86546084019678</v>
      </c>
    </row>
    <row r="1762" spans="1:3">
      <c r="A1762" s="4">
        <v>1759</v>
      </c>
      <c r="B1762" s="6">
        <f t="shared" si="27"/>
        <v>4.81917808219178</v>
      </c>
      <c r="C1762" s="6">
        <f>EXP(-r_free*B1762)</f>
        <v>0.865389709352318</v>
      </c>
    </row>
    <row r="1763" spans="1:3">
      <c r="A1763" s="10">
        <v>1760</v>
      </c>
      <c r="B1763" s="12">
        <f t="shared" si="27"/>
        <v>4.82191780821918</v>
      </c>
      <c r="C1763" s="12">
        <f>EXP(-r_free*B1763)</f>
        <v>0.865318584353987</v>
      </c>
    </row>
    <row r="1764" spans="1:3">
      <c r="A1764" s="4">
        <v>1761</v>
      </c>
      <c r="B1764" s="6">
        <f t="shared" si="27"/>
        <v>4.82465753424658</v>
      </c>
      <c r="C1764" s="6">
        <f>EXP(-r_free*B1764)</f>
        <v>0.865247465201305</v>
      </c>
    </row>
    <row r="1765" spans="1:3">
      <c r="A1765" s="10">
        <v>1762</v>
      </c>
      <c r="B1765" s="12">
        <f t="shared" si="27"/>
        <v>4.82739726027397</v>
      </c>
      <c r="C1765" s="12">
        <f>EXP(-r_free*B1765)</f>
        <v>0.865176351893793</v>
      </c>
    </row>
    <row r="1766" spans="1:3">
      <c r="A1766" s="4">
        <v>1763</v>
      </c>
      <c r="B1766" s="6">
        <f t="shared" si="27"/>
        <v>4.83013698630137</v>
      </c>
      <c r="C1766" s="6">
        <f>EXP(-r_free*B1766)</f>
        <v>0.865105244430971</v>
      </c>
    </row>
    <row r="1767" spans="1:3">
      <c r="A1767" s="10">
        <v>1764</v>
      </c>
      <c r="B1767" s="12">
        <f t="shared" si="27"/>
        <v>4.83287671232877</v>
      </c>
      <c r="C1767" s="12">
        <f>EXP(-r_free*B1767)</f>
        <v>0.865034142812357</v>
      </c>
    </row>
    <row r="1768" spans="1:3">
      <c r="A1768" s="4">
        <v>1765</v>
      </c>
      <c r="B1768" s="6">
        <f t="shared" si="27"/>
        <v>4.83561643835616</v>
      </c>
      <c r="C1768" s="6">
        <f>EXP(-r_free*B1768)</f>
        <v>0.864963047037472</v>
      </c>
    </row>
    <row r="1769" spans="1:3">
      <c r="A1769" s="10">
        <v>1766</v>
      </c>
      <c r="B1769" s="12">
        <f t="shared" si="27"/>
        <v>4.83835616438356</v>
      </c>
      <c r="C1769" s="12">
        <f>EXP(-r_free*B1769)</f>
        <v>0.864891957105835</v>
      </c>
    </row>
    <row r="1770" spans="1:3">
      <c r="A1770" s="4">
        <v>1767</v>
      </c>
      <c r="B1770" s="6">
        <f t="shared" si="27"/>
        <v>4.84109589041096</v>
      </c>
      <c r="C1770" s="6">
        <f>EXP(-r_free*B1770)</f>
        <v>0.864820873016965</v>
      </c>
    </row>
    <row r="1771" spans="1:3">
      <c r="A1771" s="10">
        <v>1768</v>
      </c>
      <c r="B1771" s="12">
        <f t="shared" si="27"/>
        <v>4.84383561643836</v>
      </c>
      <c r="C1771" s="12">
        <f>EXP(-r_free*B1771)</f>
        <v>0.864749794770384</v>
      </c>
    </row>
    <row r="1772" spans="1:3">
      <c r="A1772" s="4">
        <v>1769</v>
      </c>
      <c r="B1772" s="6">
        <f t="shared" si="27"/>
        <v>4.84657534246575</v>
      </c>
      <c r="C1772" s="6">
        <f>EXP(-r_free*B1772)</f>
        <v>0.86467872236561</v>
      </c>
    </row>
    <row r="1773" spans="1:3">
      <c r="A1773" s="10">
        <v>1770</v>
      </c>
      <c r="B1773" s="12">
        <f t="shared" si="27"/>
        <v>4.84931506849315</v>
      </c>
      <c r="C1773" s="12">
        <f>EXP(-r_free*B1773)</f>
        <v>0.864607655802164</v>
      </c>
    </row>
    <row r="1774" spans="1:3">
      <c r="A1774" s="4">
        <v>1771</v>
      </c>
      <c r="B1774" s="6">
        <f t="shared" si="27"/>
        <v>4.85205479452055</v>
      </c>
      <c r="C1774" s="6">
        <f>EXP(-r_free*B1774)</f>
        <v>0.864536595079565</v>
      </c>
    </row>
    <row r="1775" spans="1:3">
      <c r="A1775" s="10">
        <v>1772</v>
      </c>
      <c r="B1775" s="12">
        <f t="shared" si="27"/>
        <v>4.85479452054795</v>
      </c>
      <c r="C1775" s="12">
        <f>EXP(-r_free*B1775)</f>
        <v>0.864465540197333</v>
      </c>
    </row>
    <row r="1776" spans="1:3">
      <c r="A1776" s="4">
        <v>1773</v>
      </c>
      <c r="B1776" s="6">
        <f t="shared" si="27"/>
        <v>4.85753424657534</v>
      </c>
      <c r="C1776" s="6">
        <f>EXP(-r_free*B1776)</f>
        <v>0.864394491154989</v>
      </c>
    </row>
    <row r="1777" spans="1:3">
      <c r="A1777" s="10">
        <v>1774</v>
      </c>
      <c r="B1777" s="12">
        <f t="shared" si="27"/>
        <v>4.86027397260274</v>
      </c>
      <c r="C1777" s="12">
        <f>EXP(-r_free*B1777)</f>
        <v>0.864323447952052</v>
      </c>
    </row>
    <row r="1778" spans="1:3">
      <c r="A1778" s="4">
        <v>1775</v>
      </c>
      <c r="B1778" s="6">
        <f t="shared" si="27"/>
        <v>4.86301369863014</v>
      </c>
      <c r="C1778" s="6">
        <f>EXP(-r_free*B1778)</f>
        <v>0.864252410588042</v>
      </c>
    </row>
    <row r="1779" spans="1:3">
      <c r="A1779" s="10">
        <v>1776</v>
      </c>
      <c r="B1779" s="12">
        <f t="shared" si="27"/>
        <v>4.86575342465753</v>
      </c>
      <c r="C1779" s="12">
        <f>EXP(-r_free*B1779)</f>
        <v>0.86418137906248</v>
      </c>
    </row>
    <row r="1780" spans="1:3">
      <c r="A1780" s="4">
        <v>1777</v>
      </c>
      <c r="B1780" s="6">
        <f t="shared" si="27"/>
        <v>4.86849315068493</v>
      </c>
      <c r="C1780" s="6">
        <f>EXP(-r_free*B1780)</f>
        <v>0.864110353374886</v>
      </c>
    </row>
    <row r="1781" spans="1:3">
      <c r="A1781" s="10">
        <v>1778</v>
      </c>
      <c r="B1781" s="12">
        <f t="shared" si="27"/>
        <v>4.87123287671233</v>
      </c>
      <c r="C1781" s="12">
        <f>EXP(-r_free*B1781)</f>
        <v>0.864039333524779</v>
      </c>
    </row>
    <row r="1782" spans="1:3">
      <c r="A1782" s="4">
        <v>1779</v>
      </c>
      <c r="B1782" s="6">
        <f t="shared" si="27"/>
        <v>4.87397260273973</v>
      </c>
      <c r="C1782" s="6">
        <f>EXP(-r_free*B1782)</f>
        <v>0.863968319511681</v>
      </c>
    </row>
    <row r="1783" spans="1:3">
      <c r="A1783" s="10">
        <v>1780</v>
      </c>
      <c r="B1783" s="12">
        <f t="shared" si="27"/>
        <v>4.87671232876712</v>
      </c>
      <c r="C1783" s="12">
        <f>EXP(-r_free*B1783)</f>
        <v>0.863897311335111</v>
      </c>
    </row>
    <row r="1784" spans="1:3">
      <c r="A1784" s="4">
        <v>1781</v>
      </c>
      <c r="B1784" s="6">
        <f t="shared" si="27"/>
        <v>4.87945205479452</v>
      </c>
      <c r="C1784" s="6">
        <f>EXP(-r_free*B1784)</f>
        <v>0.863826308994589</v>
      </c>
    </row>
    <row r="1785" spans="1:3">
      <c r="A1785" s="10">
        <v>1782</v>
      </c>
      <c r="B1785" s="12">
        <f t="shared" si="27"/>
        <v>4.88219178082192</v>
      </c>
      <c r="C1785" s="12">
        <f>EXP(-r_free*B1785)</f>
        <v>0.863755312489637</v>
      </c>
    </row>
    <row r="1786" spans="1:3">
      <c r="A1786" s="4">
        <v>1783</v>
      </c>
      <c r="B1786" s="6">
        <f t="shared" si="27"/>
        <v>4.88493150684932</v>
      </c>
      <c r="C1786" s="6">
        <f>EXP(-r_free*B1786)</f>
        <v>0.863684321819773</v>
      </c>
    </row>
    <row r="1787" spans="1:3">
      <c r="A1787" s="10">
        <v>1784</v>
      </c>
      <c r="B1787" s="12">
        <f t="shared" si="27"/>
        <v>4.88767123287671</v>
      </c>
      <c r="C1787" s="12">
        <f>EXP(-r_free*B1787)</f>
        <v>0.86361333698452</v>
      </c>
    </row>
    <row r="1788" spans="1:3">
      <c r="A1788" s="4">
        <v>1785</v>
      </c>
      <c r="B1788" s="6">
        <f t="shared" si="27"/>
        <v>4.89041095890411</v>
      </c>
      <c r="C1788" s="6">
        <f>EXP(-r_free*B1788)</f>
        <v>0.863542357983397</v>
      </c>
    </row>
    <row r="1789" spans="1:3">
      <c r="A1789" s="10">
        <v>1786</v>
      </c>
      <c r="B1789" s="12">
        <f t="shared" si="27"/>
        <v>4.89315068493151</v>
      </c>
      <c r="C1789" s="12">
        <f>EXP(-r_free*B1789)</f>
        <v>0.863471384815925</v>
      </c>
    </row>
    <row r="1790" spans="1:3">
      <c r="A1790" s="4">
        <v>1787</v>
      </c>
      <c r="B1790" s="6">
        <f t="shared" si="27"/>
        <v>4.8958904109589</v>
      </c>
      <c r="C1790" s="6">
        <f>EXP(-r_free*B1790)</f>
        <v>0.863400417481624</v>
      </c>
    </row>
    <row r="1791" spans="1:3">
      <c r="A1791" s="10">
        <v>1788</v>
      </c>
      <c r="B1791" s="12">
        <f t="shared" si="27"/>
        <v>4.8986301369863</v>
      </c>
      <c r="C1791" s="12">
        <f>EXP(-r_free*B1791)</f>
        <v>0.863329455980014</v>
      </c>
    </row>
    <row r="1792" spans="1:3">
      <c r="A1792" s="4">
        <v>1789</v>
      </c>
      <c r="B1792" s="6">
        <f t="shared" si="27"/>
        <v>4.9013698630137</v>
      </c>
      <c r="C1792" s="6">
        <f>EXP(-r_free*B1792)</f>
        <v>0.863258500310618</v>
      </c>
    </row>
    <row r="1793" spans="1:3">
      <c r="A1793" s="10">
        <v>1790</v>
      </c>
      <c r="B1793" s="12">
        <f t="shared" si="27"/>
        <v>4.9041095890411</v>
      </c>
      <c r="C1793" s="12">
        <f>EXP(-r_free*B1793)</f>
        <v>0.863187550472954</v>
      </c>
    </row>
    <row r="1794" spans="1:3">
      <c r="A1794" s="4">
        <v>1791</v>
      </c>
      <c r="B1794" s="6">
        <f t="shared" si="27"/>
        <v>4.90684931506849</v>
      </c>
      <c r="C1794" s="6">
        <f>EXP(-r_free*B1794)</f>
        <v>0.863116606466545</v>
      </c>
    </row>
    <row r="1795" spans="1:3">
      <c r="A1795" s="10">
        <v>1792</v>
      </c>
      <c r="B1795" s="12">
        <f t="shared" ref="B1795:B1828" si="28">A1795/365</f>
        <v>4.90958904109589</v>
      </c>
      <c r="C1795" s="12">
        <f>EXP(-r_free*B1795)</f>
        <v>0.86304566829091</v>
      </c>
    </row>
    <row r="1796" spans="1:3">
      <c r="A1796" s="4">
        <v>1793</v>
      </c>
      <c r="B1796" s="6">
        <f t="shared" si="28"/>
        <v>4.91232876712329</v>
      </c>
      <c r="C1796" s="6">
        <f>EXP(-r_free*B1796)</f>
        <v>0.86297473594557</v>
      </c>
    </row>
    <row r="1797" spans="1:3">
      <c r="A1797" s="10">
        <v>1794</v>
      </c>
      <c r="B1797" s="12">
        <f t="shared" si="28"/>
        <v>4.91506849315068</v>
      </c>
      <c r="C1797" s="12">
        <f>EXP(-r_free*B1797)</f>
        <v>0.862903809430046</v>
      </c>
    </row>
    <row r="1798" spans="1:3">
      <c r="A1798" s="4">
        <v>1795</v>
      </c>
      <c r="B1798" s="6">
        <f t="shared" si="28"/>
        <v>4.91780821917808</v>
      </c>
      <c r="C1798" s="6">
        <f>EXP(-r_free*B1798)</f>
        <v>0.86283288874386</v>
      </c>
    </row>
    <row r="1799" spans="1:3">
      <c r="A1799" s="10">
        <v>1796</v>
      </c>
      <c r="B1799" s="12">
        <f t="shared" si="28"/>
        <v>4.92054794520548</v>
      </c>
      <c r="C1799" s="12">
        <f>EXP(-r_free*B1799)</f>
        <v>0.862761973886532</v>
      </c>
    </row>
    <row r="1800" spans="1:3">
      <c r="A1800" s="4">
        <v>1797</v>
      </c>
      <c r="B1800" s="6">
        <f t="shared" si="28"/>
        <v>4.92328767123288</v>
      </c>
      <c r="C1800" s="6">
        <f>EXP(-r_free*B1800)</f>
        <v>0.862691064857582</v>
      </c>
    </row>
    <row r="1801" spans="1:3">
      <c r="A1801" s="10">
        <v>1798</v>
      </c>
      <c r="B1801" s="12">
        <f t="shared" si="28"/>
        <v>4.92602739726027</v>
      </c>
      <c r="C1801" s="12">
        <f>EXP(-r_free*B1801)</f>
        <v>0.862620161656532</v>
      </c>
    </row>
    <row r="1802" spans="1:3">
      <c r="A1802" s="4">
        <v>1799</v>
      </c>
      <c r="B1802" s="6">
        <f t="shared" si="28"/>
        <v>4.92876712328767</v>
      </c>
      <c r="C1802" s="6">
        <f>EXP(-r_free*B1802)</f>
        <v>0.862549264282903</v>
      </c>
    </row>
    <row r="1803" spans="1:3">
      <c r="A1803" s="10">
        <v>1800</v>
      </c>
      <c r="B1803" s="12">
        <f t="shared" si="28"/>
        <v>4.93150684931507</v>
      </c>
      <c r="C1803" s="12">
        <f>EXP(-r_free*B1803)</f>
        <v>0.862478372736217</v>
      </c>
    </row>
    <row r="1804" spans="1:3">
      <c r="A1804" s="4">
        <v>1801</v>
      </c>
      <c r="B1804" s="6">
        <f t="shared" si="28"/>
        <v>4.93424657534247</v>
      </c>
      <c r="C1804" s="6">
        <f>EXP(-r_free*B1804)</f>
        <v>0.862407487015993</v>
      </c>
    </row>
    <row r="1805" spans="1:3">
      <c r="A1805" s="10">
        <v>1802</v>
      </c>
      <c r="B1805" s="12">
        <f t="shared" si="28"/>
        <v>4.93698630136986</v>
      </c>
      <c r="C1805" s="12">
        <f>EXP(-r_free*B1805)</f>
        <v>0.862336607121753</v>
      </c>
    </row>
    <row r="1806" spans="1:3">
      <c r="A1806" s="4">
        <v>1803</v>
      </c>
      <c r="B1806" s="6">
        <f t="shared" si="28"/>
        <v>4.93972602739726</v>
      </c>
      <c r="C1806" s="6">
        <f>EXP(-r_free*B1806)</f>
        <v>0.862265733053019</v>
      </c>
    </row>
    <row r="1807" spans="1:3">
      <c r="A1807" s="10">
        <v>1804</v>
      </c>
      <c r="B1807" s="12">
        <f t="shared" si="28"/>
        <v>4.94246575342466</v>
      </c>
      <c r="C1807" s="12">
        <f>EXP(-r_free*B1807)</f>
        <v>0.862194864809311</v>
      </c>
    </row>
    <row r="1808" spans="1:3">
      <c r="A1808" s="4">
        <v>1805</v>
      </c>
      <c r="B1808" s="6">
        <f t="shared" si="28"/>
        <v>4.94520547945205</v>
      </c>
      <c r="C1808" s="6">
        <f>EXP(-r_free*B1808)</f>
        <v>0.862124002390151</v>
      </c>
    </row>
    <row r="1809" spans="1:3">
      <c r="A1809" s="10">
        <v>1806</v>
      </c>
      <c r="B1809" s="12">
        <f t="shared" si="28"/>
        <v>4.94794520547945</v>
      </c>
      <c r="C1809" s="12">
        <f>EXP(-r_free*B1809)</f>
        <v>0.86205314579506</v>
      </c>
    </row>
    <row r="1810" spans="1:3">
      <c r="A1810" s="4">
        <v>1807</v>
      </c>
      <c r="B1810" s="6">
        <f t="shared" si="28"/>
        <v>4.95068493150685</v>
      </c>
      <c r="C1810" s="6">
        <f>EXP(-r_free*B1810)</f>
        <v>0.861982295023559</v>
      </c>
    </row>
    <row r="1811" spans="1:3">
      <c r="A1811" s="10">
        <v>1808</v>
      </c>
      <c r="B1811" s="12">
        <f t="shared" si="28"/>
        <v>4.95342465753425</v>
      </c>
      <c r="C1811" s="12">
        <f>EXP(-r_free*B1811)</f>
        <v>0.86191145007517</v>
      </c>
    </row>
    <row r="1812" spans="1:3">
      <c r="A1812" s="4">
        <v>1809</v>
      </c>
      <c r="B1812" s="6">
        <f t="shared" si="28"/>
        <v>4.95616438356164</v>
      </c>
      <c r="C1812" s="6">
        <f>EXP(-r_free*B1812)</f>
        <v>0.861840610949415</v>
      </c>
    </row>
    <row r="1813" spans="1:3">
      <c r="A1813" s="10">
        <v>1810</v>
      </c>
      <c r="B1813" s="12">
        <f t="shared" si="28"/>
        <v>4.95890410958904</v>
      </c>
      <c r="C1813" s="12">
        <f>EXP(-r_free*B1813)</f>
        <v>0.861769777645813</v>
      </c>
    </row>
    <row r="1814" spans="1:3">
      <c r="A1814" s="4">
        <v>1811</v>
      </c>
      <c r="B1814" s="6">
        <f t="shared" si="28"/>
        <v>4.96164383561644</v>
      </c>
      <c r="C1814" s="6">
        <f>EXP(-r_free*B1814)</f>
        <v>0.861698950163889</v>
      </c>
    </row>
    <row r="1815" spans="1:3">
      <c r="A1815" s="10">
        <v>1812</v>
      </c>
      <c r="B1815" s="12">
        <f t="shared" si="28"/>
        <v>4.96438356164384</v>
      </c>
      <c r="C1815" s="12">
        <f>EXP(-r_free*B1815)</f>
        <v>0.861628128503161</v>
      </c>
    </row>
    <row r="1816" spans="1:3">
      <c r="A1816" s="4">
        <v>1813</v>
      </c>
      <c r="B1816" s="6">
        <f t="shared" si="28"/>
        <v>4.96712328767123</v>
      </c>
      <c r="C1816" s="6">
        <f>EXP(-r_free*B1816)</f>
        <v>0.861557312663153</v>
      </c>
    </row>
    <row r="1817" spans="1:3">
      <c r="A1817" s="10">
        <v>1814</v>
      </c>
      <c r="B1817" s="12">
        <f t="shared" si="28"/>
        <v>4.96986301369863</v>
      </c>
      <c r="C1817" s="12">
        <f>EXP(-r_free*B1817)</f>
        <v>0.861486502643386</v>
      </c>
    </row>
    <row r="1818" spans="1:3">
      <c r="A1818" s="4">
        <v>1815</v>
      </c>
      <c r="B1818" s="6">
        <f t="shared" si="28"/>
        <v>4.97260273972603</v>
      </c>
      <c r="C1818" s="6">
        <f>EXP(-r_free*B1818)</f>
        <v>0.861415698443381</v>
      </c>
    </row>
    <row r="1819" spans="1:3">
      <c r="A1819" s="10">
        <v>1816</v>
      </c>
      <c r="B1819" s="12">
        <f t="shared" si="28"/>
        <v>4.97534246575342</v>
      </c>
      <c r="C1819" s="12">
        <f>EXP(-r_free*B1819)</f>
        <v>0.861344900062661</v>
      </c>
    </row>
    <row r="1820" spans="1:3">
      <c r="A1820" s="4">
        <v>1817</v>
      </c>
      <c r="B1820" s="6">
        <f t="shared" si="28"/>
        <v>4.97808219178082</v>
      </c>
      <c r="C1820" s="6">
        <f>EXP(-r_free*B1820)</f>
        <v>0.861274107500746</v>
      </c>
    </row>
    <row r="1821" spans="1:3">
      <c r="A1821" s="10">
        <v>1818</v>
      </c>
      <c r="B1821" s="12">
        <f t="shared" si="28"/>
        <v>4.98082191780822</v>
      </c>
      <c r="C1821" s="12">
        <f>EXP(-r_free*B1821)</f>
        <v>0.861203320757159</v>
      </c>
    </row>
    <row r="1822" spans="1:3">
      <c r="A1822" s="4">
        <v>1819</v>
      </c>
      <c r="B1822" s="6">
        <f t="shared" si="28"/>
        <v>4.98356164383562</v>
      </c>
      <c r="C1822" s="6">
        <f>EXP(-r_free*B1822)</f>
        <v>0.861132539831421</v>
      </c>
    </row>
    <row r="1823" spans="1:3">
      <c r="A1823" s="10">
        <v>1820</v>
      </c>
      <c r="B1823" s="12">
        <f t="shared" si="28"/>
        <v>4.98630136986301</v>
      </c>
      <c r="C1823" s="12">
        <f>EXP(-r_free*B1823)</f>
        <v>0.861061764723054</v>
      </c>
    </row>
    <row r="1824" spans="1:3">
      <c r="A1824" s="4">
        <v>1821</v>
      </c>
      <c r="B1824" s="6">
        <f t="shared" si="28"/>
        <v>4.98904109589041</v>
      </c>
      <c r="C1824" s="6">
        <f>EXP(-r_free*B1824)</f>
        <v>0.860990995431581</v>
      </c>
    </row>
    <row r="1825" spans="1:4">
      <c r="A1825" s="10">
        <v>1822</v>
      </c>
      <c r="B1825" s="12">
        <f t="shared" si="28"/>
        <v>4.99178082191781</v>
      </c>
      <c r="C1825" s="12">
        <f>EXP(-r_free*B1825)</f>
        <v>0.860920231956523</v>
      </c>
    </row>
    <row r="1826" spans="1:4">
      <c r="A1826" s="4">
        <v>1823</v>
      </c>
      <c r="B1826" s="6">
        <f t="shared" si="28"/>
        <v>4.99452054794521</v>
      </c>
      <c r="C1826" s="6">
        <f>EXP(-r_free*B1826)</f>
        <v>0.860849474297401</v>
      </c>
    </row>
    <row r="1827" spans="1:4">
      <c r="A1827" s="10">
        <v>1824</v>
      </c>
      <c r="B1827" s="12">
        <f t="shared" si="28"/>
        <v>4.9972602739726</v>
      </c>
      <c r="C1827" s="12">
        <f>EXP(-r_free*B1827)</f>
        <v>0.860778722453739</v>
      </c>
    </row>
    <row r="1828" spans="1:4">
      <c r="A1828" s="4">
        <v>1825</v>
      </c>
      <c r="B1828" s="6">
        <f t="shared" si="28"/>
        <v>5</v>
      </c>
      <c r="C1828" s="6">
        <f>EXP(-r_free*B1828)</f>
        <v>0.860707976425058</v>
      </c>
      <c r="D1828" s="43" t="s">
        <v>54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28"/>
  <sheetViews>
    <sheetView zoomScale="160" zoomScaleNormal="160" workbookViewId="0">
      <pane ySplit="2" topLeftCell="A3" activePane="bottomLeft" state="frozen"/>
      <selection/>
      <selection pane="bottomLeft" activeCell="G13" sqref="G13"/>
    </sheetView>
  </sheetViews>
  <sheetFormatPr defaultColWidth="8.6796875" defaultRowHeight="16.8" outlineLevelCol="4"/>
  <cols>
    <col min="1" max="1" width="8" customWidth="1"/>
    <col min="2" max="2" width="12" customWidth="1"/>
    <col min="3" max="4" width="14" customWidth="1"/>
    <col min="5" max="5" width="18" customWidth="1"/>
  </cols>
  <sheetData>
    <row r="1" ht="15" customHeight="1" spans="1:5">
      <c r="A1" s="28" t="s">
        <v>55</v>
      </c>
      <c r="B1" s="28"/>
      <c r="C1" s="28"/>
      <c r="D1" s="28"/>
      <c r="E1" s="28"/>
    </row>
    <row r="2" spans="1:5">
      <c r="A2" s="2" t="s">
        <v>30</v>
      </c>
      <c r="B2" s="2" t="s">
        <v>31</v>
      </c>
      <c r="C2" s="2" t="s">
        <v>56</v>
      </c>
      <c r="D2" s="2" t="s">
        <v>57</v>
      </c>
      <c r="E2" s="15" t="s">
        <v>33</v>
      </c>
    </row>
    <row r="3" spans="1:5">
      <c r="A3" s="39">
        <v>0</v>
      </c>
      <c r="B3" s="40">
        <f t="shared" ref="B3:B66" si="0">A3/365</f>
        <v>0</v>
      </c>
      <c r="C3" s="41">
        <f>'1_Inputs'!$H$3</f>
        <v>0.0115882033164433</v>
      </c>
      <c r="D3" s="40">
        <f>1</f>
        <v>1</v>
      </c>
      <c r="E3" s="42" t="s">
        <v>58</v>
      </c>
    </row>
    <row r="4" spans="1:5">
      <c r="A4" s="4">
        <v>1</v>
      </c>
      <c r="B4" s="6">
        <f t="shared" si="0"/>
        <v>0.00273972602739726</v>
      </c>
      <c r="C4" s="8">
        <f>'1_Inputs'!$H$3</f>
        <v>0.0115882033164433</v>
      </c>
      <c r="D4" s="6">
        <f>D3*EXP(-'1_Inputs'!$H$3*(1/365))</f>
        <v>0.999968252001742</v>
      </c>
    </row>
    <row r="5" spans="1:5">
      <c r="A5" s="10">
        <v>2</v>
      </c>
      <c r="B5" s="12">
        <f t="shared" si="0"/>
        <v>0.00547945205479452</v>
      </c>
      <c r="C5" s="14">
        <f>'1_Inputs'!$H$3</f>
        <v>0.0115882033164433</v>
      </c>
      <c r="D5" s="12">
        <f>D4*EXP(-'1_Inputs'!$H$3*(1/365))</f>
        <v>0.999936505011419</v>
      </c>
    </row>
    <row r="6" spans="1:5">
      <c r="A6" s="4">
        <v>3</v>
      </c>
      <c r="B6" s="6">
        <f t="shared" si="0"/>
        <v>0.00821917808219178</v>
      </c>
      <c r="C6" s="8">
        <f>'1_Inputs'!$H$3</f>
        <v>0.0115882033164433</v>
      </c>
      <c r="D6" s="6">
        <f>D5*EXP(-'1_Inputs'!$H$3*(1/365))</f>
        <v>0.999904759028999</v>
      </c>
    </row>
    <row r="7" spans="1:5">
      <c r="A7" s="10">
        <v>4</v>
      </c>
      <c r="B7" s="12">
        <f t="shared" si="0"/>
        <v>0.010958904109589</v>
      </c>
      <c r="C7" s="14">
        <f>'1_Inputs'!$H$3</f>
        <v>0.0115882033164433</v>
      </c>
      <c r="D7" s="12">
        <f>D6*EXP(-'1_Inputs'!$H$3*(1/365))</f>
        <v>0.999873014054451</v>
      </c>
    </row>
    <row r="8" spans="1:5">
      <c r="A8" s="4">
        <v>5</v>
      </c>
      <c r="B8" s="6">
        <f t="shared" si="0"/>
        <v>0.0136986301369863</v>
      </c>
      <c r="C8" s="8">
        <f>'1_Inputs'!$H$3</f>
        <v>0.0115882033164433</v>
      </c>
      <c r="D8" s="6">
        <f>D7*EXP(-'1_Inputs'!$H$3*(1/365))</f>
        <v>0.999841270087742</v>
      </c>
    </row>
    <row r="9" spans="1:5">
      <c r="A9" s="10">
        <v>6</v>
      </c>
      <c r="B9" s="12">
        <f t="shared" si="0"/>
        <v>0.0164383561643836</v>
      </c>
      <c r="C9" s="14">
        <f>'1_Inputs'!$H$3</f>
        <v>0.0115882033164433</v>
      </c>
      <c r="D9" s="12">
        <f>D8*EXP(-'1_Inputs'!$H$3*(1/365))</f>
        <v>0.99980952712884</v>
      </c>
    </row>
    <row r="10" spans="1:5">
      <c r="A10" s="4">
        <v>7</v>
      </c>
      <c r="B10" s="6">
        <f t="shared" si="0"/>
        <v>0.0191780821917808</v>
      </c>
      <c r="C10" s="8">
        <f>'1_Inputs'!$H$3</f>
        <v>0.0115882033164433</v>
      </c>
      <c r="D10" s="6">
        <f>D9*EXP(-'1_Inputs'!$H$3*(1/365))</f>
        <v>0.999777785177714</v>
      </c>
    </row>
    <row r="11" spans="1:5">
      <c r="A11" s="10">
        <v>8</v>
      </c>
      <c r="B11" s="12">
        <f t="shared" si="0"/>
        <v>0.0219178082191781</v>
      </c>
      <c r="C11" s="14">
        <f>'1_Inputs'!$H$3</f>
        <v>0.0115882033164433</v>
      </c>
      <c r="D11" s="12">
        <f>D10*EXP(-'1_Inputs'!$H$3*(1/365))</f>
        <v>0.999746044234331</v>
      </c>
    </row>
    <row r="12" spans="1:5">
      <c r="A12" s="4">
        <v>9</v>
      </c>
      <c r="B12" s="6">
        <f t="shared" si="0"/>
        <v>0.0246575342465753</v>
      </c>
      <c r="C12" s="8">
        <f>'1_Inputs'!$H$3</f>
        <v>0.0115882033164433</v>
      </c>
      <c r="D12" s="6">
        <f>D11*EXP(-'1_Inputs'!$H$3*(1/365))</f>
        <v>0.99971430429866</v>
      </c>
    </row>
    <row r="13" spans="1:5">
      <c r="A13" s="10">
        <v>10</v>
      </c>
      <c r="B13" s="12">
        <f t="shared" si="0"/>
        <v>0.0273972602739726</v>
      </c>
      <c r="C13" s="14">
        <f>'1_Inputs'!$H$3</f>
        <v>0.0115882033164433</v>
      </c>
      <c r="D13" s="12">
        <f>D12*EXP(-'1_Inputs'!$H$3*(1/365))</f>
        <v>0.999682565370668</v>
      </c>
    </row>
    <row r="14" spans="1:5">
      <c r="A14" s="4">
        <v>11</v>
      </c>
      <c r="B14" s="6">
        <f t="shared" si="0"/>
        <v>0.0301369863013699</v>
      </c>
      <c r="C14" s="8">
        <f>'1_Inputs'!$H$3</f>
        <v>0.0115882033164433</v>
      </c>
      <c r="D14" s="6">
        <f>D13*EXP(-'1_Inputs'!$H$3*(1/365))</f>
        <v>0.999650827450324</v>
      </c>
    </row>
    <row r="15" spans="1:5">
      <c r="A15" s="10">
        <v>12</v>
      </c>
      <c r="B15" s="12">
        <f t="shared" si="0"/>
        <v>0.0328767123287671</v>
      </c>
      <c r="C15" s="14">
        <f>'1_Inputs'!$H$3</f>
        <v>0.0115882033164433</v>
      </c>
      <c r="D15" s="12">
        <f>D14*EXP(-'1_Inputs'!$H$3*(1/365))</f>
        <v>0.999619090537595</v>
      </c>
    </row>
    <row r="16" spans="1:5">
      <c r="A16" s="4">
        <v>13</v>
      </c>
      <c r="B16" s="6">
        <f t="shared" si="0"/>
        <v>0.0356164383561644</v>
      </c>
      <c r="C16" s="8">
        <f>'1_Inputs'!$H$3</f>
        <v>0.0115882033164433</v>
      </c>
      <c r="D16" s="6">
        <f>D15*EXP(-'1_Inputs'!$H$3*(1/365))</f>
        <v>0.99958735463245</v>
      </c>
    </row>
    <row r="17" spans="1:4">
      <c r="A17" s="10">
        <v>14</v>
      </c>
      <c r="B17" s="12">
        <f t="shared" si="0"/>
        <v>0.0383561643835616</v>
      </c>
      <c r="C17" s="14">
        <f>'1_Inputs'!$H$3</f>
        <v>0.0115882033164433</v>
      </c>
      <c r="D17" s="12">
        <f>D16*EXP(-'1_Inputs'!$H$3*(1/365))</f>
        <v>0.999555619734856</v>
      </c>
    </row>
    <row r="18" spans="1:4">
      <c r="A18" s="4">
        <v>15</v>
      </c>
      <c r="B18" s="6">
        <f t="shared" si="0"/>
        <v>0.0410958904109589</v>
      </c>
      <c r="C18" s="8">
        <f>'1_Inputs'!$H$3</f>
        <v>0.0115882033164433</v>
      </c>
      <c r="D18" s="6">
        <f>D17*EXP(-'1_Inputs'!$H$3*(1/365))</f>
        <v>0.999523885844781</v>
      </c>
    </row>
    <row r="19" spans="1:4">
      <c r="A19" s="10">
        <v>16</v>
      </c>
      <c r="B19" s="12">
        <f t="shared" si="0"/>
        <v>0.0438356164383562</v>
      </c>
      <c r="C19" s="14">
        <f>'1_Inputs'!$H$3</f>
        <v>0.0115882033164433</v>
      </c>
      <c r="D19" s="12">
        <f>D18*EXP(-'1_Inputs'!$H$3*(1/365))</f>
        <v>0.999492152962194</v>
      </c>
    </row>
    <row r="20" spans="1:4">
      <c r="A20" s="4">
        <v>17</v>
      </c>
      <c r="B20" s="6">
        <f t="shared" si="0"/>
        <v>0.0465753424657534</v>
      </c>
      <c r="C20" s="8">
        <f>'1_Inputs'!$H$3</f>
        <v>0.0115882033164433</v>
      </c>
      <c r="D20" s="6">
        <f>D19*EXP(-'1_Inputs'!$H$3*(1/365))</f>
        <v>0.999460421087062</v>
      </c>
    </row>
    <row r="21" spans="1:4">
      <c r="A21" s="10">
        <v>18</v>
      </c>
      <c r="B21" s="12">
        <f t="shared" si="0"/>
        <v>0.0493150684931507</v>
      </c>
      <c r="C21" s="14">
        <f>'1_Inputs'!$H$3</f>
        <v>0.0115882033164433</v>
      </c>
      <c r="D21" s="12">
        <f>D20*EXP(-'1_Inputs'!$H$3*(1/365))</f>
        <v>0.999428690219354</v>
      </c>
    </row>
    <row r="22" spans="1:4">
      <c r="A22" s="4">
        <v>19</v>
      </c>
      <c r="B22" s="6">
        <f t="shared" si="0"/>
        <v>0.0520547945205479</v>
      </c>
      <c r="C22" s="8">
        <f>'1_Inputs'!$H$3</f>
        <v>0.0115882033164433</v>
      </c>
      <c r="D22" s="6">
        <f>D21*EXP(-'1_Inputs'!$H$3*(1/365))</f>
        <v>0.999396960359038</v>
      </c>
    </row>
    <row r="23" spans="1:4">
      <c r="A23" s="10">
        <v>20</v>
      </c>
      <c r="B23" s="12">
        <f t="shared" si="0"/>
        <v>0.0547945205479452</v>
      </c>
      <c r="C23" s="14">
        <f>'1_Inputs'!$H$3</f>
        <v>0.0115882033164433</v>
      </c>
      <c r="D23" s="12">
        <f>D22*EXP(-'1_Inputs'!$H$3*(1/365))</f>
        <v>0.999365231506081</v>
      </c>
    </row>
    <row r="24" spans="1:4">
      <c r="A24" s="4">
        <v>21</v>
      </c>
      <c r="B24" s="6">
        <f t="shared" si="0"/>
        <v>0.0575342465753425</v>
      </c>
      <c r="C24" s="8">
        <f>'1_Inputs'!$H$3</f>
        <v>0.0115882033164433</v>
      </c>
      <c r="D24" s="6">
        <f>D23*EXP(-'1_Inputs'!$H$3*(1/365))</f>
        <v>0.999333503660451</v>
      </c>
    </row>
    <row r="25" spans="1:4">
      <c r="A25" s="10">
        <v>22</v>
      </c>
      <c r="B25" s="12">
        <f t="shared" si="0"/>
        <v>0.0602739726027397</v>
      </c>
      <c r="C25" s="14">
        <f>'1_Inputs'!$H$3</f>
        <v>0.0115882033164433</v>
      </c>
      <c r="D25" s="12">
        <f>D24*EXP(-'1_Inputs'!$H$3*(1/365))</f>
        <v>0.999301776822117</v>
      </c>
    </row>
    <row r="26" spans="1:4">
      <c r="A26" s="4">
        <v>23</v>
      </c>
      <c r="B26" s="6">
        <f t="shared" si="0"/>
        <v>0.063013698630137</v>
      </c>
      <c r="C26" s="8">
        <f>'1_Inputs'!$H$3</f>
        <v>0.0115882033164433</v>
      </c>
      <c r="D26" s="6">
        <f>D25*EXP(-'1_Inputs'!$H$3*(1/365))</f>
        <v>0.999270050991047</v>
      </c>
    </row>
    <row r="27" spans="1:4">
      <c r="A27" s="10">
        <v>24</v>
      </c>
      <c r="B27" s="12">
        <f t="shared" si="0"/>
        <v>0.0657534246575342</v>
      </c>
      <c r="C27" s="14">
        <f>'1_Inputs'!$H$3</f>
        <v>0.0115882033164433</v>
      </c>
      <c r="D27" s="12">
        <f>D26*EXP(-'1_Inputs'!$H$3*(1/365))</f>
        <v>0.999238326167209</v>
      </c>
    </row>
    <row r="28" spans="1:4">
      <c r="A28" s="4">
        <v>25</v>
      </c>
      <c r="B28" s="6">
        <f t="shared" si="0"/>
        <v>0.0684931506849315</v>
      </c>
      <c r="C28" s="8">
        <f>'1_Inputs'!$H$3</f>
        <v>0.0115882033164433</v>
      </c>
      <c r="D28" s="6">
        <f>D27*EXP(-'1_Inputs'!$H$3*(1/365))</f>
        <v>0.99920660235057</v>
      </c>
    </row>
    <row r="29" spans="1:4">
      <c r="A29" s="10">
        <v>26</v>
      </c>
      <c r="B29" s="12">
        <f t="shared" si="0"/>
        <v>0.0712328767123288</v>
      </c>
      <c r="C29" s="14">
        <f>'1_Inputs'!$H$3</f>
        <v>0.0115882033164433</v>
      </c>
      <c r="D29" s="12">
        <f>D28*EXP(-'1_Inputs'!$H$3*(1/365))</f>
        <v>0.999174879541098</v>
      </c>
    </row>
    <row r="30" spans="1:4">
      <c r="A30" s="4">
        <v>27</v>
      </c>
      <c r="B30" s="6">
        <f t="shared" si="0"/>
        <v>0.073972602739726</v>
      </c>
      <c r="C30" s="8">
        <f>'1_Inputs'!$H$3</f>
        <v>0.0115882033164433</v>
      </c>
      <c r="D30" s="6">
        <f>D29*EXP(-'1_Inputs'!$H$3*(1/365))</f>
        <v>0.999143157738763</v>
      </c>
    </row>
    <row r="31" spans="1:4">
      <c r="A31" s="10">
        <v>28</v>
      </c>
      <c r="B31" s="12">
        <f t="shared" si="0"/>
        <v>0.0767123287671233</v>
      </c>
      <c r="C31" s="14">
        <f>'1_Inputs'!$H$3</f>
        <v>0.0115882033164433</v>
      </c>
      <c r="D31" s="12">
        <f>D30*EXP(-'1_Inputs'!$H$3*(1/365))</f>
        <v>0.999111436943531</v>
      </c>
    </row>
    <row r="32" spans="1:4">
      <c r="A32" s="4">
        <v>29</v>
      </c>
      <c r="B32" s="6">
        <f t="shared" si="0"/>
        <v>0.0794520547945206</v>
      </c>
      <c r="C32" s="8">
        <f>'1_Inputs'!$H$3</f>
        <v>0.0115882033164433</v>
      </c>
      <c r="D32" s="6">
        <f>D31*EXP(-'1_Inputs'!$H$3*(1/365))</f>
        <v>0.999079717155371</v>
      </c>
    </row>
    <row r="33" spans="1:4">
      <c r="A33" s="10">
        <v>30</v>
      </c>
      <c r="B33" s="12">
        <f t="shared" si="0"/>
        <v>0.0821917808219178</v>
      </c>
      <c r="C33" s="14">
        <f>'1_Inputs'!$H$3</f>
        <v>0.0115882033164433</v>
      </c>
      <c r="D33" s="12">
        <f>D32*EXP(-'1_Inputs'!$H$3*(1/365))</f>
        <v>0.999047998374251</v>
      </c>
    </row>
    <row r="34" spans="1:4">
      <c r="A34" s="4">
        <v>31</v>
      </c>
      <c r="B34" s="6">
        <f t="shared" si="0"/>
        <v>0.0849315068493151</v>
      </c>
      <c r="C34" s="8">
        <f>'1_Inputs'!$H$3</f>
        <v>0.0115882033164433</v>
      </c>
      <c r="D34" s="6">
        <f>D33*EXP(-'1_Inputs'!$H$3*(1/365))</f>
        <v>0.999016280600138</v>
      </c>
    </row>
    <row r="35" spans="1:4">
      <c r="A35" s="10">
        <v>32</v>
      </c>
      <c r="B35" s="12">
        <f t="shared" si="0"/>
        <v>0.0876712328767123</v>
      </c>
      <c r="C35" s="14">
        <f>'1_Inputs'!$H$3</f>
        <v>0.0115882033164433</v>
      </c>
      <c r="D35" s="12">
        <f>D34*EXP(-'1_Inputs'!$H$3*(1/365))</f>
        <v>0.998984563833001</v>
      </c>
    </row>
    <row r="36" spans="1:4">
      <c r="A36" s="4">
        <v>33</v>
      </c>
      <c r="B36" s="6">
        <f t="shared" si="0"/>
        <v>0.0904109589041096</v>
      </c>
      <c r="C36" s="8">
        <f>'1_Inputs'!$H$3</f>
        <v>0.0115882033164433</v>
      </c>
      <c r="D36" s="6">
        <f>D35*EXP(-'1_Inputs'!$H$3*(1/365))</f>
        <v>0.998952848072809</v>
      </c>
    </row>
    <row r="37" spans="1:4">
      <c r="A37" s="10">
        <v>34</v>
      </c>
      <c r="B37" s="12">
        <f t="shared" si="0"/>
        <v>0.0931506849315069</v>
      </c>
      <c r="C37" s="14">
        <f>'1_Inputs'!$H$3</f>
        <v>0.0115882033164433</v>
      </c>
      <c r="D37" s="12">
        <f>D36*EXP(-'1_Inputs'!$H$3*(1/365))</f>
        <v>0.998921133319528</v>
      </c>
    </row>
    <row r="38" spans="1:4">
      <c r="A38" s="4">
        <v>35</v>
      </c>
      <c r="B38" s="6">
        <f t="shared" si="0"/>
        <v>0.0958904109589041</v>
      </c>
      <c r="C38" s="8">
        <f>'1_Inputs'!$H$3</f>
        <v>0.0115882033164433</v>
      </c>
      <c r="D38" s="6">
        <f>D37*EXP(-'1_Inputs'!$H$3*(1/365))</f>
        <v>0.998889419573127</v>
      </c>
    </row>
    <row r="39" spans="1:4">
      <c r="A39" s="10">
        <v>36</v>
      </c>
      <c r="B39" s="12">
        <f t="shared" si="0"/>
        <v>0.0986301369863014</v>
      </c>
      <c r="C39" s="14">
        <f>'1_Inputs'!$H$3</f>
        <v>0.0115882033164433</v>
      </c>
      <c r="D39" s="12">
        <f>D38*EXP(-'1_Inputs'!$H$3*(1/365))</f>
        <v>0.998857706833574</v>
      </c>
    </row>
    <row r="40" spans="1:4">
      <c r="A40" s="4">
        <v>37</v>
      </c>
      <c r="B40" s="6">
        <f t="shared" si="0"/>
        <v>0.101369863013699</v>
      </c>
      <c r="C40" s="8">
        <f>'1_Inputs'!$H$3</f>
        <v>0.0115882033164433</v>
      </c>
      <c r="D40" s="6">
        <f>D39*EXP(-'1_Inputs'!$H$3*(1/365))</f>
        <v>0.998825995100837</v>
      </c>
    </row>
    <row r="41" spans="1:4">
      <c r="A41" s="10">
        <v>38</v>
      </c>
      <c r="B41" s="12">
        <f t="shared" si="0"/>
        <v>0.104109589041096</v>
      </c>
      <c r="C41" s="14">
        <f>'1_Inputs'!$H$3</f>
        <v>0.0115882033164433</v>
      </c>
      <c r="D41" s="12">
        <f>D40*EXP(-'1_Inputs'!$H$3*(1/365))</f>
        <v>0.998794284374884</v>
      </c>
    </row>
    <row r="42" spans="1:4">
      <c r="A42" s="4">
        <v>39</v>
      </c>
      <c r="B42" s="6">
        <f t="shared" si="0"/>
        <v>0.106849315068493</v>
      </c>
      <c r="C42" s="8">
        <f>'1_Inputs'!$H$3</f>
        <v>0.0115882033164433</v>
      </c>
      <c r="D42" s="6">
        <f>D41*EXP(-'1_Inputs'!$H$3*(1/365))</f>
        <v>0.998762574655683</v>
      </c>
    </row>
    <row r="43" spans="1:4">
      <c r="A43" s="10">
        <v>40</v>
      </c>
      <c r="B43" s="12">
        <f t="shared" si="0"/>
        <v>0.10958904109589</v>
      </c>
      <c r="C43" s="14">
        <f>'1_Inputs'!$H$3</f>
        <v>0.0115882033164433</v>
      </c>
      <c r="D43" s="12">
        <f>D42*EXP(-'1_Inputs'!$H$3*(1/365))</f>
        <v>0.998730865943202</v>
      </c>
    </row>
    <row r="44" spans="1:4">
      <c r="A44" s="4">
        <v>41</v>
      </c>
      <c r="B44" s="6">
        <f t="shared" si="0"/>
        <v>0.112328767123288</v>
      </c>
      <c r="C44" s="8">
        <f>'1_Inputs'!$H$3</f>
        <v>0.0115882033164433</v>
      </c>
      <c r="D44" s="6">
        <f>D43*EXP(-'1_Inputs'!$H$3*(1/365))</f>
        <v>0.99869915823741</v>
      </c>
    </row>
    <row r="45" spans="1:4">
      <c r="A45" s="10">
        <v>42</v>
      </c>
      <c r="B45" s="12">
        <f t="shared" si="0"/>
        <v>0.115068493150685</v>
      </c>
      <c r="C45" s="14">
        <f>'1_Inputs'!$H$3</f>
        <v>0.0115882033164433</v>
      </c>
      <c r="D45" s="12">
        <f>D44*EXP(-'1_Inputs'!$H$3*(1/365))</f>
        <v>0.998667451538273</v>
      </c>
    </row>
    <row r="46" spans="1:4">
      <c r="A46" s="4">
        <v>43</v>
      </c>
      <c r="B46" s="6">
        <f t="shared" si="0"/>
        <v>0.117808219178082</v>
      </c>
      <c r="C46" s="8">
        <f>'1_Inputs'!$H$3</f>
        <v>0.0115882033164433</v>
      </c>
      <c r="D46" s="6">
        <f>D45*EXP(-'1_Inputs'!$H$3*(1/365))</f>
        <v>0.998635745845761</v>
      </c>
    </row>
    <row r="47" spans="1:4">
      <c r="A47" s="10">
        <v>44</v>
      </c>
      <c r="B47" s="12">
        <f t="shared" si="0"/>
        <v>0.120547945205479</v>
      </c>
      <c r="C47" s="14">
        <f>'1_Inputs'!$H$3</f>
        <v>0.0115882033164433</v>
      </c>
      <c r="D47" s="12">
        <f>D46*EXP(-'1_Inputs'!$H$3*(1/365))</f>
        <v>0.998604041159841</v>
      </c>
    </row>
    <row r="48" spans="1:4">
      <c r="A48" s="4">
        <v>45</v>
      </c>
      <c r="B48" s="6">
        <f t="shared" si="0"/>
        <v>0.123287671232877</v>
      </c>
      <c r="C48" s="8">
        <f>'1_Inputs'!$H$3</f>
        <v>0.0115882033164433</v>
      </c>
      <c r="D48" s="6">
        <f>D47*EXP(-'1_Inputs'!$H$3*(1/365))</f>
        <v>0.998572337480481</v>
      </c>
    </row>
    <row r="49" spans="1:4">
      <c r="A49" s="10">
        <v>46</v>
      </c>
      <c r="B49" s="12">
        <f t="shared" si="0"/>
        <v>0.126027397260274</v>
      </c>
      <c r="C49" s="14">
        <f>'1_Inputs'!$H$3</f>
        <v>0.0115882033164433</v>
      </c>
      <c r="D49" s="12">
        <f>D48*EXP(-'1_Inputs'!$H$3*(1/365))</f>
        <v>0.99854063480765</v>
      </c>
    </row>
    <row r="50" spans="1:4">
      <c r="A50" s="4">
        <v>47</v>
      </c>
      <c r="B50" s="6">
        <f t="shared" si="0"/>
        <v>0.128767123287671</v>
      </c>
      <c r="C50" s="8">
        <f>'1_Inputs'!$H$3</f>
        <v>0.0115882033164433</v>
      </c>
      <c r="D50" s="6">
        <f>D49*EXP(-'1_Inputs'!$H$3*(1/365))</f>
        <v>0.998508933141315</v>
      </c>
    </row>
    <row r="51" spans="1:4">
      <c r="A51" s="10">
        <v>48</v>
      </c>
      <c r="B51" s="12">
        <f t="shared" si="0"/>
        <v>0.131506849315068</v>
      </c>
      <c r="C51" s="14">
        <f>'1_Inputs'!$H$3</f>
        <v>0.0115882033164433</v>
      </c>
      <c r="D51" s="12">
        <f>D50*EXP(-'1_Inputs'!$H$3*(1/365))</f>
        <v>0.998477232481445</v>
      </c>
    </row>
    <row r="52" spans="1:4">
      <c r="A52" s="4">
        <v>49</v>
      </c>
      <c r="B52" s="6">
        <f t="shared" si="0"/>
        <v>0.134246575342466</v>
      </c>
      <c r="C52" s="8">
        <f>'1_Inputs'!$H$3</f>
        <v>0.0115882033164433</v>
      </c>
      <c r="D52" s="6">
        <f>D51*EXP(-'1_Inputs'!$H$3*(1/365))</f>
        <v>0.998445532828007</v>
      </c>
    </row>
    <row r="53" spans="1:4">
      <c r="A53" s="10">
        <v>50</v>
      </c>
      <c r="B53" s="12">
        <f t="shared" si="0"/>
        <v>0.136986301369863</v>
      </c>
      <c r="C53" s="14">
        <f>'1_Inputs'!$H$3</f>
        <v>0.0115882033164433</v>
      </c>
      <c r="D53" s="12">
        <f>D52*EXP(-'1_Inputs'!$H$3*(1/365))</f>
        <v>0.998413834180969</v>
      </c>
    </row>
    <row r="54" spans="1:4">
      <c r="A54" s="4">
        <v>51</v>
      </c>
      <c r="B54" s="6">
        <f t="shared" si="0"/>
        <v>0.13972602739726</v>
      </c>
      <c r="C54" s="8">
        <f>'1_Inputs'!$H$3</f>
        <v>0.0115882033164433</v>
      </c>
      <c r="D54" s="6">
        <f>D53*EXP(-'1_Inputs'!$H$3*(1/365))</f>
        <v>0.998382136540301</v>
      </c>
    </row>
    <row r="55" spans="1:4">
      <c r="A55" s="10">
        <v>52</v>
      </c>
      <c r="B55" s="12">
        <f t="shared" si="0"/>
        <v>0.142465753424658</v>
      </c>
      <c r="C55" s="14">
        <f>'1_Inputs'!$H$3</f>
        <v>0.0115882033164433</v>
      </c>
      <c r="D55" s="12">
        <f>D54*EXP(-'1_Inputs'!$H$3*(1/365))</f>
        <v>0.998350439905969</v>
      </c>
    </row>
    <row r="56" spans="1:4">
      <c r="A56" s="4">
        <v>53</v>
      </c>
      <c r="B56" s="6">
        <f t="shared" si="0"/>
        <v>0.145205479452055</v>
      </c>
      <c r="C56" s="8">
        <f>'1_Inputs'!$H$3</f>
        <v>0.0115882033164433</v>
      </c>
      <c r="D56" s="6">
        <f>D55*EXP(-'1_Inputs'!$H$3*(1/365))</f>
        <v>0.998318744277941</v>
      </c>
    </row>
    <row r="57" spans="1:4">
      <c r="A57" s="10">
        <v>54</v>
      </c>
      <c r="B57" s="12">
        <f t="shared" si="0"/>
        <v>0.147945205479452</v>
      </c>
      <c r="C57" s="14">
        <f>'1_Inputs'!$H$3</f>
        <v>0.0115882033164433</v>
      </c>
      <c r="D57" s="12">
        <f>D56*EXP(-'1_Inputs'!$H$3*(1/365))</f>
        <v>0.998287049656186</v>
      </c>
    </row>
    <row r="58" spans="1:4">
      <c r="A58" s="4">
        <v>55</v>
      </c>
      <c r="B58" s="6">
        <f t="shared" si="0"/>
        <v>0.150684931506849</v>
      </c>
      <c r="C58" s="8">
        <f>'1_Inputs'!$H$3</f>
        <v>0.0115882033164433</v>
      </c>
      <c r="D58" s="6">
        <f>D57*EXP(-'1_Inputs'!$H$3*(1/365))</f>
        <v>0.998255356040673</v>
      </c>
    </row>
    <row r="59" spans="1:4">
      <c r="A59" s="10">
        <v>56</v>
      </c>
      <c r="B59" s="12">
        <f t="shared" si="0"/>
        <v>0.153424657534247</v>
      </c>
      <c r="C59" s="14">
        <f>'1_Inputs'!$H$3</f>
        <v>0.0115882033164433</v>
      </c>
      <c r="D59" s="12">
        <f>D58*EXP(-'1_Inputs'!$H$3*(1/365))</f>
        <v>0.998223663431367</v>
      </c>
    </row>
    <row r="60" spans="1:4">
      <c r="A60" s="4">
        <v>57</v>
      </c>
      <c r="B60" s="6">
        <f t="shared" si="0"/>
        <v>0.156164383561644</v>
      </c>
      <c r="C60" s="8">
        <f>'1_Inputs'!$H$3</f>
        <v>0.0115882033164433</v>
      </c>
      <c r="D60" s="6">
        <f>D59*EXP(-'1_Inputs'!$H$3*(1/365))</f>
        <v>0.998191971828239</v>
      </c>
    </row>
    <row r="61" spans="1:4">
      <c r="A61" s="10">
        <v>58</v>
      </c>
      <c r="B61" s="12">
        <f t="shared" si="0"/>
        <v>0.158904109589041</v>
      </c>
      <c r="C61" s="14">
        <f>'1_Inputs'!$H$3</f>
        <v>0.0115882033164433</v>
      </c>
      <c r="D61" s="12">
        <f>D60*EXP(-'1_Inputs'!$H$3*(1/365))</f>
        <v>0.998160281231256</v>
      </c>
    </row>
    <row r="62" spans="1:4">
      <c r="A62" s="4">
        <v>59</v>
      </c>
      <c r="B62" s="6">
        <f t="shared" si="0"/>
        <v>0.161643835616438</v>
      </c>
      <c r="C62" s="8">
        <f>'1_Inputs'!$H$3</f>
        <v>0.0115882033164433</v>
      </c>
      <c r="D62" s="6">
        <f>D61*EXP(-'1_Inputs'!$H$3*(1/365))</f>
        <v>0.998128591640386</v>
      </c>
    </row>
    <row r="63" spans="1:4">
      <c r="A63" s="10">
        <v>60</v>
      </c>
      <c r="B63" s="12">
        <f t="shared" si="0"/>
        <v>0.164383561643836</v>
      </c>
      <c r="C63" s="14">
        <f>'1_Inputs'!$H$3</f>
        <v>0.0115882033164433</v>
      </c>
      <c r="D63" s="12">
        <f>D62*EXP(-'1_Inputs'!$H$3*(1/365))</f>
        <v>0.998096903055597</v>
      </c>
    </row>
    <row r="64" spans="1:4">
      <c r="A64" s="4">
        <v>61</v>
      </c>
      <c r="B64" s="6">
        <f t="shared" si="0"/>
        <v>0.167123287671233</v>
      </c>
      <c r="C64" s="8">
        <f>'1_Inputs'!$H$3</f>
        <v>0.0115882033164433</v>
      </c>
      <c r="D64" s="6">
        <f>D63*EXP(-'1_Inputs'!$H$3*(1/365))</f>
        <v>0.998065215476857</v>
      </c>
    </row>
    <row r="65" spans="1:4">
      <c r="A65" s="10">
        <v>62</v>
      </c>
      <c r="B65" s="12">
        <f t="shared" si="0"/>
        <v>0.16986301369863</v>
      </c>
      <c r="C65" s="14">
        <f>'1_Inputs'!$H$3</f>
        <v>0.0115882033164433</v>
      </c>
      <c r="D65" s="12">
        <f>D64*EXP(-'1_Inputs'!$H$3*(1/365))</f>
        <v>0.998033528904134</v>
      </c>
    </row>
    <row r="66" spans="1:4">
      <c r="A66" s="4">
        <v>63</v>
      </c>
      <c r="B66" s="6">
        <f t="shared" si="0"/>
        <v>0.172602739726027</v>
      </c>
      <c r="C66" s="8">
        <f>'1_Inputs'!$H$3</f>
        <v>0.0115882033164433</v>
      </c>
      <c r="D66" s="6">
        <f>D65*EXP(-'1_Inputs'!$H$3*(1/365))</f>
        <v>0.998001843337397</v>
      </c>
    </row>
    <row r="67" spans="1:4">
      <c r="A67" s="10">
        <v>64</v>
      </c>
      <c r="B67" s="12">
        <f t="shared" ref="B67:B130" si="1">A67/365</f>
        <v>0.175342465753425</v>
      </c>
      <c r="C67" s="14">
        <f>'1_Inputs'!$H$3</f>
        <v>0.0115882033164433</v>
      </c>
      <c r="D67" s="12">
        <f>D66*EXP(-'1_Inputs'!$H$3*(1/365))</f>
        <v>0.997970158776612</v>
      </c>
    </row>
    <row r="68" spans="1:4">
      <c r="A68" s="4">
        <v>65</v>
      </c>
      <c r="B68" s="6">
        <f t="shared" si="1"/>
        <v>0.178082191780822</v>
      </c>
      <c r="C68" s="8">
        <f>'1_Inputs'!$H$3</f>
        <v>0.0115882033164433</v>
      </c>
      <c r="D68" s="6">
        <f>D67*EXP(-'1_Inputs'!$H$3*(1/365))</f>
        <v>0.99793847522175</v>
      </c>
    </row>
    <row r="69" spans="1:4">
      <c r="A69" s="10">
        <v>66</v>
      </c>
      <c r="B69" s="12">
        <f t="shared" si="1"/>
        <v>0.180821917808219</v>
      </c>
      <c r="C69" s="14">
        <f>'1_Inputs'!$H$3</f>
        <v>0.0115882033164433</v>
      </c>
      <c r="D69" s="12">
        <f>D68*EXP(-'1_Inputs'!$H$3*(1/365))</f>
        <v>0.997906792672776</v>
      </c>
    </row>
    <row r="70" spans="1:4">
      <c r="A70" s="4">
        <v>67</v>
      </c>
      <c r="B70" s="6">
        <f t="shared" si="1"/>
        <v>0.183561643835616</v>
      </c>
      <c r="C70" s="8">
        <f>'1_Inputs'!$H$3</f>
        <v>0.0115882033164433</v>
      </c>
      <c r="D70" s="6">
        <f>D69*EXP(-'1_Inputs'!$H$3*(1/365))</f>
        <v>0.99787511112966</v>
      </c>
    </row>
    <row r="71" spans="1:4">
      <c r="A71" s="10">
        <v>68</v>
      </c>
      <c r="B71" s="12">
        <f t="shared" si="1"/>
        <v>0.186301369863014</v>
      </c>
      <c r="C71" s="14">
        <f>'1_Inputs'!$H$3</f>
        <v>0.0115882033164433</v>
      </c>
      <c r="D71" s="12">
        <f>D70*EXP(-'1_Inputs'!$H$3*(1/365))</f>
        <v>0.99784343059237</v>
      </c>
    </row>
    <row r="72" spans="1:4">
      <c r="A72" s="4">
        <v>69</v>
      </c>
      <c r="B72" s="6">
        <f t="shared" si="1"/>
        <v>0.189041095890411</v>
      </c>
      <c r="C72" s="8">
        <f>'1_Inputs'!$H$3</f>
        <v>0.0115882033164433</v>
      </c>
      <c r="D72" s="6">
        <f>D71*EXP(-'1_Inputs'!$H$3*(1/365))</f>
        <v>0.997811751060873</v>
      </c>
    </row>
    <row r="73" spans="1:4">
      <c r="A73" s="10">
        <v>70</v>
      </c>
      <c r="B73" s="12">
        <f t="shared" si="1"/>
        <v>0.191780821917808</v>
      </c>
      <c r="C73" s="14">
        <f>'1_Inputs'!$H$3</f>
        <v>0.0115882033164433</v>
      </c>
      <c r="D73" s="12">
        <f>D72*EXP(-'1_Inputs'!$H$3*(1/365))</f>
        <v>0.997780072535139</v>
      </c>
    </row>
    <row r="74" spans="1:4">
      <c r="A74" s="4">
        <v>71</v>
      </c>
      <c r="B74" s="6">
        <f t="shared" si="1"/>
        <v>0.194520547945205</v>
      </c>
      <c r="C74" s="8">
        <f>'1_Inputs'!$H$3</f>
        <v>0.0115882033164433</v>
      </c>
      <c r="D74" s="6">
        <f>D73*EXP(-'1_Inputs'!$H$3*(1/365))</f>
        <v>0.997748395015133</v>
      </c>
    </row>
    <row r="75" spans="1:4">
      <c r="A75" s="10">
        <v>72</v>
      </c>
      <c r="B75" s="12">
        <f t="shared" si="1"/>
        <v>0.197260273972603</v>
      </c>
      <c r="C75" s="14">
        <f>'1_Inputs'!$H$3</f>
        <v>0.0115882033164433</v>
      </c>
      <c r="D75" s="12">
        <f>D74*EXP(-'1_Inputs'!$H$3*(1/365))</f>
        <v>0.997716718500826</v>
      </c>
    </row>
    <row r="76" spans="1:4">
      <c r="A76" s="4">
        <v>73</v>
      </c>
      <c r="B76" s="6">
        <f t="shared" si="1"/>
        <v>0.2</v>
      </c>
      <c r="C76" s="8">
        <f>'1_Inputs'!$H$3</f>
        <v>0.0115882033164433</v>
      </c>
      <c r="D76" s="6">
        <f>D75*EXP(-'1_Inputs'!$H$3*(1/365))</f>
        <v>0.997685042992185</v>
      </c>
    </row>
    <row r="77" spans="1:4">
      <c r="A77" s="10">
        <v>74</v>
      </c>
      <c r="B77" s="12">
        <f t="shared" si="1"/>
        <v>0.202739726027397</v>
      </c>
      <c r="C77" s="14">
        <f>'1_Inputs'!$H$3</f>
        <v>0.0115882033164433</v>
      </c>
      <c r="D77" s="12">
        <f>D76*EXP(-'1_Inputs'!$H$3*(1/365))</f>
        <v>0.997653368489177</v>
      </c>
    </row>
    <row r="78" spans="1:4">
      <c r="A78" s="4">
        <v>75</v>
      </c>
      <c r="B78" s="6">
        <f t="shared" si="1"/>
        <v>0.205479452054795</v>
      </c>
      <c r="C78" s="8">
        <f>'1_Inputs'!$H$3</f>
        <v>0.0115882033164433</v>
      </c>
      <c r="D78" s="6">
        <f>D77*EXP(-'1_Inputs'!$H$3*(1/365))</f>
        <v>0.997621694991772</v>
      </c>
    </row>
    <row r="79" spans="1:4">
      <c r="A79" s="10">
        <v>76</v>
      </c>
      <c r="B79" s="12">
        <f t="shared" si="1"/>
        <v>0.208219178082192</v>
      </c>
      <c r="C79" s="14">
        <f>'1_Inputs'!$H$3</f>
        <v>0.0115882033164433</v>
      </c>
      <c r="D79" s="12">
        <f>D78*EXP(-'1_Inputs'!$H$3*(1/365))</f>
        <v>0.997590022499937</v>
      </c>
    </row>
    <row r="80" spans="1:4">
      <c r="A80" s="4">
        <v>77</v>
      </c>
      <c r="B80" s="6">
        <f t="shared" si="1"/>
        <v>0.210958904109589</v>
      </c>
      <c r="C80" s="8">
        <f>'1_Inputs'!$H$3</f>
        <v>0.0115882033164433</v>
      </c>
      <c r="D80" s="6">
        <f>D79*EXP(-'1_Inputs'!$H$3*(1/365))</f>
        <v>0.99755835101364</v>
      </c>
    </row>
    <row r="81" spans="1:5">
      <c r="A81" s="10">
        <v>78</v>
      </c>
      <c r="B81" s="12">
        <f t="shared" si="1"/>
        <v>0.213698630136986</v>
      </c>
      <c r="C81" s="14">
        <f>'1_Inputs'!$H$3</f>
        <v>0.0115882033164433</v>
      </c>
      <c r="D81" s="12">
        <f>D80*EXP(-'1_Inputs'!$H$3*(1/365))</f>
        <v>0.997526680532849</v>
      </c>
    </row>
    <row r="82" spans="1:5">
      <c r="A82" s="4">
        <v>79</v>
      </c>
      <c r="B82" s="6">
        <f t="shared" si="1"/>
        <v>0.216438356164384</v>
      </c>
      <c r="C82" s="8">
        <f>'1_Inputs'!$H$3</f>
        <v>0.0115882033164433</v>
      </c>
      <c r="D82" s="6">
        <f>D81*EXP(-'1_Inputs'!$H$3*(1/365))</f>
        <v>0.997495011057533</v>
      </c>
    </row>
    <row r="83" spans="1:5">
      <c r="A83" s="10">
        <v>80</v>
      </c>
      <c r="B83" s="12">
        <f t="shared" si="1"/>
        <v>0.219178082191781</v>
      </c>
      <c r="C83" s="14">
        <f>'1_Inputs'!$H$3</f>
        <v>0.0115882033164433</v>
      </c>
      <c r="D83" s="12">
        <f>D82*EXP(-'1_Inputs'!$H$3*(1/365))</f>
        <v>0.997463342587659</v>
      </c>
    </row>
    <row r="84" spans="1:5">
      <c r="A84" s="4">
        <v>81</v>
      </c>
      <c r="B84" s="6">
        <f t="shared" si="1"/>
        <v>0.221917808219178</v>
      </c>
      <c r="C84" s="8">
        <f>'1_Inputs'!$H$3</f>
        <v>0.0115882033164433</v>
      </c>
      <c r="D84" s="6">
        <f>D83*EXP(-'1_Inputs'!$H$3*(1/365))</f>
        <v>0.997431675123196</v>
      </c>
    </row>
    <row r="85" spans="1:5">
      <c r="A85" s="10">
        <v>82</v>
      </c>
      <c r="B85" s="12">
        <f t="shared" si="1"/>
        <v>0.224657534246575</v>
      </c>
      <c r="C85" s="14">
        <f>'1_Inputs'!$H$3</f>
        <v>0.0115882033164433</v>
      </c>
      <c r="D85" s="12">
        <f>D84*EXP(-'1_Inputs'!$H$3*(1/365))</f>
        <v>0.997400008664111</v>
      </c>
    </row>
    <row r="86" spans="1:5">
      <c r="A86" s="4">
        <v>83</v>
      </c>
      <c r="B86" s="6">
        <f t="shared" si="1"/>
        <v>0.227397260273973</v>
      </c>
      <c r="C86" s="8">
        <f>'1_Inputs'!$H$3</f>
        <v>0.0115882033164433</v>
      </c>
      <c r="D86" s="6">
        <f>D85*EXP(-'1_Inputs'!$H$3*(1/365))</f>
        <v>0.997368343210373</v>
      </c>
    </row>
    <row r="87" spans="1:5">
      <c r="A87" s="10">
        <v>84</v>
      </c>
      <c r="B87" s="12">
        <f t="shared" si="1"/>
        <v>0.23013698630137</v>
      </c>
      <c r="C87" s="14">
        <f>'1_Inputs'!$H$3</f>
        <v>0.0115882033164433</v>
      </c>
      <c r="D87" s="12">
        <f>D86*EXP(-'1_Inputs'!$H$3*(1/365))</f>
        <v>0.99733667876195</v>
      </c>
    </row>
    <row r="88" spans="1:5">
      <c r="A88" s="4">
        <v>85</v>
      </c>
      <c r="B88" s="6">
        <f t="shared" si="1"/>
        <v>0.232876712328767</v>
      </c>
      <c r="C88" s="8">
        <f>'1_Inputs'!$H$3</f>
        <v>0.0115882033164433</v>
      </c>
      <c r="D88" s="6">
        <f>D87*EXP(-'1_Inputs'!$H$3*(1/365))</f>
        <v>0.997305015318809</v>
      </c>
    </row>
    <row r="89" spans="1:5">
      <c r="A89" s="10">
        <v>86</v>
      </c>
      <c r="B89" s="12">
        <f t="shared" si="1"/>
        <v>0.235616438356164</v>
      </c>
      <c r="C89" s="14">
        <f>'1_Inputs'!$H$3</f>
        <v>0.0115882033164433</v>
      </c>
      <c r="D89" s="12">
        <f>D88*EXP(-'1_Inputs'!$H$3*(1/365))</f>
        <v>0.99727335288092</v>
      </c>
    </row>
    <row r="90" spans="1:5">
      <c r="A90" s="4">
        <v>87</v>
      </c>
      <c r="B90" s="6">
        <f t="shared" si="1"/>
        <v>0.238356164383562</v>
      </c>
      <c r="C90" s="8">
        <f>'1_Inputs'!$H$3</f>
        <v>0.0115882033164433</v>
      </c>
      <c r="D90" s="6">
        <f>D89*EXP(-'1_Inputs'!$H$3*(1/365))</f>
        <v>0.997241691448249</v>
      </c>
    </row>
    <row r="91" spans="1:5">
      <c r="A91" s="10">
        <v>88</v>
      </c>
      <c r="B91" s="12">
        <f t="shared" si="1"/>
        <v>0.241095890410959</v>
      </c>
      <c r="C91" s="14">
        <f>'1_Inputs'!$H$3</f>
        <v>0.0115882033164433</v>
      </c>
      <c r="D91" s="12">
        <f>D90*EXP(-'1_Inputs'!$H$3*(1/365))</f>
        <v>0.997210031020766</v>
      </c>
    </row>
    <row r="92" spans="1:5">
      <c r="A92" s="4">
        <v>89</v>
      </c>
      <c r="B92" s="6">
        <f t="shared" si="1"/>
        <v>0.243835616438356</v>
      </c>
      <c r="C92" s="8">
        <f>'1_Inputs'!$H$3</f>
        <v>0.0115882033164433</v>
      </c>
      <c r="D92" s="6">
        <f>D91*EXP(-'1_Inputs'!$H$3*(1/365))</f>
        <v>0.997178371598438</v>
      </c>
    </row>
    <row r="93" spans="1:5">
      <c r="A93" s="10">
        <v>90</v>
      </c>
      <c r="B93" s="12">
        <f t="shared" si="1"/>
        <v>0.246575342465753</v>
      </c>
      <c r="C93" s="14">
        <f>'1_Inputs'!$H$3</f>
        <v>0.0115882033164433</v>
      </c>
      <c r="D93" s="12">
        <f>D92*EXP(-'1_Inputs'!$H$3*(1/365))</f>
        <v>0.997146713181233</v>
      </c>
    </row>
    <row r="94" spans="1:5">
      <c r="A94" s="4">
        <v>91</v>
      </c>
      <c r="B94" s="6">
        <f t="shared" si="1"/>
        <v>0.249315068493151</v>
      </c>
      <c r="C94" s="8">
        <f>'1_Inputs'!$H$3</f>
        <v>0.0115882033164433</v>
      </c>
      <c r="D94" s="6">
        <f>D93*EXP(-'1_Inputs'!$H$3*(1/365))</f>
        <v>0.997115055769119</v>
      </c>
      <c r="E94" s="43" t="s">
        <v>59</v>
      </c>
    </row>
    <row r="95" spans="1:5">
      <c r="A95" s="10">
        <v>92</v>
      </c>
      <c r="B95" s="12">
        <f t="shared" si="1"/>
        <v>0.252054794520548</v>
      </c>
      <c r="C95" s="14">
        <f>'1_Inputs'!$H$3</f>
        <v>0.0115882033164433</v>
      </c>
      <c r="D95" s="12">
        <f>D94*EXP(-'1_Inputs'!$H$3*(1/365))</f>
        <v>0.997083399362065</v>
      </c>
    </row>
    <row r="96" spans="1:5">
      <c r="A96" s="4">
        <v>93</v>
      </c>
      <c r="B96" s="6">
        <f t="shared" si="1"/>
        <v>0.254794520547945</v>
      </c>
      <c r="C96" s="8">
        <f>'1_Inputs'!$H$3</f>
        <v>0.0115882033164433</v>
      </c>
      <c r="D96" s="6">
        <f>D95*EXP(-'1_Inputs'!$H$3*(1/365))</f>
        <v>0.997051743960039</v>
      </c>
    </row>
    <row r="97" spans="1:4">
      <c r="A97" s="10">
        <v>94</v>
      </c>
      <c r="B97" s="12">
        <f t="shared" si="1"/>
        <v>0.257534246575342</v>
      </c>
      <c r="C97" s="14">
        <f>'1_Inputs'!$H$3</f>
        <v>0.0115882033164433</v>
      </c>
      <c r="D97" s="12">
        <f>D96*EXP(-'1_Inputs'!$H$3*(1/365))</f>
        <v>0.997020089563008</v>
      </c>
    </row>
    <row r="98" spans="1:4">
      <c r="A98" s="4">
        <v>95</v>
      </c>
      <c r="B98" s="6">
        <f t="shared" si="1"/>
        <v>0.26027397260274</v>
      </c>
      <c r="C98" s="8">
        <f>'1_Inputs'!$H$3</f>
        <v>0.0115882033164433</v>
      </c>
      <c r="D98" s="6">
        <f>D97*EXP(-'1_Inputs'!$H$3*(1/365))</f>
        <v>0.996988436170941</v>
      </c>
    </row>
    <row r="99" spans="1:4">
      <c r="A99" s="10">
        <v>96</v>
      </c>
      <c r="B99" s="12">
        <f t="shared" si="1"/>
        <v>0.263013698630137</v>
      </c>
      <c r="C99" s="14">
        <f>'1_Inputs'!$H$3</f>
        <v>0.0115882033164433</v>
      </c>
      <c r="D99" s="12">
        <f>D98*EXP(-'1_Inputs'!$H$3*(1/365))</f>
        <v>0.996956783783806</v>
      </c>
    </row>
    <row r="100" spans="1:4">
      <c r="A100" s="4">
        <v>97</v>
      </c>
      <c r="B100" s="6">
        <f t="shared" si="1"/>
        <v>0.265753424657534</v>
      </c>
      <c r="C100" s="8">
        <f>'1_Inputs'!$H$3</f>
        <v>0.0115882033164433</v>
      </c>
      <c r="D100" s="6">
        <f>D99*EXP(-'1_Inputs'!$H$3*(1/365))</f>
        <v>0.99692513240157</v>
      </c>
    </row>
    <row r="101" spans="1:4">
      <c r="A101" s="10">
        <v>98</v>
      </c>
      <c r="B101" s="12">
        <f t="shared" si="1"/>
        <v>0.268493150684932</v>
      </c>
      <c r="C101" s="14">
        <f>'1_Inputs'!$H$3</f>
        <v>0.0115882033164433</v>
      </c>
      <c r="D101" s="12">
        <f>D100*EXP(-'1_Inputs'!$H$3*(1/365))</f>
        <v>0.996893482024203</v>
      </c>
    </row>
    <row r="102" spans="1:4">
      <c r="A102" s="4">
        <v>99</v>
      </c>
      <c r="B102" s="6">
        <f t="shared" si="1"/>
        <v>0.271232876712329</v>
      </c>
      <c r="C102" s="8">
        <f>'1_Inputs'!$H$3</f>
        <v>0.0115882033164433</v>
      </c>
      <c r="D102" s="6">
        <f>D101*EXP(-'1_Inputs'!$H$3*(1/365))</f>
        <v>0.996861832651672</v>
      </c>
    </row>
    <row r="103" spans="1:4">
      <c r="A103" s="10">
        <v>100</v>
      </c>
      <c r="B103" s="12">
        <f t="shared" si="1"/>
        <v>0.273972602739726</v>
      </c>
      <c r="C103" s="14">
        <f>'1_Inputs'!$H$3</f>
        <v>0.0115882033164433</v>
      </c>
      <c r="D103" s="12">
        <f>D102*EXP(-'1_Inputs'!$H$3*(1/365))</f>
        <v>0.996830184283945</v>
      </c>
    </row>
    <row r="104" spans="1:4">
      <c r="A104" s="4">
        <v>101</v>
      </c>
      <c r="B104" s="6">
        <f t="shared" si="1"/>
        <v>0.276712328767123</v>
      </c>
      <c r="C104" s="8">
        <f>'1_Inputs'!$H$3</f>
        <v>0.0115882033164433</v>
      </c>
      <c r="D104" s="6">
        <f>D103*EXP(-'1_Inputs'!$H$3*(1/365))</f>
        <v>0.99679853692099</v>
      </c>
    </row>
    <row r="105" spans="1:4">
      <c r="A105" s="10">
        <v>102</v>
      </c>
      <c r="B105" s="12">
        <f t="shared" si="1"/>
        <v>0.279452054794521</v>
      </c>
      <c r="C105" s="14">
        <f>'1_Inputs'!$H$3</f>
        <v>0.0115882033164433</v>
      </c>
      <c r="D105" s="12">
        <f>D104*EXP(-'1_Inputs'!$H$3*(1/365))</f>
        <v>0.996766890562776</v>
      </c>
    </row>
    <row r="106" spans="1:4">
      <c r="A106" s="4">
        <v>103</v>
      </c>
      <c r="B106" s="6">
        <f t="shared" si="1"/>
        <v>0.282191780821918</v>
      </c>
      <c r="C106" s="8">
        <f>'1_Inputs'!$H$3</f>
        <v>0.0115882033164433</v>
      </c>
      <c r="D106" s="6">
        <f>D105*EXP(-'1_Inputs'!$H$3*(1/365))</f>
        <v>0.996735245209271</v>
      </c>
    </row>
    <row r="107" spans="1:4">
      <c r="A107" s="10">
        <v>104</v>
      </c>
      <c r="B107" s="12">
        <f t="shared" si="1"/>
        <v>0.284931506849315</v>
      </c>
      <c r="C107" s="14">
        <f>'1_Inputs'!$H$3</f>
        <v>0.0115882033164433</v>
      </c>
      <c r="D107" s="12">
        <f>D106*EXP(-'1_Inputs'!$H$3*(1/365))</f>
        <v>0.996703600860442</v>
      </c>
    </row>
    <row r="108" spans="1:4">
      <c r="A108" s="4">
        <v>105</v>
      </c>
      <c r="B108" s="6">
        <f t="shared" si="1"/>
        <v>0.287671232876712</v>
      </c>
      <c r="C108" s="8">
        <f>'1_Inputs'!$H$3</f>
        <v>0.0115882033164433</v>
      </c>
      <c r="D108" s="6">
        <f>D107*EXP(-'1_Inputs'!$H$3*(1/365))</f>
        <v>0.996671957516257</v>
      </c>
    </row>
    <row r="109" spans="1:4">
      <c r="A109" s="10">
        <v>106</v>
      </c>
      <c r="B109" s="12">
        <f t="shared" si="1"/>
        <v>0.29041095890411</v>
      </c>
      <c r="C109" s="14">
        <f>'1_Inputs'!$H$3</f>
        <v>0.0115882033164433</v>
      </c>
      <c r="D109" s="12">
        <f>D108*EXP(-'1_Inputs'!$H$3*(1/365))</f>
        <v>0.996640315176686</v>
      </c>
    </row>
    <row r="110" spans="1:4">
      <c r="A110" s="4">
        <v>107</v>
      </c>
      <c r="B110" s="6">
        <f t="shared" si="1"/>
        <v>0.293150684931507</v>
      </c>
      <c r="C110" s="8">
        <f>'1_Inputs'!$H$3</f>
        <v>0.0115882033164433</v>
      </c>
      <c r="D110" s="6">
        <f>D109*EXP(-'1_Inputs'!$H$3*(1/365))</f>
        <v>0.996608673841695</v>
      </c>
    </row>
    <row r="111" spans="1:4">
      <c r="A111" s="10">
        <v>108</v>
      </c>
      <c r="B111" s="12">
        <f t="shared" si="1"/>
        <v>0.295890410958904</v>
      </c>
      <c r="C111" s="14">
        <f>'1_Inputs'!$H$3</f>
        <v>0.0115882033164433</v>
      </c>
      <c r="D111" s="12">
        <f>D110*EXP(-'1_Inputs'!$H$3*(1/365))</f>
        <v>0.996577033511254</v>
      </c>
    </row>
    <row r="112" spans="1:4">
      <c r="A112" s="4">
        <v>109</v>
      </c>
      <c r="B112" s="6">
        <f t="shared" si="1"/>
        <v>0.298630136986301</v>
      </c>
      <c r="C112" s="8">
        <f>'1_Inputs'!$H$3</f>
        <v>0.0115882033164433</v>
      </c>
      <c r="D112" s="6">
        <f>D111*EXP(-'1_Inputs'!$H$3*(1/365))</f>
        <v>0.99654539418533</v>
      </c>
    </row>
    <row r="113" spans="1:4">
      <c r="A113" s="10">
        <v>110</v>
      </c>
      <c r="B113" s="12">
        <f t="shared" si="1"/>
        <v>0.301369863013699</v>
      </c>
      <c r="C113" s="14">
        <f>'1_Inputs'!$H$3</f>
        <v>0.0115882033164433</v>
      </c>
      <c r="D113" s="12">
        <f>D112*EXP(-'1_Inputs'!$H$3*(1/365))</f>
        <v>0.99651375586389</v>
      </c>
    </row>
    <row r="114" spans="1:4">
      <c r="A114" s="4">
        <v>111</v>
      </c>
      <c r="B114" s="6">
        <f t="shared" si="1"/>
        <v>0.304109589041096</v>
      </c>
      <c r="C114" s="8">
        <f>'1_Inputs'!$H$3</f>
        <v>0.0115882033164433</v>
      </c>
      <c r="D114" s="6">
        <f>D113*EXP(-'1_Inputs'!$H$3*(1/365))</f>
        <v>0.996482118546905</v>
      </c>
    </row>
    <row r="115" spans="1:4">
      <c r="A115" s="10">
        <v>112</v>
      </c>
      <c r="B115" s="12">
        <f t="shared" si="1"/>
        <v>0.306849315068493</v>
      </c>
      <c r="C115" s="14">
        <f>'1_Inputs'!$H$3</f>
        <v>0.0115882033164433</v>
      </c>
      <c r="D115" s="12">
        <f>D114*EXP(-'1_Inputs'!$H$3*(1/365))</f>
        <v>0.996450482234341</v>
      </c>
    </row>
    <row r="116" spans="1:4">
      <c r="A116" s="4">
        <v>113</v>
      </c>
      <c r="B116" s="6">
        <f t="shared" si="1"/>
        <v>0.30958904109589</v>
      </c>
      <c r="C116" s="8">
        <f>'1_Inputs'!$H$3</f>
        <v>0.0115882033164433</v>
      </c>
      <c r="D116" s="6">
        <f>D115*EXP(-'1_Inputs'!$H$3*(1/365))</f>
        <v>0.996418846926166</v>
      </c>
    </row>
    <row r="117" spans="1:4">
      <c r="A117" s="10">
        <v>114</v>
      </c>
      <c r="B117" s="12">
        <f t="shared" si="1"/>
        <v>0.312328767123288</v>
      </c>
      <c r="C117" s="14">
        <f>'1_Inputs'!$H$3</f>
        <v>0.0115882033164433</v>
      </c>
      <c r="D117" s="12">
        <f>D116*EXP(-'1_Inputs'!$H$3*(1/365))</f>
        <v>0.996387212622349</v>
      </c>
    </row>
    <row r="118" spans="1:4">
      <c r="A118" s="4">
        <v>115</v>
      </c>
      <c r="B118" s="6">
        <f t="shared" si="1"/>
        <v>0.315068493150685</v>
      </c>
      <c r="C118" s="8">
        <f>'1_Inputs'!$H$3</f>
        <v>0.0115882033164433</v>
      </c>
      <c r="D118" s="6">
        <f>D117*EXP(-'1_Inputs'!$H$3*(1/365))</f>
        <v>0.996355579322858</v>
      </c>
    </row>
    <row r="119" spans="1:4">
      <c r="A119" s="10">
        <v>116</v>
      </c>
      <c r="B119" s="12">
        <f t="shared" si="1"/>
        <v>0.317808219178082</v>
      </c>
      <c r="C119" s="14">
        <f>'1_Inputs'!$H$3</f>
        <v>0.0115882033164433</v>
      </c>
      <c r="D119" s="12">
        <f>D118*EXP(-'1_Inputs'!$H$3*(1/365))</f>
        <v>0.996323947027661</v>
      </c>
    </row>
    <row r="120" spans="1:4">
      <c r="A120" s="4">
        <v>117</v>
      </c>
      <c r="B120" s="6">
        <f t="shared" si="1"/>
        <v>0.320547945205479</v>
      </c>
      <c r="C120" s="8">
        <f>'1_Inputs'!$H$3</f>
        <v>0.0115882033164433</v>
      </c>
      <c r="D120" s="6">
        <f>D119*EXP(-'1_Inputs'!$H$3*(1/365))</f>
        <v>0.996292315736726</v>
      </c>
    </row>
    <row r="121" spans="1:4">
      <c r="A121" s="10">
        <v>118</v>
      </c>
      <c r="B121" s="12">
        <f t="shared" si="1"/>
        <v>0.323287671232877</v>
      </c>
      <c r="C121" s="14">
        <f>'1_Inputs'!$H$3</f>
        <v>0.0115882033164433</v>
      </c>
      <c r="D121" s="12">
        <f>D120*EXP(-'1_Inputs'!$H$3*(1/365))</f>
        <v>0.996260685450021</v>
      </c>
    </row>
    <row r="122" spans="1:4">
      <c r="A122" s="4">
        <v>119</v>
      </c>
      <c r="B122" s="6">
        <f t="shared" si="1"/>
        <v>0.326027397260274</v>
      </c>
      <c r="C122" s="8">
        <f>'1_Inputs'!$H$3</f>
        <v>0.0115882033164433</v>
      </c>
      <c r="D122" s="6">
        <f>D121*EXP(-'1_Inputs'!$H$3*(1/365))</f>
        <v>0.996229056167514</v>
      </c>
    </row>
    <row r="123" spans="1:4">
      <c r="A123" s="10">
        <v>120</v>
      </c>
      <c r="B123" s="12">
        <f t="shared" si="1"/>
        <v>0.328767123287671</v>
      </c>
      <c r="C123" s="14">
        <f>'1_Inputs'!$H$3</f>
        <v>0.0115882033164433</v>
      </c>
      <c r="D123" s="12">
        <f>D122*EXP(-'1_Inputs'!$H$3*(1/365))</f>
        <v>0.996197427889174</v>
      </c>
    </row>
    <row r="124" spans="1:4">
      <c r="A124" s="4">
        <v>121</v>
      </c>
      <c r="B124" s="6">
        <f t="shared" si="1"/>
        <v>0.331506849315069</v>
      </c>
      <c r="C124" s="8">
        <f>'1_Inputs'!$H$3</f>
        <v>0.0115882033164433</v>
      </c>
      <c r="D124" s="6">
        <f>D123*EXP(-'1_Inputs'!$H$3*(1/365))</f>
        <v>0.996165800614968</v>
      </c>
    </row>
    <row r="125" spans="1:4">
      <c r="A125" s="10">
        <v>122</v>
      </c>
      <c r="B125" s="12">
        <f t="shared" si="1"/>
        <v>0.334246575342466</v>
      </c>
      <c r="C125" s="14">
        <f>'1_Inputs'!$H$3</f>
        <v>0.0115882033164433</v>
      </c>
      <c r="D125" s="12">
        <f>D124*EXP(-'1_Inputs'!$H$3*(1/365))</f>
        <v>0.996134174344865</v>
      </c>
    </row>
    <row r="126" spans="1:4">
      <c r="A126" s="4">
        <v>123</v>
      </c>
      <c r="B126" s="6">
        <f t="shared" si="1"/>
        <v>0.336986301369863</v>
      </c>
      <c r="C126" s="8">
        <f>'1_Inputs'!$H$3</f>
        <v>0.0115882033164433</v>
      </c>
      <c r="D126" s="6">
        <f>D125*EXP(-'1_Inputs'!$H$3*(1/365))</f>
        <v>0.996102549078833</v>
      </c>
    </row>
    <row r="127" spans="1:4">
      <c r="A127" s="10">
        <v>124</v>
      </c>
      <c r="B127" s="12">
        <f t="shared" si="1"/>
        <v>0.33972602739726</v>
      </c>
      <c r="C127" s="14">
        <f>'1_Inputs'!$H$3</f>
        <v>0.0115882033164433</v>
      </c>
      <c r="D127" s="12">
        <f>D126*EXP(-'1_Inputs'!$H$3*(1/365))</f>
        <v>0.99607092481684</v>
      </c>
    </row>
    <row r="128" spans="1:4">
      <c r="A128" s="4">
        <v>125</v>
      </c>
      <c r="B128" s="6">
        <f t="shared" si="1"/>
        <v>0.342465753424658</v>
      </c>
      <c r="C128" s="8">
        <f>'1_Inputs'!$H$3</f>
        <v>0.0115882033164433</v>
      </c>
      <c r="D128" s="6">
        <f>D127*EXP(-'1_Inputs'!$H$3*(1/365))</f>
        <v>0.996039301558853</v>
      </c>
    </row>
    <row r="129" spans="1:4">
      <c r="A129" s="10">
        <v>126</v>
      </c>
      <c r="B129" s="12">
        <f t="shared" si="1"/>
        <v>0.345205479452055</v>
      </c>
      <c r="C129" s="14">
        <f>'1_Inputs'!$H$3</f>
        <v>0.0115882033164433</v>
      </c>
      <c r="D129" s="12">
        <f>D128*EXP(-'1_Inputs'!$H$3*(1/365))</f>
        <v>0.996007679304842</v>
      </c>
    </row>
    <row r="130" spans="1:4">
      <c r="A130" s="4">
        <v>127</v>
      </c>
      <c r="B130" s="6">
        <f t="shared" si="1"/>
        <v>0.347945205479452</v>
      </c>
      <c r="C130" s="8">
        <f>'1_Inputs'!$H$3</f>
        <v>0.0115882033164433</v>
      </c>
      <c r="D130" s="6">
        <f>D129*EXP(-'1_Inputs'!$H$3*(1/365))</f>
        <v>0.995976058054774</v>
      </c>
    </row>
    <row r="131" spans="1:4">
      <c r="A131" s="10">
        <v>128</v>
      </c>
      <c r="B131" s="12">
        <f t="shared" ref="B131:B194" si="2">A131/365</f>
        <v>0.350684931506849</v>
      </c>
      <c r="C131" s="14">
        <f>'1_Inputs'!$H$3</f>
        <v>0.0115882033164433</v>
      </c>
      <c r="D131" s="12">
        <f>D130*EXP(-'1_Inputs'!$H$3*(1/365))</f>
        <v>0.995944437808618</v>
      </c>
    </row>
    <row r="132" spans="1:4">
      <c r="A132" s="4">
        <v>129</v>
      </c>
      <c r="B132" s="6">
        <f t="shared" si="2"/>
        <v>0.353424657534247</v>
      </c>
      <c r="C132" s="8">
        <f>'1_Inputs'!$H$3</f>
        <v>0.0115882033164433</v>
      </c>
      <c r="D132" s="6">
        <f>D131*EXP(-'1_Inputs'!$H$3*(1/365))</f>
        <v>0.995912818566341</v>
      </c>
    </row>
    <row r="133" spans="1:4">
      <c r="A133" s="10">
        <v>130</v>
      </c>
      <c r="B133" s="12">
        <f t="shared" si="2"/>
        <v>0.356164383561644</v>
      </c>
      <c r="C133" s="14">
        <f>'1_Inputs'!$H$3</f>
        <v>0.0115882033164433</v>
      </c>
      <c r="D133" s="12">
        <f>D132*EXP(-'1_Inputs'!$H$3*(1/365))</f>
        <v>0.995881200327911</v>
      </c>
    </row>
    <row r="134" spans="1:4">
      <c r="A134" s="4">
        <v>131</v>
      </c>
      <c r="B134" s="6">
        <f t="shared" si="2"/>
        <v>0.358904109589041</v>
      </c>
      <c r="C134" s="8">
        <f>'1_Inputs'!$H$3</f>
        <v>0.0115882033164433</v>
      </c>
      <c r="D134" s="6">
        <f>D133*EXP(-'1_Inputs'!$H$3*(1/365))</f>
        <v>0.995849583093297</v>
      </c>
    </row>
    <row r="135" spans="1:4">
      <c r="A135" s="10">
        <v>132</v>
      </c>
      <c r="B135" s="12">
        <f t="shared" si="2"/>
        <v>0.361643835616438</v>
      </c>
      <c r="C135" s="14">
        <f>'1_Inputs'!$H$3</f>
        <v>0.0115882033164433</v>
      </c>
      <c r="D135" s="12">
        <f>D134*EXP(-'1_Inputs'!$H$3*(1/365))</f>
        <v>0.995817966862468</v>
      </c>
    </row>
    <row r="136" spans="1:4">
      <c r="A136" s="4">
        <v>133</v>
      </c>
      <c r="B136" s="6">
        <f t="shared" si="2"/>
        <v>0.364383561643836</v>
      </c>
      <c r="C136" s="8">
        <f>'1_Inputs'!$H$3</f>
        <v>0.0115882033164433</v>
      </c>
      <c r="D136" s="6">
        <f>D135*EXP(-'1_Inputs'!$H$3*(1/365))</f>
        <v>0.99578635163539</v>
      </c>
    </row>
    <row r="137" spans="1:4">
      <c r="A137" s="10">
        <v>134</v>
      </c>
      <c r="B137" s="12">
        <f t="shared" si="2"/>
        <v>0.367123287671233</v>
      </c>
      <c r="C137" s="14">
        <f>'1_Inputs'!$H$3</f>
        <v>0.0115882033164433</v>
      </c>
      <c r="D137" s="12">
        <f>D136*EXP(-'1_Inputs'!$H$3*(1/365))</f>
        <v>0.995754737412032</v>
      </c>
    </row>
    <row r="138" spans="1:4">
      <c r="A138" s="4">
        <v>135</v>
      </c>
      <c r="B138" s="6">
        <f t="shared" si="2"/>
        <v>0.36986301369863</v>
      </c>
      <c r="C138" s="8">
        <f>'1_Inputs'!$H$3</f>
        <v>0.0115882033164433</v>
      </c>
      <c r="D138" s="6">
        <f>D137*EXP(-'1_Inputs'!$H$3*(1/365))</f>
        <v>0.995723124192363</v>
      </c>
    </row>
    <row r="139" spans="1:4">
      <c r="A139" s="10">
        <v>136</v>
      </c>
      <c r="B139" s="12">
        <f t="shared" si="2"/>
        <v>0.372602739726027</v>
      </c>
      <c r="C139" s="14">
        <f>'1_Inputs'!$H$3</f>
        <v>0.0115882033164433</v>
      </c>
      <c r="D139" s="12">
        <f>D138*EXP(-'1_Inputs'!$H$3*(1/365))</f>
        <v>0.995691511976351</v>
      </c>
    </row>
    <row r="140" spans="1:4">
      <c r="A140" s="4">
        <v>137</v>
      </c>
      <c r="B140" s="6">
        <f t="shared" si="2"/>
        <v>0.375342465753425</v>
      </c>
      <c r="C140" s="8">
        <f>'1_Inputs'!$H$3</f>
        <v>0.0115882033164433</v>
      </c>
      <c r="D140" s="6">
        <f>D139*EXP(-'1_Inputs'!$H$3*(1/365))</f>
        <v>0.995659900763962</v>
      </c>
    </row>
    <row r="141" spans="1:4">
      <c r="A141" s="10">
        <v>138</v>
      </c>
      <c r="B141" s="12">
        <f t="shared" si="2"/>
        <v>0.378082191780822</v>
      </c>
      <c r="C141" s="14">
        <f>'1_Inputs'!$H$3</f>
        <v>0.0115882033164433</v>
      </c>
      <c r="D141" s="12">
        <f>D140*EXP(-'1_Inputs'!$H$3*(1/365))</f>
        <v>0.995628290555167</v>
      </c>
    </row>
    <row r="142" spans="1:4">
      <c r="A142" s="4">
        <v>139</v>
      </c>
      <c r="B142" s="6">
        <f t="shared" si="2"/>
        <v>0.380821917808219</v>
      </c>
      <c r="C142" s="8">
        <f>'1_Inputs'!$H$3</f>
        <v>0.0115882033164433</v>
      </c>
      <c r="D142" s="6">
        <f>D141*EXP(-'1_Inputs'!$H$3*(1/365))</f>
        <v>0.995596681349932</v>
      </c>
    </row>
    <row r="143" spans="1:4">
      <c r="A143" s="10">
        <v>140</v>
      </c>
      <c r="B143" s="12">
        <f t="shared" si="2"/>
        <v>0.383561643835616</v>
      </c>
      <c r="C143" s="14">
        <f>'1_Inputs'!$H$3</f>
        <v>0.0115882033164433</v>
      </c>
      <c r="D143" s="12">
        <f>D142*EXP(-'1_Inputs'!$H$3*(1/365))</f>
        <v>0.995565073148227</v>
      </c>
    </row>
    <row r="144" spans="1:4">
      <c r="A144" s="4">
        <v>141</v>
      </c>
      <c r="B144" s="6">
        <f t="shared" si="2"/>
        <v>0.386301369863014</v>
      </c>
      <c r="C144" s="8">
        <f>'1_Inputs'!$H$3</f>
        <v>0.0115882033164433</v>
      </c>
      <c r="D144" s="6">
        <f>D143*EXP(-'1_Inputs'!$H$3*(1/365))</f>
        <v>0.995533465950018</v>
      </c>
    </row>
    <row r="145" spans="1:4">
      <c r="A145" s="10">
        <v>142</v>
      </c>
      <c r="B145" s="12">
        <f t="shared" si="2"/>
        <v>0.389041095890411</v>
      </c>
      <c r="C145" s="14">
        <f>'1_Inputs'!$H$3</f>
        <v>0.0115882033164433</v>
      </c>
      <c r="D145" s="12">
        <f>D144*EXP(-'1_Inputs'!$H$3*(1/365))</f>
        <v>0.995501859755275</v>
      </c>
    </row>
    <row r="146" spans="1:4">
      <c r="A146" s="4">
        <v>143</v>
      </c>
      <c r="B146" s="6">
        <f t="shared" si="2"/>
        <v>0.391780821917808</v>
      </c>
      <c r="C146" s="8">
        <f>'1_Inputs'!$H$3</f>
        <v>0.0115882033164433</v>
      </c>
      <c r="D146" s="6">
        <f>D145*EXP(-'1_Inputs'!$H$3*(1/365))</f>
        <v>0.995470254563965</v>
      </c>
    </row>
    <row r="147" spans="1:4">
      <c r="A147" s="10">
        <v>144</v>
      </c>
      <c r="B147" s="12">
        <f t="shared" si="2"/>
        <v>0.394520547945205</v>
      </c>
      <c r="C147" s="14">
        <f>'1_Inputs'!$H$3</f>
        <v>0.0115882033164433</v>
      </c>
      <c r="D147" s="12">
        <f>D146*EXP(-'1_Inputs'!$H$3*(1/365))</f>
        <v>0.995438650376057</v>
      </c>
    </row>
    <row r="148" spans="1:4">
      <c r="A148" s="4">
        <v>145</v>
      </c>
      <c r="B148" s="6">
        <f t="shared" si="2"/>
        <v>0.397260273972603</v>
      </c>
      <c r="C148" s="8">
        <f>'1_Inputs'!$H$3</f>
        <v>0.0115882033164433</v>
      </c>
      <c r="D148" s="6">
        <f>D147*EXP(-'1_Inputs'!$H$3*(1/365))</f>
        <v>0.995407047191518</v>
      </c>
    </row>
    <row r="149" spans="1:4">
      <c r="A149" s="10">
        <v>146</v>
      </c>
      <c r="B149" s="12">
        <f t="shared" si="2"/>
        <v>0.4</v>
      </c>
      <c r="C149" s="14">
        <f>'1_Inputs'!$H$3</f>
        <v>0.0115882033164433</v>
      </c>
      <c r="D149" s="12">
        <f>D148*EXP(-'1_Inputs'!$H$3*(1/365))</f>
        <v>0.995375445010318</v>
      </c>
    </row>
    <row r="150" spans="1:4">
      <c r="A150" s="4">
        <v>147</v>
      </c>
      <c r="B150" s="6">
        <f t="shared" si="2"/>
        <v>0.402739726027397</v>
      </c>
      <c r="C150" s="8">
        <f>'1_Inputs'!$H$3</f>
        <v>0.0115882033164433</v>
      </c>
      <c r="D150" s="6">
        <f>D149*EXP(-'1_Inputs'!$H$3*(1/365))</f>
        <v>0.995343843832423</v>
      </c>
    </row>
    <row r="151" spans="1:4">
      <c r="A151" s="10">
        <v>148</v>
      </c>
      <c r="B151" s="12">
        <f t="shared" si="2"/>
        <v>0.405479452054795</v>
      </c>
      <c r="C151" s="14">
        <f>'1_Inputs'!$H$3</f>
        <v>0.0115882033164433</v>
      </c>
      <c r="D151" s="12">
        <f>D150*EXP(-'1_Inputs'!$H$3*(1/365))</f>
        <v>0.995312243657802</v>
      </c>
    </row>
    <row r="152" spans="1:4">
      <c r="A152" s="4">
        <v>149</v>
      </c>
      <c r="B152" s="6">
        <f t="shared" si="2"/>
        <v>0.408219178082192</v>
      </c>
      <c r="C152" s="8">
        <f>'1_Inputs'!$H$3</f>
        <v>0.0115882033164433</v>
      </c>
      <c r="D152" s="6">
        <f>D151*EXP(-'1_Inputs'!$H$3*(1/365))</f>
        <v>0.995280644486424</v>
      </c>
    </row>
    <row r="153" spans="1:4">
      <c r="A153" s="10">
        <v>150</v>
      </c>
      <c r="B153" s="12">
        <f t="shared" si="2"/>
        <v>0.410958904109589</v>
      </c>
      <c r="C153" s="14">
        <f>'1_Inputs'!$H$3</f>
        <v>0.0115882033164433</v>
      </c>
      <c r="D153" s="12">
        <f>D152*EXP(-'1_Inputs'!$H$3*(1/365))</f>
        <v>0.995249046318256</v>
      </c>
    </row>
    <row r="154" spans="1:4">
      <c r="A154" s="4">
        <v>151</v>
      </c>
      <c r="B154" s="6">
        <f t="shared" si="2"/>
        <v>0.413698630136986</v>
      </c>
      <c r="C154" s="8">
        <f>'1_Inputs'!$H$3</f>
        <v>0.0115882033164433</v>
      </c>
      <c r="D154" s="6">
        <f>D153*EXP(-'1_Inputs'!$H$3*(1/365))</f>
        <v>0.995217449153267</v>
      </c>
    </row>
    <row r="155" spans="1:4">
      <c r="A155" s="10">
        <v>152</v>
      </c>
      <c r="B155" s="12">
        <f t="shared" si="2"/>
        <v>0.416438356164384</v>
      </c>
      <c r="C155" s="14">
        <f>'1_Inputs'!$H$3</f>
        <v>0.0115882033164433</v>
      </c>
      <c r="D155" s="12">
        <f>D154*EXP(-'1_Inputs'!$H$3*(1/365))</f>
        <v>0.995185852991425</v>
      </c>
    </row>
    <row r="156" spans="1:4">
      <c r="A156" s="4">
        <v>153</v>
      </c>
      <c r="B156" s="6">
        <f t="shared" si="2"/>
        <v>0.419178082191781</v>
      </c>
      <c r="C156" s="8">
        <f>'1_Inputs'!$H$3</f>
        <v>0.0115882033164433</v>
      </c>
      <c r="D156" s="6">
        <f>D155*EXP(-'1_Inputs'!$H$3*(1/365))</f>
        <v>0.995154257832697</v>
      </c>
    </row>
    <row r="157" spans="1:4">
      <c r="A157" s="10">
        <v>154</v>
      </c>
      <c r="B157" s="12">
        <f t="shared" si="2"/>
        <v>0.421917808219178</v>
      </c>
      <c r="C157" s="14">
        <f>'1_Inputs'!$H$3</f>
        <v>0.0115882033164433</v>
      </c>
      <c r="D157" s="12">
        <f>D156*EXP(-'1_Inputs'!$H$3*(1/365))</f>
        <v>0.995122663677052</v>
      </c>
    </row>
    <row r="158" spans="1:4">
      <c r="A158" s="4">
        <v>155</v>
      </c>
      <c r="B158" s="6">
        <f t="shared" si="2"/>
        <v>0.424657534246575</v>
      </c>
      <c r="C158" s="8">
        <f>'1_Inputs'!$H$3</f>
        <v>0.0115882033164433</v>
      </c>
      <c r="D158" s="6">
        <f>D157*EXP(-'1_Inputs'!$H$3*(1/365))</f>
        <v>0.995091070524459</v>
      </c>
    </row>
    <row r="159" spans="1:4">
      <c r="A159" s="10">
        <v>156</v>
      </c>
      <c r="B159" s="12">
        <f t="shared" si="2"/>
        <v>0.427397260273973</v>
      </c>
      <c r="C159" s="14">
        <f>'1_Inputs'!$H$3</f>
        <v>0.0115882033164433</v>
      </c>
      <c r="D159" s="12">
        <f>D158*EXP(-'1_Inputs'!$H$3*(1/365))</f>
        <v>0.995059478374885</v>
      </c>
    </row>
    <row r="160" spans="1:4">
      <c r="A160" s="4">
        <v>157</v>
      </c>
      <c r="B160" s="6">
        <f t="shared" si="2"/>
        <v>0.43013698630137</v>
      </c>
      <c r="C160" s="8">
        <f>'1_Inputs'!$H$3</f>
        <v>0.0115882033164433</v>
      </c>
      <c r="D160" s="6">
        <f>D159*EXP(-'1_Inputs'!$H$3*(1/365))</f>
        <v>0.995027887228299</v>
      </c>
    </row>
    <row r="161" spans="1:4">
      <c r="A161" s="10">
        <v>158</v>
      </c>
      <c r="B161" s="12">
        <f t="shared" si="2"/>
        <v>0.432876712328767</v>
      </c>
      <c r="C161" s="14">
        <f>'1_Inputs'!$H$3</f>
        <v>0.0115882033164433</v>
      </c>
      <c r="D161" s="12">
        <f>D160*EXP(-'1_Inputs'!$H$3*(1/365))</f>
        <v>0.994996297084668</v>
      </c>
    </row>
    <row r="162" spans="1:4">
      <c r="A162" s="4">
        <v>159</v>
      </c>
      <c r="B162" s="6">
        <f t="shared" si="2"/>
        <v>0.435616438356164</v>
      </c>
      <c r="C162" s="8">
        <f>'1_Inputs'!$H$3</f>
        <v>0.0115882033164433</v>
      </c>
      <c r="D162" s="6">
        <f>D161*EXP(-'1_Inputs'!$H$3*(1/365))</f>
        <v>0.994964707943961</v>
      </c>
    </row>
    <row r="163" spans="1:4">
      <c r="A163" s="10">
        <v>160</v>
      </c>
      <c r="B163" s="12">
        <f t="shared" si="2"/>
        <v>0.438356164383562</v>
      </c>
      <c r="C163" s="14">
        <f>'1_Inputs'!$H$3</f>
        <v>0.0115882033164433</v>
      </c>
      <c r="D163" s="12">
        <f>D162*EXP(-'1_Inputs'!$H$3*(1/365))</f>
        <v>0.994933119806146</v>
      </c>
    </row>
    <row r="164" spans="1:4">
      <c r="A164" s="4">
        <v>161</v>
      </c>
      <c r="B164" s="6">
        <f t="shared" si="2"/>
        <v>0.441095890410959</v>
      </c>
      <c r="C164" s="8">
        <f>'1_Inputs'!$H$3</f>
        <v>0.0115882033164433</v>
      </c>
      <c r="D164" s="6">
        <f>D163*EXP(-'1_Inputs'!$H$3*(1/365))</f>
        <v>0.994901532671191</v>
      </c>
    </row>
    <row r="165" spans="1:4">
      <c r="A165" s="10">
        <v>162</v>
      </c>
      <c r="B165" s="12">
        <f t="shared" si="2"/>
        <v>0.443835616438356</v>
      </c>
      <c r="C165" s="14">
        <f>'1_Inputs'!$H$3</f>
        <v>0.0115882033164433</v>
      </c>
      <c r="D165" s="12">
        <f>D164*EXP(-'1_Inputs'!$H$3*(1/365))</f>
        <v>0.994869946539064</v>
      </c>
    </row>
    <row r="166" spans="1:4">
      <c r="A166" s="4">
        <v>163</v>
      </c>
      <c r="B166" s="6">
        <f t="shared" si="2"/>
        <v>0.446575342465753</v>
      </c>
      <c r="C166" s="8">
        <f>'1_Inputs'!$H$3</f>
        <v>0.0115882033164433</v>
      </c>
      <c r="D166" s="6">
        <f>D165*EXP(-'1_Inputs'!$H$3*(1/365))</f>
        <v>0.994838361409734</v>
      </c>
    </row>
    <row r="167" spans="1:4">
      <c r="A167" s="10">
        <v>164</v>
      </c>
      <c r="B167" s="12">
        <f t="shared" si="2"/>
        <v>0.449315068493151</v>
      </c>
      <c r="C167" s="14">
        <f>'1_Inputs'!$H$3</f>
        <v>0.0115882033164433</v>
      </c>
      <c r="D167" s="12">
        <f>D166*EXP(-'1_Inputs'!$H$3*(1/365))</f>
        <v>0.994806777283169</v>
      </c>
    </row>
    <row r="168" spans="1:4">
      <c r="A168" s="4">
        <v>165</v>
      </c>
      <c r="B168" s="6">
        <f t="shared" si="2"/>
        <v>0.452054794520548</v>
      </c>
      <c r="C168" s="8">
        <f>'1_Inputs'!$H$3</f>
        <v>0.0115882033164433</v>
      </c>
      <c r="D168" s="6">
        <f>D167*EXP(-'1_Inputs'!$H$3*(1/365))</f>
        <v>0.994775194159336</v>
      </c>
    </row>
    <row r="169" spans="1:4">
      <c r="A169" s="10">
        <v>166</v>
      </c>
      <c r="B169" s="12">
        <f t="shared" si="2"/>
        <v>0.454794520547945</v>
      </c>
      <c r="C169" s="14">
        <f>'1_Inputs'!$H$3</f>
        <v>0.0115882033164433</v>
      </c>
      <c r="D169" s="12">
        <f>D168*EXP(-'1_Inputs'!$H$3*(1/365))</f>
        <v>0.994743612038204</v>
      </c>
    </row>
    <row r="170" spans="1:4">
      <c r="A170" s="4">
        <v>167</v>
      </c>
      <c r="B170" s="6">
        <f t="shared" si="2"/>
        <v>0.457534246575342</v>
      </c>
      <c r="C170" s="8">
        <f>'1_Inputs'!$H$3</f>
        <v>0.0115882033164433</v>
      </c>
      <c r="D170" s="6">
        <f>D169*EXP(-'1_Inputs'!$H$3*(1/365))</f>
        <v>0.994712030919742</v>
      </c>
    </row>
    <row r="171" spans="1:4">
      <c r="A171" s="10">
        <v>168</v>
      </c>
      <c r="B171" s="12">
        <f t="shared" si="2"/>
        <v>0.46027397260274</v>
      </c>
      <c r="C171" s="14">
        <f>'1_Inputs'!$H$3</f>
        <v>0.0115882033164433</v>
      </c>
      <c r="D171" s="12">
        <f>D170*EXP(-'1_Inputs'!$H$3*(1/365))</f>
        <v>0.994680450803916</v>
      </c>
    </row>
    <row r="172" spans="1:4">
      <c r="A172" s="4">
        <v>169</v>
      </c>
      <c r="B172" s="6">
        <f t="shared" si="2"/>
        <v>0.463013698630137</v>
      </c>
      <c r="C172" s="8">
        <f>'1_Inputs'!$H$3</f>
        <v>0.0115882033164433</v>
      </c>
      <c r="D172" s="6">
        <f>D171*EXP(-'1_Inputs'!$H$3*(1/365))</f>
        <v>0.994648871690697</v>
      </c>
    </row>
    <row r="173" spans="1:4">
      <c r="A173" s="10">
        <v>170</v>
      </c>
      <c r="B173" s="12">
        <f t="shared" si="2"/>
        <v>0.465753424657534</v>
      </c>
      <c r="C173" s="14">
        <f>'1_Inputs'!$H$3</f>
        <v>0.0115882033164433</v>
      </c>
      <c r="D173" s="12">
        <f>D172*EXP(-'1_Inputs'!$H$3*(1/365))</f>
        <v>0.99461729358005</v>
      </c>
    </row>
    <row r="174" spans="1:4">
      <c r="A174" s="4">
        <v>171</v>
      </c>
      <c r="B174" s="6">
        <f t="shared" si="2"/>
        <v>0.468493150684932</v>
      </c>
      <c r="C174" s="8">
        <f>'1_Inputs'!$H$3</f>
        <v>0.0115882033164433</v>
      </c>
      <c r="D174" s="6">
        <f>D173*EXP(-'1_Inputs'!$H$3*(1/365))</f>
        <v>0.994585716471946</v>
      </c>
    </row>
    <row r="175" spans="1:4">
      <c r="A175" s="10">
        <v>172</v>
      </c>
      <c r="B175" s="12">
        <f t="shared" si="2"/>
        <v>0.471232876712329</v>
      </c>
      <c r="C175" s="14">
        <f>'1_Inputs'!$H$3</f>
        <v>0.0115882033164433</v>
      </c>
      <c r="D175" s="12">
        <f>D174*EXP(-'1_Inputs'!$H$3*(1/365))</f>
        <v>0.994554140366351</v>
      </c>
    </row>
    <row r="176" spans="1:4">
      <c r="A176" s="4">
        <v>173</v>
      </c>
      <c r="B176" s="6">
        <f t="shared" si="2"/>
        <v>0.473972602739726</v>
      </c>
      <c r="C176" s="8">
        <f>'1_Inputs'!$H$3</f>
        <v>0.0115882033164433</v>
      </c>
      <c r="D176" s="6">
        <f>D175*EXP(-'1_Inputs'!$H$3*(1/365))</f>
        <v>0.994522565263235</v>
      </c>
    </row>
    <row r="177" spans="1:5">
      <c r="A177" s="10">
        <v>174</v>
      </c>
      <c r="B177" s="12">
        <f t="shared" si="2"/>
        <v>0.476712328767123</v>
      </c>
      <c r="C177" s="14">
        <f>'1_Inputs'!$H$3</f>
        <v>0.0115882033164433</v>
      </c>
      <c r="D177" s="12">
        <f>D176*EXP(-'1_Inputs'!$H$3*(1/365))</f>
        <v>0.994490991162565</v>
      </c>
    </row>
    <row r="178" spans="1:5">
      <c r="A178" s="4">
        <v>175</v>
      </c>
      <c r="B178" s="6">
        <f t="shared" si="2"/>
        <v>0.479452054794521</v>
      </c>
      <c r="C178" s="8">
        <f>'1_Inputs'!$H$3</f>
        <v>0.0115882033164433</v>
      </c>
      <c r="D178" s="6">
        <f>D177*EXP(-'1_Inputs'!$H$3*(1/365))</f>
        <v>0.99445941806431</v>
      </c>
    </row>
    <row r="179" spans="1:5">
      <c r="A179" s="10">
        <v>176</v>
      </c>
      <c r="B179" s="12">
        <f t="shared" si="2"/>
        <v>0.482191780821918</v>
      </c>
      <c r="C179" s="14">
        <f>'1_Inputs'!$H$3</f>
        <v>0.0115882033164433</v>
      </c>
      <c r="D179" s="12">
        <f>D178*EXP(-'1_Inputs'!$H$3*(1/365))</f>
        <v>0.994427845968437</v>
      </c>
    </row>
    <row r="180" spans="1:5">
      <c r="A180" s="4">
        <v>177</v>
      </c>
      <c r="B180" s="6">
        <f t="shared" si="2"/>
        <v>0.484931506849315</v>
      </c>
      <c r="C180" s="8">
        <f>'1_Inputs'!$H$3</f>
        <v>0.0115882033164433</v>
      </c>
      <c r="D180" s="6">
        <f>D179*EXP(-'1_Inputs'!$H$3*(1/365))</f>
        <v>0.994396274874915</v>
      </c>
    </row>
    <row r="181" spans="1:5">
      <c r="A181" s="10">
        <v>178</v>
      </c>
      <c r="B181" s="12">
        <f t="shared" si="2"/>
        <v>0.487671232876712</v>
      </c>
      <c r="C181" s="14">
        <f>'1_Inputs'!$H$3</f>
        <v>0.0115882033164433</v>
      </c>
      <c r="D181" s="12">
        <f>D180*EXP(-'1_Inputs'!$H$3*(1/365))</f>
        <v>0.994364704783712</v>
      </c>
    </row>
    <row r="182" spans="1:5">
      <c r="A182" s="4">
        <v>179</v>
      </c>
      <c r="B182" s="6">
        <f t="shared" si="2"/>
        <v>0.49041095890411</v>
      </c>
      <c r="C182" s="8">
        <f>'1_Inputs'!$H$3</f>
        <v>0.0115882033164433</v>
      </c>
      <c r="D182" s="6">
        <f>D181*EXP(-'1_Inputs'!$H$3*(1/365))</f>
        <v>0.994333135694796</v>
      </c>
    </row>
    <row r="183" spans="1:5">
      <c r="A183" s="10">
        <v>180</v>
      </c>
      <c r="B183" s="12">
        <f t="shared" si="2"/>
        <v>0.493150684931507</v>
      </c>
      <c r="C183" s="14">
        <f>'1_Inputs'!$H$3</f>
        <v>0.0115882033164433</v>
      </c>
      <c r="D183" s="12">
        <f>D182*EXP(-'1_Inputs'!$H$3*(1/365))</f>
        <v>0.994301567608136</v>
      </c>
    </row>
    <row r="184" spans="1:5">
      <c r="A184" s="4">
        <v>181</v>
      </c>
      <c r="B184" s="6">
        <f t="shared" si="2"/>
        <v>0.495890410958904</v>
      </c>
      <c r="C184" s="8">
        <f>'1_Inputs'!$H$3</f>
        <v>0.0115882033164433</v>
      </c>
      <c r="D184" s="6">
        <f>D183*EXP(-'1_Inputs'!$H$3*(1/365))</f>
        <v>0.994270000523699</v>
      </c>
    </row>
    <row r="185" spans="1:5">
      <c r="A185" s="10">
        <v>182</v>
      </c>
      <c r="B185" s="12">
        <f t="shared" si="2"/>
        <v>0.498630136986301</v>
      </c>
      <c r="C185" s="14">
        <f>'1_Inputs'!$H$3</f>
        <v>0.0115882033164433</v>
      </c>
      <c r="D185" s="12">
        <f>D184*EXP(-'1_Inputs'!$H$3*(1/365))</f>
        <v>0.994238434441454</v>
      </c>
      <c r="E185" s="43" t="s">
        <v>59</v>
      </c>
    </row>
    <row r="186" spans="1:5">
      <c r="A186" s="4">
        <v>183</v>
      </c>
      <c r="B186" s="6">
        <f t="shared" si="2"/>
        <v>0.501369863013699</v>
      </c>
      <c r="C186" s="8">
        <f>'1_Inputs'!$H$3</f>
        <v>0.0115882033164433</v>
      </c>
      <c r="D186" s="6">
        <f>D185*EXP(-'1_Inputs'!$H$3*(1/365))</f>
        <v>0.994206869361369</v>
      </c>
      <c r="E186" s="44" t="s">
        <v>60</v>
      </c>
    </row>
    <row r="187" spans="1:5">
      <c r="A187" s="10">
        <v>184</v>
      </c>
      <c r="B187" s="12">
        <f t="shared" si="2"/>
        <v>0.504109589041096</v>
      </c>
      <c r="C187" s="14">
        <f>'1_Inputs'!$H$4</f>
        <v>0.0109380260089013</v>
      </c>
      <c r="D187" s="12">
        <f>D186*EXP(-'1_Inputs'!$H$4*(1/365))</f>
        <v>0.994177076217108</v>
      </c>
    </row>
    <row r="188" spans="1:5">
      <c r="A188" s="4">
        <v>185</v>
      </c>
      <c r="B188" s="6">
        <f t="shared" si="2"/>
        <v>0.506849315068493</v>
      </c>
      <c r="C188" s="8">
        <f>'1_Inputs'!$H$4</f>
        <v>0.0109380260089013</v>
      </c>
      <c r="D188" s="6">
        <f>D187*EXP(-'1_Inputs'!$H$4*(1/365))</f>
        <v>0.99414728396565</v>
      </c>
    </row>
    <row r="189" spans="1:5">
      <c r="A189" s="10">
        <v>186</v>
      </c>
      <c r="B189" s="12">
        <f t="shared" si="2"/>
        <v>0.50958904109589</v>
      </c>
      <c r="C189" s="14">
        <f>'1_Inputs'!$H$4</f>
        <v>0.0109380260089013</v>
      </c>
      <c r="D189" s="12">
        <f>D188*EXP(-'1_Inputs'!$H$4*(1/365))</f>
        <v>0.994117492606969</v>
      </c>
    </row>
    <row r="190" spans="1:5">
      <c r="A190" s="4">
        <v>187</v>
      </c>
      <c r="B190" s="6">
        <f t="shared" si="2"/>
        <v>0.512328767123288</v>
      </c>
      <c r="C190" s="8">
        <f>'1_Inputs'!$H$4</f>
        <v>0.0109380260089013</v>
      </c>
      <c r="D190" s="6">
        <f>D189*EXP(-'1_Inputs'!$H$4*(1/365))</f>
        <v>0.994087702141038</v>
      </c>
    </row>
    <row r="191" spans="1:5">
      <c r="A191" s="10">
        <v>188</v>
      </c>
      <c r="B191" s="12">
        <f t="shared" si="2"/>
        <v>0.515068493150685</v>
      </c>
      <c r="C191" s="14">
        <f>'1_Inputs'!$H$4</f>
        <v>0.0109380260089013</v>
      </c>
      <c r="D191" s="12">
        <f>D190*EXP(-'1_Inputs'!$H$4*(1/365))</f>
        <v>0.99405791256783</v>
      </c>
    </row>
    <row r="192" spans="1:5">
      <c r="A192" s="4">
        <v>189</v>
      </c>
      <c r="B192" s="6">
        <f t="shared" si="2"/>
        <v>0.517808219178082</v>
      </c>
      <c r="C192" s="8">
        <f>'1_Inputs'!$H$4</f>
        <v>0.0109380260089013</v>
      </c>
      <c r="D192" s="6">
        <f>D191*EXP(-'1_Inputs'!$H$4*(1/365))</f>
        <v>0.99402812388732</v>
      </c>
    </row>
    <row r="193" spans="1:4">
      <c r="A193" s="10">
        <v>190</v>
      </c>
      <c r="B193" s="12">
        <f t="shared" si="2"/>
        <v>0.520547945205479</v>
      </c>
      <c r="C193" s="14">
        <f>'1_Inputs'!$H$4</f>
        <v>0.0109380260089013</v>
      </c>
      <c r="D193" s="12">
        <f>D192*EXP(-'1_Inputs'!$H$4*(1/365))</f>
        <v>0.993998336099478</v>
      </c>
    </row>
    <row r="194" spans="1:4">
      <c r="A194" s="4">
        <v>191</v>
      </c>
      <c r="B194" s="6">
        <f t="shared" si="2"/>
        <v>0.523287671232877</v>
      </c>
      <c r="C194" s="8">
        <f>'1_Inputs'!$H$4</f>
        <v>0.0109380260089013</v>
      </c>
      <c r="D194" s="6">
        <f>D193*EXP(-'1_Inputs'!$H$4*(1/365))</f>
        <v>0.99396854920428</v>
      </c>
    </row>
    <row r="195" spans="1:4">
      <c r="A195" s="10">
        <v>192</v>
      </c>
      <c r="B195" s="12">
        <f t="shared" ref="B195:B258" si="3">A195/365</f>
        <v>0.526027397260274</v>
      </c>
      <c r="C195" s="14">
        <f>'1_Inputs'!$H$4</f>
        <v>0.0109380260089013</v>
      </c>
      <c r="D195" s="12">
        <f>D194*EXP(-'1_Inputs'!$H$4*(1/365))</f>
        <v>0.993938763201698</v>
      </c>
    </row>
    <row r="196" spans="1:4">
      <c r="A196" s="4">
        <v>193</v>
      </c>
      <c r="B196" s="6">
        <f t="shared" si="3"/>
        <v>0.528767123287671</v>
      </c>
      <c r="C196" s="8">
        <f>'1_Inputs'!$H$4</f>
        <v>0.0109380260089013</v>
      </c>
      <c r="D196" s="6">
        <f>D195*EXP(-'1_Inputs'!$H$4*(1/365))</f>
        <v>0.993908978091706</v>
      </c>
    </row>
    <row r="197" spans="1:4">
      <c r="A197" s="10">
        <v>194</v>
      </c>
      <c r="B197" s="12">
        <f t="shared" si="3"/>
        <v>0.531506849315069</v>
      </c>
      <c r="C197" s="14">
        <f>'1_Inputs'!$H$4</f>
        <v>0.0109380260089013</v>
      </c>
      <c r="D197" s="12">
        <f>D196*EXP(-'1_Inputs'!$H$4*(1/365))</f>
        <v>0.993879193874276</v>
      </c>
    </row>
    <row r="198" spans="1:4">
      <c r="A198" s="4">
        <v>195</v>
      </c>
      <c r="B198" s="6">
        <f t="shared" si="3"/>
        <v>0.534246575342466</v>
      </c>
      <c r="C198" s="8">
        <f>'1_Inputs'!$H$4</f>
        <v>0.0109380260089013</v>
      </c>
      <c r="D198" s="6">
        <f>D197*EXP(-'1_Inputs'!$H$4*(1/365))</f>
        <v>0.993849410549383</v>
      </c>
    </row>
    <row r="199" spans="1:4">
      <c r="A199" s="10">
        <v>196</v>
      </c>
      <c r="B199" s="12">
        <f t="shared" si="3"/>
        <v>0.536986301369863</v>
      </c>
      <c r="C199" s="14">
        <f>'1_Inputs'!$H$4</f>
        <v>0.0109380260089013</v>
      </c>
      <c r="D199" s="12">
        <f>D198*EXP(-'1_Inputs'!$H$4*(1/365))</f>
        <v>0.993819628116999</v>
      </c>
    </row>
    <row r="200" spans="1:4">
      <c r="A200" s="4">
        <v>197</v>
      </c>
      <c r="B200" s="6">
        <f t="shared" si="3"/>
        <v>0.53972602739726</v>
      </c>
      <c r="C200" s="8">
        <f>'1_Inputs'!$H$4</f>
        <v>0.0109380260089013</v>
      </c>
      <c r="D200" s="6">
        <f>D199*EXP(-'1_Inputs'!$H$4*(1/365))</f>
        <v>0.993789846577098</v>
      </c>
    </row>
    <row r="201" spans="1:4">
      <c r="A201" s="10">
        <v>198</v>
      </c>
      <c r="B201" s="12">
        <f t="shared" si="3"/>
        <v>0.542465753424658</v>
      </c>
      <c r="C201" s="14">
        <f>'1_Inputs'!$H$4</f>
        <v>0.0109380260089013</v>
      </c>
      <c r="D201" s="12">
        <f>D200*EXP(-'1_Inputs'!$H$4*(1/365))</f>
        <v>0.993760065929652</v>
      </c>
    </row>
    <row r="202" spans="1:4">
      <c r="A202" s="4">
        <v>199</v>
      </c>
      <c r="B202" s="6">
        <f t="shared" si="3"/>
        <v>0.545205479452055</v>
      </c>
      <c r="C202" s="8">
        <f>'1_Inputs'!$H$4</f>
        <v>0.0109380260089013</v>
      </c>
      <c r="D202" s="6">
        <f>D201*EXP(-'1_Inputs'!$H$4*(1/365))</f>
        <v>0.993730286174635</v>
      </c>
    </row>
    <row r="203" spans="1:4">
      <c r="A203" s="10">
        <v>200</v>
      </c>
      <c r="B203" s="12">
        <f t="shared" si="3"/>
        <v>0.547945205479452</v>
      </c>
      <c r="C203" s="14">
        <f>'1_Inputs'!$H$4</f>
        <v>0.0109380260089013</v>
      </c>
      <c r="D203" s="12">
        <f>D202*EXP(-'1_Inputs'!$H$4*(1/365))</f>
        <v>0.993700507312021</v>
      </c>
    </row>
    <row r="204" spans="1:4">
      <c r="A204" s="4">
        <v>201</v>
      </c>
      <c r="B204" s="6">
        <f t="shared" si="3"/>
        <v>0.550684931506849</v>
      </c>
      <c r="C204" s="8">
        <f>'1_Inputs'!$H$4</f>
        <v>0.0109380260089013</v>
      </c>
      <c r="D204" s="6">
        <f>D203*EXP(-'1_Inputs'!$H$4*(1/365))</f>
        <v>0.993670729341782</v>
      </c>
    </row>
    <row r="205" spans="1:4">
      <c r="A205" s="10">
        <v>202</v>
      </c>
      <c r="B205" s="12">
        <f t="shared" si="3"/>
        <v>0.553424657534247</v>
      </c>
      <c r="C205" s="14">
        <f>'1_Inputs'!$H$4</f>
        <v>0.0109380260089013</v>
      </c>
      <c r="D205" s="12">
        <f>D204*EXP(-'1_Inputs'!$H$4*(1/365))</f>
        <v>0.993640952263893</v>
      </c>
    </row>
    <row r="206" spans="1:4">
      <c r="A206" s="4">
        <v>203</v>
      </c>
      <c r="B206" s="6">
        <f t="shared" si="3"/>
        <v>0.556164383561644</v>
      </c>
      <c r="C206" s="8">
        <f>'1_Inputs'!$H$4</f>
        <v>0.0109380260089013</v>
      </c>
      <c r="D206" s="6">
        <f>D205*EXP(-'1_Inputs'!$H$4*(1/365))</f>
        <v>0.993611176078325</v>
      </c>
    </row>
    <row r="207" spans="1:4">
      <c r="A207" s="10">
        <v>204</v>
      </c>
      <c r="B207" s="12">
        <f t="shared" si="3"/>
        <v>0.558904109589041</v>
      </c>
      <c r="C207" s="14">
        <f>'1_Inputs'!$H$4</f>
        <v>0.0109380260089013</v>
      </c>
      <c r="D207" s="12">
        <f>D206*EXP(-'1_Inputs'!$H$4*(1/365))</f>
        <v>0.993581400785053</v>
      </c>
    </row>
    <row r="208" spans="1:4">
      <c r="A208" s="4">
        <v>205</v>
      </c>
      <c r="B208" s="6">
        <f t="shared" si="3"/>
        <v>0.561643835616438</v>
      </c>
      <c r="C208" s="8">
        <f>'1_Inputs'!$H$4</f>
        <v>0.0109380260089013</v>
      </c>
      <c r="D208" s="6">
        <f>D207*EXP(-'1_Inputs'!$H$4*(1/365))</f>
        <v>0.993551626384049</v>
      </c>
    </row>
    <row r="209" spans="1:4">
      <c r="A209" s="10">
        <v>206</v>
      </c>
      <c r="B209" s="12">
        <f t="shared" si="3"/>
        <v>0.564383561643836</v>
      </c>
      <c r="C209" s="14">
        <f>'1_Inputs'!$H$4</f>
        <v>0.0109380260089013</v>
      </c>
      <c r="D209" s="12">
        <f>D208*EXP(-'1_Inputs'!$H$4*(1/365))</f>
        <v>0.993521852875287</v>
      </c>
    </row>
    <row r="210" spans="1:4">
      <c r="A210" s="4">
        <v>207</v>
      </c>
      <c r="B210" s="6">
        <f t="shared" si="3"/>
        <v>0.567123287671233</v>
      </c>
      <c r="C210" s="8">
        <f>'1_Inputs'!$H$4</f>
        <v>0.0109380260089013</v>
      </c>
      <c r="D210" s="6">
        <f>D209*EXP(-'1_Inputs'!$H$4*(1/365))</f>
        <v>0.993492080258741</v>
      </c>
    </row>
    <row r="211" spans="1:4">
      <c r="A211" s="10">
        <v>208</v>
      </c>
      <c r="B211" s="12">
        <f t="shared" si="3"/>
        <v>0.56986301369863</v>
      </c>
      <c r="C211" s="14">
        <f>'1_Inputs'!$H$4</f>
        <v>0.0109380260089013</v>
      </c>
      <c r="D211" s="12">
        <f>D210*EXP(-'1_Inputs'!$H$4*(1/365))</f>
        <v>0.993462308534383</v>
      </c>
    </row>
    <row r="212" spans="1:4">
      <c r="A212" s="4">
        <v>209</v>
      </c>
      <c r="B212" s="6">
        <f t="shared" si="3"/>
        <v>0.572602739726027</v>
      </c>
      <c r="C212" s="8">
        <f>'1_Inputs'!$H$4</f>
        <v>0.0109380260089013</v>
      </c>
      <c r="D212" s="6">
        <f>D211*EXP(-'1_Inputs'!$H$4*(1/365))</f>
        <v>0.993432537702186</v>
      </c>
    </row>
    <row r="213" spans="1:4">
      <c r="A213" s="10">
        <v>210</v>
      </c>
      <c r="B213" s="12">
        <f t="shared" si="3"/>
        <v>0.575342465753425</v>
      </c>
      <c r="C213" s="14">
        <f>'1_Inputs'!$H$4</f>
        <v>0.0109380260089013</v>
      </c>
      <c r="D213" s="12">
        <f>D212*EXP(-'1_Inputs'!$H$4*(1/365))</f>
        <v>0.993402767762125</v>
      </c>
    </row>
    <row r="214" spans="1:4">
      <c r="A214" s="4">
        <v>211</v>
      </c>
      <c r="B214" s="6">
        <f t="shared" si="3"/>
        <v>0.578082191780822</v>
      </c>
      <c r="C214" s="8">
        <f>'1_Inputs'!$H$4</f>
        <v>0.0109380260089013</v>
      </c>
      <c r="D214" s="6">
        <f>D213*EXP(-'1_Inputs'!$H$4*(1/365))</f>
        <v>0.993372998714171</v>
      </c>
    </row>
    <row r="215" spans="1:4">
      <c r="A215" s="10">
        <v>212</v>
      </c>
      <c r="B215" s="12">
        <f t="shared" si="3"/>
        <v>0.580821917808219</v>
      </c>
      <c r="C215" s="14">
        <f>'1_Inputs'!$H$4</f>
        <v>0.0109380260089013</v>
      </c>
      <c r="D215" s="12">
        <f>D214*EXP(-'1_Inputs'!$H$4*(1/365))</f>
        <v>0.993343230558299</v>
      </c>
    </row>
    <row r="216" spans="1:4">
      <c r="A216" s="4">
        <v>213</v>
      </c>
      <c r="B216" s="6">
        <f t="shared" si="3"/>
        <v>0.583561643835616</v>
      </c>
      <c r="C216" s="8">
        <f>'1_Inputs'!$H$4</f>
        <v>0.0109380260089013</v>
      </c>
      <c r="D216" s="6">
        <f>D215*EXP(-'1_Inputs'!$H$4*(1/365))</f>
        <v>0.993313463294482</v>
      </c>
    </row>
    <row r="217" spans="1:4">
      <c r="A217" s="10">
        <v>214</v>
      </c>
      <c r="B217" s="12">
        <f t="shared" si="3"/>
        <v>0.586301369863014</v>
      </c>
      <c r="C217" s="14">
        <f>'1_Inputs'!$H$4</f>
        <v>0.0109380260089013</v>
      </c>
      <c r="D217" s="12">
        <f>D216*EXP(-'1_Inputs'!$H$4*(1/365))</f>
        <v>0.993283696922693</v>
      </c>
    </row>
    <row r="218" spans="1:4">
      <c r="A218" s="4">
        <v>215</v>
      </c>
      <c r="B218" s="6">
        <f t="shared" si="3"/>
        <v>0.589041095890411</v>
      </c>
      <c r="C218" s="8">
        <f>'1_Inputs'!$H$4</f>
        <v>0.0109380260089013</v>
      </c>
      <c r="D218" s="6">
        <f>D217*EXP(-'1_Inputs'!$H$4*(1/365))</f>
        <v>0.993253931442905</v>
      </c>
    </row>
    <row r="219" spans="1:4">
      <c r="A219" s="10">
        <v>216</v>
      </c>
      <c r="B219" s="12">
        <f t="shared" si="3"/>
        <v>0.591780821917808</v>
      </c>
      <c r="C219" s="14">
        <f>'1_Inputs'!$H$4</f>
        <v>0.0109380260089013</v>
      </c>
      <c r="D219" s="12">
        <f>D218*EXP(-'1_Inputs'!$H$4*(1/365))</f>
        <v>0.993224166855092</v>
      </c>
    </row>
    <row r="220" spans="1:4">
      <c r="A220" s="4">
        <v>217</v>
      </c>
      <c r="B220" s="6">
        <f t="shared" si="3"/>
        <v>0.594520547945205</v>
      </c>
      <c r="C220" s="8">
        <f>'1_Inputs'!$H$4</f>
        <v>0.0109380260089013</v>
      </c>
      <c r="D220" s="6">
        <f>D219*EXP(-'1_Inputs'!$H$4*(1/365))</f>
        <v>0.993194403159227</v>
      </c>
    </row>
    <row r="221" spans="1:4">
      <c r="A221" s="10">
        <v>218</v>
      </c>
      <c r="B221" s="12">
        <f t="shared" si="3"/>
        <v>0.597260273972603</v>
      </c>
      <c r="C221" s="14">
        <f>'1_Inputs'!$H$4</f>
        <v>0.0109380260089013</v>
      </c>
      <c r="D221" s="12">
        <f>D220*EXP(-'1_Inputs'!$H$4*(1/365))</f>
        <v>0.993164640355283</v>
      </c>
    </row>
    <row r="222" spans="1:4">
      <c r="A222" s="4">
        <v>219</v>
      </c>
      <c r="B222" s="6">
        <f t="shared" si="3"/>
        <v>0.6</v>
      </c>
      <c r="C222" s="8">
        <f>'1_Inputs'!$H$4</f>
        <v>0.0109380260089013</v>
      </c>
      <c r="D222" s="6">
        <f>D221*EXP(-'1_Inputs'!$H$4*(1/365))</f>
        <v>0.993134878443233</v>
      </c>
    </row>
    <row r="223" spans="1:4">
      <c r="A223" s="10">
        <v>220</v>
      </c>
      <c r="B223" s="12">
        <f t="shared" si="3"/>
        <v>0.602739726027397</v>
      </c>
      <c r="C223" s="14">
        <f>'1_Inputs'!$H$4</f>
        <v>0.0109380260089013</v>
      </c>
      <c r="D223" s="12">
        <f>D222*EXP(-'1_Inputs'!$H$4*(1/365))</f>
        <v>0.99310511742305</v>
      </c>
    </row>
    <row r="224" spans="1:4">
      <c r="A224" s="4">
        <v>221</v>
      </c>
      <c r="B224" s="6">
        <f t="shared" si="3"/>
        <v>0.605479452054794</v>
      </c>
      <c r="C224" s="8">
        <f>'1_Inputs'!$H$4</f>
        <v>0.0109380260089013</v>
      </c>
      <c r="D224" s="6">
        <f>D223*EXP(-'1_Inputs'!$H$4*(1/365))</f>
        <v>0.993075357294709</v>
      </c>
    </row>
    <row r="225" spans="1:4">
      <c r="A225" s="10">
        <v>222</v>
      </c>
      <c r="B225" s="12">
        <f t="shared" si="3"/>
        <v>0.608219178082192</v>
      </c>
      <c r="C225" s="14">
        <f>'1_Inputs'!$H$4</f>
        <v>0.0109380260089013</v>
      </c>
      <c r="D225" s="12">
        <f>D224*EXP(-'1_Inputs'!$H$4*(1/365))</f>
        <v>0.993045598058182</v>
      </c>
    </row>
    <row r="226" spans="1:4">
      <c r="A226" s="4">
        <v>223</v>
      </c>
      <c r="B226" s="6">
        <f t="shared" si="3"/>
        <v>0.610958904109589</v>
      </c>
      <c r="C226" s="8">
        <f>'1_Inputs'!$H$4</f>
        <v>0.0109380260089013</v>
      </c>
      <c r="D226" s="6">
        <f>D225*EXP(-'1_Inputs'!$H$4*(1/365))</f>
        <v>0.993015839713442</v>
      </c>
    </row>
    <row r="227" spans="1:4">
      <c r="A227" s="10">
        <v>224</v>
      </c>
      <c r="B227" s="12">
        <f t="shared" si="3"/>
        <v>0.613698630136986</v>
      </c>
      <c r="C227" s="14">
        <f>'1_Inputs'!$H$4</f>
        <v>0.0109380260089013</v>
      </c>
      <c r="D227" s="12">
        <f>D226*EXP(-'1_Inputs'!$H$4*(1/365))</f>
        <v>0.992986082260463</v>
      </c>
    </row>
    <row r="228" spans="1:4">
      <c r="A228" s="4">
        <v>225</v>
      </c>
      <c r="B228" s="6">
        <f t="shared" si="3"/>
        <v>0.616438356164384</v>
      </c>
      <c r="C228" s="8">
        <f>'1_Inputs'!$H$4</f>
        <v>0.0109380260089013</v>
      </c>
      <c r="D228" s="6">
        <f>D227*EXP(-'1_Inputs'!$H$4*(1/365))</f>
        <v>0.992956325699218</v>
      </c>
    </row>
    <row r="229" spans="1:4">
      <c r="A229" s="10">
        <v>226</v>
      </c>
      <c r="B229" s="12">
        <f t="shared" si="3"/>
        <v>0.619178082191781</v>
      </c>
      <c r="C229" s="14">
        <f>'1_Inputs'!$H$4</f>
        <v>0.0109380260089013</v>
      </c>
      <c r="D229" s="12">
        <f>D228*EXP(-'1_Inputs'!$H$4*(1/365))</f>
        <v>0.992926570029681</v>
      </c>
    </row>
    <row r="230" spans="1:4">
      <c r="A230" s="4">
        <v>227</v>
      </c>
      <c r="B230" s="6">
        <f t="shared" si="3"/>
        <v>0.621917808219178</v>
      </c>
      <c r="C230" s="8">
        <f>'1_Inputs'!$H$4</f>
        <v>0.0109380260089013</v>
      </c>
      <c r="D230" s="6">
        <f>D229*EXP(-'1_Inputs'!$H$4*(1/365))</f>
        <v>0.992896815251823</v>
      </c>
    </row>
    <row r="231" spans="1:4">
      <c r="A231" s="10">
        <v>228</v>
      </c>
      <c r="B231" s="12">
        <f t="shared" si="3"/>
        <v>0.624657534246575</v>
      </c>
      <c r="C231" s="14">
        <f>'1_Inputs'!$H$4</f>
        <v>0.0109380260089013</v>
      </c>
      <c r="D231" s="12">
        <f>D230*EXP(-'1_Inputs'!$H$4*(1/365))</f>
        <v>0.99286706136562</v>
      </c>
    </row>
    <row r="232" spans="1:4">
      <c r="A232" s="4">
        <v>229</v>
      </c>
      <c r="B232" s="6">
        <f t="shared" si="3"/>
        <v>0.627397260273973</v>
      </c>
      <c r="C232" s="8">
        <f>'1_Inputs'!$H$4</f>
        <v>0.0109380260089013</v>
      </c>
      <c r="D232" s="6">
        <f>D231*EXP(-'1_Inputs'!$H$4*(1/365))</f>
        <v>0.992837308371044</v>
      </c>
    </row>
    <row r="233" spans="1:4">
      <c r="A233" s="10">
        <v>230</v>
      </c>
      <c r="B233" s="12">
        <f t="shared" si="3"/>
        <v>0.63013698630137</v>
      </c>
      <c r="C233" s="14">
        <f>'1_Inputs'!$H$4</f>
        <v>0.0109380260089013</v>
      </c>
      <c r="D233" s="12">
        <f>D232*EXP(-'1_Inputs'!$H$4*(1/365))</f>
        <v>0.992807556268069</v>
      </c>
    </row>
    <row r="234" spans="1:4">
      <c r="A234" s="4">
        <v>231</v>
      </c>
      <c r="B234" s="6">
        <f t="shared" si="3"/>
        <v>0.632876712328767</v>
      </c>
      <c r="C234" s="8">
        <f>'1_Inputs'!$H$4</f>
        <v>0.0109380260089013</v>
      </c>
      <c r="D234" s="6">
        <f>D233*EXP(-'1_Inputs'!$H$4*(1/365))</f>
        <v>0.992777805056667</v>
      </c>
    </row>
    <row r="235" spans="1:4">
      <c r="A235" s="10">
        <v>232</v>
      </c>
      <c r="B235" s="12">
        <f t="shared" si="3"/>
        <v>0.635616438356164</v>
      </c>
      <c r="C235" s="14">
        <f>'1_Inputs'!$H$4</f>
        <v>0.0109380260089013</v>
      </c>
      <c r="D235" s="12">
        <f>D234*EXP(-'1_Inputs'!$H$4*(1/365))</f>
        <v>0.992748054736812</v>
      </c>
    </row>
    <row r="236" spans="1:4">
      <c r="A236" s="4">
        <v>233</v>
      </c>
      <c r="B236" s="6">
        <f t="shared" si="3"/>
        <v>0.638356164383562</v>
      </c>
      <c r="C236" s="8">
        <f>'1_Inputs'!$H$4</f>
        <v>0.0109380260089013</v>
      </c>
      <c r="D236" s="6">
        <f>D235*EXP(-'1_Inputs'!$H$4*(1/365))</f>
        <v>0.992718305308477</v>
      </c>
    </row>
    <row r="237" spans="1:4">
      <c r="A237" s="10">
        <v>234</v>
      </c>
      <c r="B237" s="12">
        <f t="shared" si="3"/>
        <v>0.641095890410959</v>
      </c>
      <c r="C237" s="14">
        <f>'1_Inputs'!$H$4</f>
        <v>0.0109380260089013</v>
      </c>
      <c r="D237" s="12">
        <f>D236*EXP(-'1_Inputs'!$H$4*(1/365))</f>
        <v>0.992688556771636</v>
      </c>
    </row>
    <row r="238" spans="1:4">
      <c r="A238" s="4">
        <v>235</v>
      </c>
      <c r="B238" s="6">
        <f t="shared" si="3"/>
        <v>0.643835616438356</v>
      </c>
      <c r="C238" s="8">
        <f>'1_Inputs'!$H$4</f>
        <v>0.0109380260089013</v>
      </c>
      <c r="D238" s="6">
        <f>D237*EXP(-'1_Inputs'!$H$4*(1/365))</f>
        <v>0.992658809126262</v>
      </c>
    </row>
    <row r="239" spans="1:4">
      <c r="A239" s="10">
        <v>236</v>
      </c>
      <c r="B239" s="12">
        <f t="shared" si="3"/>
        <v>0.646575342465753</v>
      </c>
      <c r="C239" s="14">
        <f>'1_Inputs'!$H$4</f>
        <v>0.0109380260089013</v>
      </c>
      <c r="D239" s="12">
        <f>D238*EXP(-'1_Inputs'!$H$4*(1/365))</f>
        <v>0.992629062372327</v>
      </c>
    </row>
    <row r="240" spans="1:4">
      <c r="A240" s="4">
        <v>237</v>
      </c>
      <c r="B240" s="6">
        <f t="shared" si="3"/>
        <v>0.649315068493151</v>
      </c>
      <c r="C240" s="8">
        <f>'1_Inputs'!$H$4</f>
        <v>0.0109380260089013</v>
      </c>
      <c r="D240" s="6">
        <f>D239*EXP(-'1_Inputs'!$H$4*(1/365))</f>
        <v>0.992599316509807</v>
      </c>
    </row>
    <row r="241" spans="1:4">
      <c r="A241" s="10">
        <v>238</v>
      </c>
      <c r="B241" s="12">
        <f t="shared" si="3"/>
        <v>0.652054794520548</v>
      </c>
      <c r="C241" s="14">
        <f>'1_Inputs'!$H$4</f>
        <v>0.0109380260089013</v>
      </c>
      <c r="D241" s="12">
        <f>D240*EXP(-'1_Inputs'!$H$4*(1/365))</f>
        <v>0.992569571538673</v>
      </c>
    </row>
    <row r="242" spans="1:4">
      <c r="A242" s="4">
        <v>239</v>
      </c>
      <c r="B242" s="6">
        <f t="shared" si="3"/>
        <v>0.654794520547945</v>
      </c>
      <c r="C242" s="8">
        <f>'1_Inputs'!$H$4</f>
        <v>0.0109380260089013</v>
      </c>
      <c r="D242" s="6">
        <f>D241*EXP(-'1_Inputs'!$H$4*(1/365))</f>
        <v>0.992539827458898</v>
      </c>
    </row>
    <row r="243" spans="1:4">
      <c r="A243" s="10">
        <v>240</v>
      </c>
      <c r="B243" s="12">
        <f t="shared" si="3"/>
        <v>0.657534246575342</v>
      </c>
      <c r="C243" s="14">
        <f>'1_Inputs'!$H$4</f>
        <v>0.0109380260089013</v>
      </c>
      <c r="D243" s="12">
        <f>D242*EXP(-'1_Inputs'!$H$4*(1/365))</f>
        <v>0.992510084270458</v>
      </c>
    </row>
    <row r="244" spans="1:4">
      <c r="A244" s="4">
        <v>241</v>
      </c>
      <c r="B244" s="6">
        <f t="shared" si="3"/>
        <v>0.66027397260274</v>
      </c>
      <c r="C244" s="8">
        <f>'1_Inputs'!$H$4</f>
        <v>0.0109380260089013</v>
      </c>
      <c r="D244" s="6">
        <f>D243*EXP(-'1_Inputs'!$H$4*(1/365))</f>
        <v>0.992480341973323</v>
      </c>
    </row>
    <row r="245" spans="1:4">
      <c r="A245" s="10">
        <v>242</v>
      </c>
      <c r="B245" s="12">
        <f t="shared" si="3"/>
        <v>0.663013698630137</v>
      </c>
      <c r="C245" s="14">
        <f>'1_Inputs'!$H$4</f>
        <v>0.0109380260089013</v>
      </c>
      <c r="D245" s="12">
        <f>D244*EXP(-'1_Inputs'!$H$4*(1/365))</f>
        <v>0.992450600567469</v>
      </c>
    </row>
    <row r="246" spans="1:4">
      <c r="A246" s="4">
        <v>243</v>
      </c>
      <c r="B246" s="6">
        <f t="shared" si="3"/>
        <v>0.665753424657534</v>
      </c>
      <c r="C246" s="8">
        <f>'1_Inputs'!$H$4</f>
        <v>0.0109380260089013</v>
      </c>
      <c r="D246" s="6">
        <f>D245*EXP(-'1_Inputs'!$H$4*(1/365))</f>
        <v>0.992420860052868</v>
      </c>
    </row>
    <row r="247" spans="1:4">
      <c r="A247" s="10">
        <v>244</v>
      </c>
      <c r="B247" s="12">
        <f t="shared" si="3"/>
        <v>0.668493150684932</v>
      </c>
      <c r="C247" s="14">
        <f>'1_Inputs'!$H$4</f>
        <v>0.0109380260089013</v>
      </c>
      <c r="D247" s="12">
        <f>D246*EXP(-'1_Inputs'!$H$4*(1/365))</f>
        <v>0.992391120429493</v>
      </c>
    </row>
    <row r="248" spans="1:4">
      <c r="A248" s="4">
        <v>245</v>
      </c>
      <c r="B248" s="6">
        <f t="shared" si="3"/>
        <v>0.671232876712329</v>
      </c>
      <c r="C248" s="8">
        <f>'1_Inputs'!$H$4</f>
        <v>0.0109380260089013</v>
      </c>
      <c r="D248" s="6">
        <f>D247*EXP(-'1_Inputs'!$H$4*(1/365))</f>
        <v>0.992361381697318</v>
      </c>
    </row>
    <row r="249" spans="1:4">
      <c r="A249" s="10">
        <v>246</v>
      </c>
      <c r="B249" s="12">
        <f t="shared" si="3"/>
        <v>0.673972602739726</v>
      </c>
      <c r="C249" s="14">
        <f>'1_Inputs'!$H$4</f>
        <v>0.0109380260089013</v>
      </c>
      <c r="D249" s="12">
        <f>D248*EXP(-'1_Inputs'!$H$4*(1/365))</f>
        <v>0.992331643856316</v>
      </c>
    </row>
    <row r="250" spans="1:4">
      <c r="A250" s="4">
        <v>247</v>
      </c>
      <c r="B250" s="6">
        <f t="shared" si="3"/>
        <v>0.676712328767123</v>
      </c>
      <c r="C250" s="8">
        <f>'1_Inputs'!$H$4</f>
        <v>0.0109380260089013</v>
      </c>
      <c r="D250" s="6">
        <f>D249*EXP(-'1_Inputs'!$H$4*(1/365))</f>
        <v>0.99230190690646</v>
      </c>
    </row>
    <row r="251" spans="1:4">
      <c r="A251" s="10">
        <v>248</v>
      </c>
      <c r="B251" s="12">
        <f t="shared" si="3"/>
        <v>0.679452054794521</v>
      </c>
      <c r="C251" s="14">
        <f>'1_Inputs'!$H$4</f>
        <v>0.0109380260089013</v>
      </c>
      <c r="D251" s="12">
        <f>D250*EXP(-'1_Inputs'!$H$4*(1/365))</f>
        <v>0.992272170847724</v>
      </c>
    </row>
    <row r="252" spans="1:4">
      <c r="A252" s="4">
        <v>249</v>
      </c>
      <c r="B252" s="6">
        <f t="shared" si="3"/>
        <v>0.682191780821918</v>
      </c>
      <c r="C252" s="8">
        <f>'1_Inputs'!$H$4</f>
        <v>0.0109380260089013</v>
      </c>
      <c r="D252" s="6">
        <f>D251*EXP(-'1_Inputs'!$H$4*(1/365))</f>
        <v>0.99224243568008</v>
      </c>
    </row>
    <row r="253" spans="1:4">
      <c r="A253" s="10">
        <v>250</v>
      </c>
      <c r="B253" s="12">
        <f t="shared" si="3"/>
        <v>0.684931506849315</v>
      </c>
      <c r="C253" s="14">
        <f>'1_Inputs'!$H$4</f>
        <v>0.0109380260089013</v>
      </c>
      <c r="D253" s="12">
        <f>D252*EXP(-'1_Inputs'!$H$4*(1/365))</f>
        <v>0.992212701403503</v>
      </c>
    </row>
    <row r="254" spans="1:4">
      <c r="A254" s="4">
        <v>251</v>
      </c>
      <c r="B254" s="6">
        <f t="shared" si="3"/>
        <v>0.687671232876712</v>
      </c>
      <c r="C254" s="8">
        <f>'1_Inputs'!$H$4</f>
        <v>0.0109380260089013</v>
      </c>
      <c r="D254" s="6">
        <f>D253*EXP(-'1_Inputs'!$H$4*(1/365))</f>
        <v>0.992182968017966</v>
      </c>
    </row>
    <row r="255" spans="1:4">
      <c r="A255" s="10">
        <v>252</v>
      </c>
      <c r="B255" s="12">
        <f t="shared" si="3"/>
        <v>0.69041095890411</v>
      </c>
      <c r="C255" s="14">
        <f>'1_Inputs'!$H$4</f>
        <v>0.0109380260089013</v>
      </c>
      <c r="D255" s="12">
        <f>D254*EXP(-'1_Inputs'!$H$4*(1/365))</f>
        <v>0.992153235523441</v>
      </c>
    </row>
    <row r="256" spans="1:4">
      <c r="A256" s="4">
        <v>253</v>
      </c>
      <c r="B256" s="6">
        <f t="shared" si="3"/>
        <v>0.693150684931507</v>
      </c>
      <c r="C256" s="8">
        <f>'1_Inputs'!$H$4</f>
        <v>0.0109380260089013</v>
      </c>
      <c r="D256" s="6">
        <f>D255*EXP(-'1_Inputs'!$H$4*(1/365))</f>
        <v>0.992123503919902</v>
      </c>
    </row>
    <row r="257" spans="1:4">
      <c r="A257" s="10">
        <v>254</v>
      </c>
      <c r="B257" s="12">
        <f t="shared" si="3"/>
        <v>0.695890410958904</v>
      </c>
      <c r="C257" s="14">
        <f>'1_Inputs'!$H$4</f>
        <v>0.0109380260089013</v>
      </c>
      <c r="D257" s="12">
        <f>D256*EXP(-'1_Inputs'!$H$4*(1/365))</f>
        <v>0.992093773207323</v>
      </c>
    </row>
    <row r="258" spans="1:4">
      <c r="A258" s="4">
        <v>255</v>
      </c>
      <c r="B258" s="6">
        <f t="shared" si="3"/>
        <v>0.698630136986301</v>
      </c>
      <c r="C258" s="8">
        <f>'1_Inputs'!$H$4</f>
        <v>0.0109380260089013</v>
      </c>
      <c r="D258" s="6">
        <f>D257*EXP(-'1_Inputs'!$H$4*(1/365))</f>
        <v>0.992064043385676</v>
      </c>
    </row>
    <row r="259" spans="1:4">
      <c r="A259" s="10">
        <v>256</v>
      </c>
      <c r="B259" s="12">
        <f t="shared" ref="B259:B322" si="4">A259/365</f>
        <v>0.701369863013699</v>
      </c>
      <c r="C259" s="14">
        <f>'1_Inputs'!$H$4</f>
        <v>0.0109380260089013</v>
      </c>
      <c r="D259" s="12">
        <f>D258*EXP(-'1_Inputs'!$H$4*(1/365))</f>
        <v>0.992034314454936</v>
      </c>
    </row>
    <row r="260" spans="1:4">
      <c r="A260" s="4">
        <v>257</v>
      </c>
      <c r="B260" s="6">
        <f t="shared" si="4"/>
        <v>0.704109589041096</v>
      </c>
      <c r="C260" s="8">
        <f>'1_Inputs'!$H$4</f>
        <v>0.0109380260089013</v>
      </c>
      <c r="D260" s="6">
        <f>D259*EXP(-'1_Inputs'!$H$4*(1/365))</f>
        <v>0.992004586415074</v>
      </c>
    </row>
    <row r="261" spans="1:4">
      <c r="A261" s="10">
        <v>258</v>
      </c>
      <c r="B261" s="12">
        <f t="shared" si="4"/>
        <v>0.706849315068493</v>
      </c>
      <c r="C261" s="14">
        <f>'1_Inputs'!$H$4</f>
        <v>0.0109380260089013</v>
      </c>
      <c r="D261" s="12">
        <f>D260*EXP(-'1_Inputs'!$H$4*(1/365))</f>
        <v>0.991974859266066</v>
      </c>
    </row>
    <row r="262" spans="1:4">
      <c r="A262" s="4">
        <v>259</v>
      </c>
      <c r="B262" s="6">
        <f t="shared" si="4"/>
        <v>0.70958904109589</v>
      </c>
      <c r="C262" s="8">
        <f>'1_Inputs'!$H$4</f>
        <v>0.0109380260089013</v>
      </c>
      <c r="D262" s="6">
        <f>D261*EXP(-'1_Inputs'!$H$4*(1/365))</f>
        <v>0.991945133007883</v>
      </c>
    </row>
    <row r="263" spans="1:4">
      <c r="A263" s="10">
        <v>260</v>
      </c>
      <c r="B263" s="12">
        <f t="shared" si="4"/>
        <v>0.712328767123288</v>
      </c>
      <c r="C263" s="14">
        <f>'1_Inputs'!$H$4</f>
        <v>0.0109380260089013</v>
      </c>
      <c r="D263" s="12">
        <f>D262*EXP(-'1_Inputs'!$H$4*(1/365))</f>
        <v>0.991915407640499</v>
      </c>
    </row>
    <row r="264" spans="1:4">
      <c r="A264" s="4">
        <v>261</v>
      </c>
      <c r="B264" s="6">
        <f t="shared" si="4"/>
        <v>0.715068493150685</v>
      </c>
      <c r="C264" s="8">
        <f>'1_Inputs'!$H$4</f>
        <v>0.0109380260089013</v>
      </c>
      <c r="D264" s="6">
        <f>D263*EXP(-'1_Inputs'!$H$4*(1/365))</f>
        <v>0.991885683163888</v>
      </c>
    </row>
    <row r="265" spans="1:4">
      <c r="A265" s="10">
        <v>262</v>
      </c>
      <c r="B265" s="12">
        <f t="shared" si="4"/>
        <v>0.717808219178082</v>
      </c>
      <c r="C265" s="14">
        <f>'1_Inputs'!$H$4</f>
        <v>0.0109380260089013</v>
      </c>
      <c r="D265" s="12">
        <f>D264*EXP(-'1_Inputs'!$H$4*(1/365))</f>
        <v>0.991855959578023</v>
      </c>
    </row>
    <row r="266" spans="1:4">
      <c r="A266" s="4">
        <v>263</v>
      </c>
      <c r="B266" s="6">
        <f t="shared" si="4"/>
        <v>0.720547945205479</v>
      </c>
      <c r="C266" s="8">
        <f>'1_Inputs'!$H$4</f>
        <v>0.0109380260089013</v>
      </c>
      <c r="D266" s="6">
        <f>D265*EXP(-'1_Inputs'!$H$4*(1/365))</f>
        <v>0.991826236882877</v>
      </c>
    </row>
    <row r="267" spans="1:4">
      <c r="A267" s="10">
        <v>264</v>
      </c>
      <c r="B267" s="12">
        <f t="shared" si="4"/>
        <v>0.723287671232877</v>
      </c>
      <c r="C267" s="14">
        <f>'1_Inputs'!$H$4</f>
        <v>0.0109380260089013</v>
      </c>
      <c r="D267" s="12">
        <f>D266*EXP(-'1_Inputs'!$H$4*(1/365))</f>
        <v>0.991796515078423</v>
      </c>
    </row>
    <row r="268" spans="1:4">
      <c r="A268" s="4">
        <v>265</v>
      </c>
      <c r="B268" s="6">
        <f t="shared" si="4"/>
        <v>0.726027397260274</v>
      </c>
      <c r="C268" s="8">
        <f>'1_Inputs'!$H$4</f>
        <v>0.0109380260089013</v>
      </c>
      <c r="D268" s="6">
        <f>D267*EXP(-'1_Inputs'!$H$4*(1/365))</f>
        <v>0.991766794164636</v>
      </c>
    </row>
    <row r="269" spans="1:4">
      <c r="A269" s="10">
        <v>266</v>
      </c>
      <c r="B269" s="12">
        <f t="shared" si="4"/>
        <v>0.728767123287671</v>
      </c>
      <c r="C269" s="14">
        <f>'1_Inputs'!$H$4</f>
        <v>0.0109380260089013</v>
      </c>
      <c r="D269" s="12">
        <f>D268*EXP(-'1_Inputs'!$H$4*(1/365))</f>
        <v>0.991737074141487</v>
      </c>
    </row>
    <row r="270" spans="1:4">
      <c r="A270" s="4">
        <v>267</v>
      </c>
      <c r="B270" s="6">
        <f t="shared" si="4"/>
        <v>0.731506849315068</v>
      </c>
      <c r="C270" s="8">
        <f>'1_Inputs'!$H$4</f>
        <v>0.0109380260089013</v>
      </c>
      <c r="D270" s="6">
        <f>D269*EXP(-'1_Inputs'!$H$4*(1/365))</f>
        <v>0.99170735500895</v>
      </c>
    </row>
    <row r="271" spans="1:4">
      <c r="A271" s="10">
        <v>268</v>
      </c>
      <c r="B271" s="12">
        <f t="shared" si="4"/>
        <v>0.734246575342466</v>
      </c>
      <c r="C271" s="14">
        <f>'1_Inputs'!$H$4</f>
        <v>0.0109380260089013</v>
      </c>
      <c r="D271" s="12">
        <f>D270*EXP(-'1_Inputs'!$H$4*(1/365))</f>
        <v>0.991677636766999</v>
      </c>
    </row>
    <row r="272" spans="1:4">
      <c r="A272" s="4">
        <v>269</v>
      </c>
      <c r="B272" s="6">
        <f t="shared" si="4"/>
        <v>0.736986301369863</v>
      </c>
      <c r="C272" s="8">
        <f>'1_Inputs'!$H$4</f>
        <v>0.0109380260089013</v>
      </c>
      <c r="D272" s="6">
        <f>D271*EXP(-'1_Inputs'!$H$4*(1/365))</f>
        <v>0.991647919415608</v>
      </c>
    </row>
    <row r="273" spans="1:5">
      <c r="A273" s="10">
        <v>270</v>
      </c>
      <c r="B273" s="12">
        <f t="shared" si="4"/>
        <v>0.73972602739726</v>
      </c>
      <c r="C273" s="14">
        <f>'1_Inputs'!$H$4</f>
        <v>0.0109380260089013</v>
      </c>
      <c r="D273" s="12">
        <f>D272*EXP(-'1_Inputs'!$H$4*(1/365))</f>
        <v>0.991618202954748</v>
      </c>
    </row>
    <row r="274" spans="1:5">
      <c r="A274" s="4">
        <v>271</v>
      </c>
      <c r="B274" s="6">
        <f t="shared" si="4"/>
        <v>0.742465753424657</v>
      </c>
      <c r="C274" s="8">
        <f>'1_Inputs'!$H$4</f>
        <v>0.0109380260089013</v>
      </c>
      <c r="D274" s="6">
        <f>D273*EXP(-'1_Inputs'!$H$4*(1/365))</f>
        <v>0.991588487384394</v>
      </c>
    </row>
    <row r="275" spans="1:5">
      <c r="A275" s="10">
        <v>272</v>
      </c>
      <c r="B275" s="12">
        <f t="shared" si="4"/>
        <v>0.745205479452055</v>
      </c>
      <c r="C275" s="14">
        <f>'1_Inputs'!$H$4</f>
        <v>0.0109380260089013</v>
      </c>
      <c r="D275" s="12">
        <f>D274*EXP(-'1_Inputs'!$H$4*(1/365))</f>
        <v>0.99155877270452</v>
      </c>
    </row>
    <row r="276" spans="1:5">
      <c r="A276" s="4">
        <v>273</v>
      </c>
      <c r="B276" s="6">
        <f t="shared" si="4"/>
        <v>0.747945205479452</v>
      </c>
      <c r="C276" s="8">
        <f>'1_Inputs'!$H$4</f>
        <v>0.0109380260089013</v>
      </c>
      <c r="D276" s="6">
        <f>D275*EXP(-'1_Inputs'!$H$4*(1/365))</f>
        <v>0.991529058915097</v>
      </c>
      <c r="E276" s="43" t="s">
        <v>59</v>
      </c>
    </row>
    <row r="277" spans="1:5">
      <c r="A277" s="10">
        <v>274</v>
      </c>
      <c r="B277" s="12">
        <f t="shared" si="4"/>
        <v>0.750684931506849</v>
      </c>
      <c r="C277" s="14">
        <f>'1_Inputs'!$H$4</f>
        <v>0.0109380260089013</v>
      </c>
      <c r="D277" s="12">
        <f>D276*EXP(-'1_Inputs'!$H$4*(1/365))</f>
        <v>0.9914993460161</v>
      </c>
    </row>
    <row r="278" spans="1:5">
      <c r="A278" s="4">
        <v>275</v>
      </c>
      <c r="B278" s="6">
        <f t="shared" si="4"/>
        <v>0.753424657534247</v>
      </c>
      <c r="C278" s="8">
        <f>'1_Inputs'!$H$4</f>
        <v>0.0109380260089013</v>
      </c>
      <c r="D278" s="6">
        <f>D277*EXP(-'1_Inputs'!$H$4*(1/365))</f>
        <v>0.991469634007502</v>
      </c>
    </row>
    <row r="279" spans="1:5">
      <c r="A279" s="10">
        <v>276</v>
      </c>
      <c r="B279" s="12">
        <f t="shared" si="4"/>
        <v>0.756164383561644</v>
      </c>
      <c r="C279" s="14">
        <f>'1_Inputs'!$H$4</f>
        <v>0.0109380260089013</v>
      </c>
      <c r="D279" s="12">
        <f>D278*EXP(-'1_Inputs'!$H$4*(1/365))</f>
        <v>0.991439922889276</v>
      </c>
    </row>
    <row r="280" spans="1:5">
      <c r="A280" s="4">
        <v>277</v>
      </c>
      <c r="B280" s="6">
        <f t="shared" si="4"/>
        <v>0.758904109589041</v>
      </c>
      <c r="C280" s="8">
        <f>'1_Inputs'!$H$4</f>
        <v>0.0109380260089013</v>
      </c>
      <c r="D280" s="6">
        <f>D279*EXP(-'1_Inputs'!$H$4*(1/365))</f>
        <v>0.991410212661395</v>
      </c>
    </row>
    <row r="281" spans="1:5">
      <c r="A281" s="10">
        <v>278</v>
      </c>
      <c r="B281" s="12">
        <f t="shared" si="4"/>
        <v>0.761643835616438</v>
      </c>
      <c r="C281" s="14">
        <f>'1_Inputs'!$H$4</f>
        <v>0.0109380260089013</v>
      </c>
      <c r="D281" s="12">
        <f>D280*EXP(-'1_Inputs'!$H$4*(1/365))</f>
        <v>0.991380503323833</v>
      </c>
    </row>
    <row r="282" spans="1:5">
      <c r="A282" s="4">
        <v>279</v>
      </c>
      <c r="B282" s="6">
        <f t="shared" si="4"/>
        <v>0.764383561643836</v>
      </c>
      <c r="C282" s="8">
        <f>'1_Inputs'!$H$4</f>
        <v>0.0109380260089013</v>
      </c>
      <c r="D282" s="6">
        <f>D281*EXP(-'1_Inputs'!$H$4*(1/365))</f>
        <v>0.991350794876564</v>
      </c>
    </row>
    <row r="283" spans="1:5">
      <c r="A283" s="10">
        <v>280</v>
      </c>
      <c r="B283" s="12">
        <f t="shared" si="4"/>
        <v>0.767123287671233</v>
      </c>
      <c r="C283" s="14">
        <f>'1_Inputs'!$H$4</f>
        <v>0.0109380260089013</v>
      </c>
      <c r="D283" s="12">
        <f>D282*EXP(-'1_Inputs'!$H$4*(1/365))</f>
        <v>0.99132108731956</v>
      </c>
    </row>
    <row r="284" spans="1:5">
      <c r="A284" s="4">
        <v>281</v>
      </c>
      <c r="B284" s="6">
        <f t="shared" si="4"/>
        <v>0.76986301369863</v>
      </c>
      <c r="C284" s="8">
        <f>'1_Inputs'!$H$4</f>
        <v>0.0109380260089013</v>
      </c>
      <c r="D284" s="6">
        <f>D283*EXP(-'1_Inputs'!$H$4*(1/365))</f>
        <v>0.991291380652795</v>
      </c>
    </row>
    <row r="285" spans="1:5">
      <c r="A285" s="10">
        <v>282</v>
      </c>
      <c r="B285" s="12">
        <f t="shared" si="4"/>
        <v>0.772602739726027</v>
      </c>
      <c r="C285" s="14">
        <f>'1_Inputs'!$H$4</f>
        <v>0.0109380260089013</v>
      </c>
      <c r="D285" s="12">
        <f>D284*EXP(-'1_Inputs'!$H$4*(1/365))</f>
        <v>0.991261674876242</v>
      </c>
    </row>
    <row r="286" spans="1:5">
      <c r="A286" s="4">
        <v>283</v>
      </c>
      <c r="B286" s="6">
        <f t="shared" si="4"/>
        <v>0.775342465753425</v>
      </c>
      <c r="C286" s="8">
        <f>'1_Inputs'!$H$4</f>
        <v>0.0109380260089013</v>
      </c>
      <c r="D286" s="6">
        <f>D285*EXP(-'1_Inputs'!$H$4*(1/365))</f>
        <v>0.991231969989874</v>
      </c>
    </row>
    <row r="287" spans="1:5">
      <c r="A287" s="10">
        <v>284</v>
      </c>
      <c r="B287" s="12">
        <f t="shared" si="4"/>
        <v>0.778082191780822</v>
      </c>
      <c r="C287" s="14">
        <f>'1_Inputs'!$H$4</f>
        <v>0.0109380260089013</v>
      </c>
      <c r="D287" s="12">
        <f>D286*EXP(-'1_Inputs'!$H$4*(1/365))</f>
        <v>0.991202265993665</v>
      </c>
    </row>
    <row r="288" spans="1:5">
      <c r="A288" s="4">
        <v>285</v>
      </c>
      <c r="B288" s="6">
        <f t="shared" si="4"/>
        <v>0.780821917808219</v>
      </c>
      <c r="C288" s="8">
        <f>'1_Inputs'!$H$4</f>
        <v>0.0109380260089013</v>
      </c>
      <c r="D288" s="6">
        <f>D287*EXP(-'1_Inputs'!$H$4*(1/365))</f>
        <v>0.991172562887588</v>
      </c>
    </row>
    <row r="289" spans="1:4">
      <c r="A289" s="10">
        <v>286</v>
      </c>
      <c r="B289" s="12">
        <f t="shared" si="4"/>
        <v>0.783561643835616</v>
      </c>
      <c r="C289" s="14">
        <f>'1_Inputs'!$H$4</f>
        <v>0.0109380260089013</v>
      </c>
      <c r="D289" s="12">
        <f>D288*EXP(-'1_Inputs'!$H$4*(1/365))</f>
        <v>0.991142860671617</v>
      </c>
    </row>
    <row r="290" spans="1:4">
      <c r="A290" s="4">
        <v>287</v>
      </c>
      <c r="B290" s="6">
        <f t="shared" si="4"/>
        <v>0.786301369863014</v>
      </c>
      <c r="C290" s="8">
        <f>'1_Inputs'!$H$4</f>
        <v>0.0109380260089013</v>
      </c>
      <c r="D290" s="6">
        <f>D289*EXP(-'1_Inputs'!$H$4*(1/365))</f>
        <v>0.991113159345724</v>
      </c>
    </row>
    <row r="291" spans="1:4">
      <c r="A291" s="10">
        <v>288</v>
      </c>
      <c r="B291" s="12">
        <f t="shared" si="4"/>
        <v>0.789041095890411</v>
      </c>
      <c r="C291" s="14">
        <f>'1_Inputs'!$H$4</f>
        <v>0.0109380260089013</v>
      </c>
      <c r="D291" s="12">
        <f>D290*EXP(-'1_Inputs'!$H$4*(1/365))</f>
        <v>0.991083458909884</v>
      </c>
    </row>
    <row r="292" spans="1:4">
      <c r="A292" s="4">
        <v>289</v>
      </c>
      <c r="B292" s="6">
        <f t="shared" si="4"/>
        <v>0.791780821917808</v>
      </c>
      <c r="C292" s="8">
        <f>'1_Inputs'!$H$4</f>
        <v>0.0109380260089013</v>
      </c>
      <c r="D292" s="6">
        <f>D291*EXP(-'1_Inputs'!$H$4*(1/365))</f>
        <v>0.991053759364069</v>
      </c>
    </row>
    <row r="293" spans="1:4">
      <c r="A293" s="10">
        <v>290</v>
      </c>
      <c r="B293" s="12">
        <f t="shared" si="4"/>
        <v>0.794520547945205</v>
      </c>
      <c r="C293" s="14">
        <f>'1_Inputs'!$H$4</f>
        <v>0.0109380260089013</v>
      </c>
      <c r="D293" s="12">
        <f>D292*EXP(-'1_Inputs'!$H$4*(1/365))</f>
        <v>0.991024060708252</v>
      </c>
    </row>
    <row r="294" spans="1:4">
      <c r="A294" s="4">
        <v>291</v>
      </c>
      <c r="B294" s="6">
        <f t="shared" si="4"/>
        <v>0.797260273972603</v>
      </c>
      <c r="C294" s="8">
        <f>'1_Inputs'!$H$4</f>
        <v>0.0109380260089013</v>
      </c>
      <c r="D294" s="6">
        <f>D293*EXP(-'1_Inputs'!$H$4*(1/365))</f>
        <v>0.990994362942408</v>
      </c>
    </row>
    <row r="295" spans="1:4">
      <c r="A295" s="10">
        <v>292</v>
      </c>
      <c r="B295" s="12">
        <f t="shared" si="4"/>
        <v>0.8</v>
      </c>
      <c r="C295" s="14">
        <f>'1_Inputs'!$H$4</f>
        <v>0.0109380260089013</v>
      </c>
      <c r="D295" s="12">
        <f>D294*EXP(-'1_Inputs'!$H$4*(1/365))</f>
        <v>0.990964666066509</v>
      </c>
    </row>
    <row r="296" spans="1:4">
      <c r="A296" s="4">
        <v>293</v>
      </c>
      <c r="B296" s="6">
        <f t="shared" si="4"/>
        <v>0.802739726027397</v>
      </c>
      <c r="C296" s="8">
        <f>'1_Inputs'!$H$4</f>
        <v>0.0109380260089013</v>
      </c>
      <c r="D296" s="6">
        <f>D295*EXP(-'1_Inputs'!$H$4*(1/365))</f>
        <v>0.990934970080529</v>
      </c>
    </row>
    <row r="297" spans="1:4">
      <c r="A297" s="10">
        <v>294</v>
      </c>
      <c r="B297" s="12">
        <f t="shared" si="4"/>
        <v>0.805479452054795</v>
      </c>
      <c r="C297" s="14">
        <f>'1_Inputs'!$H$4</f>
        <v>0.0109380260089013</v>
      </c>
      <c r="D297" s="12">
        <f>D296*EXP(-'1_Inputs'!$H$4*(1/365))</f>
        <v>0.990905274984441</v>
      </c>
    </row>
    <row r="298" spans="1:4">
      <c r="A298" s="4">
        <v>295</v>
      </c>
      <c r="B298" s="6">
        <f t="shared" si="4"/>
        <v>0.808219178082192</v>
      </c>
      <c r="C298" s="8">
        <f>'1_Inputs'!$H$4</f>
        <v>0.0109380260089013</v>
      </c>
      <c r="D298" s="6">
        <f>D297*EXP(-'1_Inputs'!$H$4*(1/365))</f>
        <v>0.990875580778218</v>
      </c>
    </row>
    <row r="299" spans="1:4">
      <c r="A299" s="10">
        <v>296</v>
      </c>
      <c r="B299" s="12">
        <f t="shared" si="4"/>
        <v>0.810958904109589</v>
      </c>
      <c r="C299" s="14">
        <f>'1_Inputs'!$H$4</f>
        <v>0.0109380260089013</v>
      </c>
      <c r="D299" s="12">
        <f>D298*EXP(-'1_Inputs'!$H$4*(1/365))</f>
        <v>0.990845887461834</v>
      </c>
    </row>
    <row r="300" spans="1:4">
      <c r="A300" s="4">
        <v>297</v>
      </c>
      <c r="B300" s="6">
        <f t="shared" si="4"/>
        <v>0.813698630136986</v>
      </c>
      <c r="C300" s="8">
        <f>'1_Inputs'!$H$4</f>
        <v>0.0109380260089013</v>
      </c>
      <c r="D300" s="6">
        <f>D299*EXP(-'1_Inputs'!$H$4*(1/365))</f>
        <v>0.990816195035262</v>
      </c>
    </row>
    <row r="301" spans="1:4">
      <c r="A301" s="10">
        <v>298</v>
      </c>
      <c r="B301" s="12">
        <f t="shared" si="4"/>
        <v>0.816438356164384</v>
      </c>
      <c r="C301" s="14">
        <f>'1_Inputs'!$H$4</f>
        <v>0.0109380260089013</v>
      </c>
      <c r="D301" s="12">
        <f>D300*EXP(-'1_Inputs'!$H$4*(1/365))</f>
        <v>0.990786503498475</v>
      </c>
    </row>
    <row r="302" spans="1:4">
      <c r="A302" s="4">
        <v>299</v>
      </c>
      <c r="B302" s="6">
        <f t="shared" si="4"/>
        <v>0.819178082191781</v>
      </c>
      <c r="C302" s="8">
        <f>'1_Inputs'!$H$4</f>
        <v>0.0109380260089013</v>
      </c>
      <c r="D302" s="6">
        <f>D301*EXP(-'1_Inputs'!$H$4*(1/365))</f>
        <v>0.990756812851447</v>
      </c>
    </row>
    <row r="303" spans="1:4">
      <c r="A303" s="10">
        <v>300</v>
      </c>
      <c r="B303" s="12">
        <f t="shared" si="4"/>
        <v>0.821917808219178</v>
      </c>
      <c r="C303" s="14">
        <f>'1_Inputs'!$H$4</f>
        <v>0.0109380260089013</v>
      </c>
      <c r="D303" s="12">
        <f>D302*EXP(-'1_Inputs'!$H$4*(1/365))</f>
        <v>0.990727123094152</v>
      </c>
    </row>
    <row r="304" spans="1:4">
      <c r="A304" s="4">
        <v>301</v>
      </c>
      <c r="B304" s="6">
        <f t="shared" si="4"/>
        <v>0.824657534246575</v>
      </c>
      <c r="C304" s="8">
        <f>'1_Inputs'!$H$4</f>
        <v>0.0109380260089013</v>
      </c>
      <c r="D304" s="6">
        <f>D303*EXP(-'1_Inputs'!$H$4*(1/365))</f>
        <v>0.990697434226561</v>
      </c>
    </row>
    <row r="305" spans="1:4">
      <c r="A305" s="10">
        <v>302</v>
      </c>
      <c r="B305" s="12">
        <f t="shared" si="4"/>
        <v>0.827397260273973</v>
      </c>
      <c r="C305" s="14">
        <f>'1_Inputs'!$H$4</f>
        <v>0.0109380260089013</v>
      </c>
      <c r="D305" s="12">
        <f>D304*EXP(-'1_Inputs'!$H$4*(1/365))</f>
        <v>0.990667746248649</v>
      </c>
    </row>
    <row r="306" spans="1:4">
      <c r="A306" s="4">
        <v>303</v>
      </c>
      <c r="B306" s="6">
        <f t="shared" si="4"/>
        <v>0.83013698630137</v>
      </c>
      <c r="C306" s="8">
        <f>'1_Inputs'!$H$4</f>
        <v>0.0109380260089013</v>
      </c>
      <c r="D306" s="6">
        <f>D305*EXP(-'1_Inputs'!$H$4*(1/365))</f>
        <v>0.99063805916039</v>
      </c>
    </row>
    <row r="307" spans="1:4">
      <c r="A307" s="10">
        <v>304</v>
      </c>
      <c r="B307" s="12">
        <f t="shared" si="4"/>
        <v>0.832876712328767</v>
      </c>
      <c r="C307" s="14">
        <f>'1_Inputs'!$H$4</f>
        <v>0.0109380260089013</v>
      </c>
      <c r="D307" s="12">
        <f>D306*EXP(-'1_Inputs'!$H$4*(1/365))</f>
        <v>0.990608372961756</v>
      </c>
    </row>
    <row r="308" spans="1:4">
      <c r="A308" s="4">
        <v>305</v>
      </c>
      <c r="B308" s="6">
        <f t="shared" si="4"/>
        <v>0.835616438356164</v>
      </c>
      <c r="C308" s="8">
        <f>'1_Inputs'!$H$4</f>
        <v>0.0109380260089013</v>
      </c>
      <c r="D308" s="6">
        <f>D307*EXP(-'1_Inputs'!$H$4*(1/365))</f>
        <v>0.99057868765272</v>
      </c>
    </row>
    <row r="309" spans="1:4">
      <c r="A309" s="10">
        <v>306</v>
      </c>
      <c r="B309" s="12">
        <f t="shared" si="4"/>
        <v>0.838356164383562</v>
      </c>
      <c r="C309" s="14">
        <f>'1_Inputs'!$H$4</f>
        <v>0.0109380260089013</v>
      </c>
      <c r="D309" s="12">
        <f>D308*EXP(-'1_Inputs'!$H$4*(1/365))</f>
        <v>0.990549003233257</v>
      </c>
    </row>
    <row r="310" spans="1:4">
      <c r="A310" s="4">
        <v>307</v>
      </c>
      <c r="B310" s="6">
        <f t="shared" si="4"/>
        <v>0.841095890410959</v>
      </c>
      <c r="C310" s="8">
        <f>'1_Inputs'!$H$4</f>
        <v>0.0109380260089013</v>
      </c>
      <c r="D310" s="6">
        <f>D309*EXP(-'1_Inputs'!$H$4*(1/365))</f>
        <v>0.990519319703339</v>
      </c>
    </row>
    <row r="311" spans="1:4">
      <c r="A311" s="10">
        <v>308</v>
      </c>
      <c r="B311" s="12">
        <f t="shared" si="4"/>
        <v>0.843835616438356</v>
      </c>
      <c r="C311" s="14">
        <f>'1_Inputs'!$H$4</f>
        <v>0.0109380260089013</v>
      </c>
      <c r="D311" s="12">
        <f>D310*EXP(-'1_Inputs'!$H$4*(1/365))</f>
        <v>0.99048963706294</v>
      </c>
    </row>
    <row r="312" spans="1:4">
      <c r="A312" s="4">
        <v>309</v>
      </c>
      <c r="B312" s="6">
        <f t="shared" si="4"/>
        <v>0.846575342465753</v>
      </c>
      <c r="C312" s="8">
        <f>'1_Inputs'!$H$4</f>
        <v>0.0109380260089013</v>
      </c>
      <c r="D312" s="6">
        <f>D311*EXP(-'1_Inputs'!$H$4*(1/365))</f>
        <v>0.990459955312033</v>
      </c>
    </row>
    <row r="313" spans="1:4">
      <c r="A313" s="10">
        <v>310</v>
      </c>
      <c r="B313" s="12">
        <f t="shared" si="4"/>
        <v>0.849315068493151</v>
      </c>
      <c r="C313" s="14">
        <f>'1_Inputs'!$H$4</f>
        <v>0.0109380260089013</v>
      </c>
      <c r="D313" s="12">
        <f>D312*EXP(-'1_Inputs'!$H$4*(1/365))</f>
        <v>0.990430274450592</v>
      </c>
    </row>
    <row r="314" spans="1:4">
      <c r="A314" s="4">
        <v>311</v>
      </c>
      <c r="B314" s="6">
        <f t="shared" si="4"/>
        <v>0.852054794520548</v>
      </c>
      <c r="C314" s="8">
        <f>'1_Inputs'!$H$4</f>
        <v>0.0109380260089013</v>
      </c>
      <c r="D314" s="6">
        <f>D313*EXP(-'1_Inputs'!$H$4*(1/365))</f>
        <v>0.990400594478589</v>
      </c>
    </row>
    <row r="315" spans="1:4">
      <c r="A315" s="10">
        <v>312</v>
      </c>
      <c r="B315" s="12">
        <f t="shared" si="4"/>
        <v>0.854794520547945</v>
      </c>
      <c r="C315" s="14">
        <f>'1_Inputs'!$H$4</f>
        <v>0.0109380260089013</v>
      </c>
      <c r="D315" s="12">
        <f>D314*EXP(-'1_Inputs'!$H$4*(1/365))</f>
        <v>0.990370915395998</v>
      </c>
    </row>
    <row r="316" spans="1:4">
      <c r="A316" s="4">
        <v>313</v>
      </c>
      <c r="B316" s="6">
        <f t="shared" si="4"/>
        <v>0.857534246575342</v>
      </c>
      <c r="C316" s="8">
        <f>'1_Inputs'!$H$4</f>
        <v>0.0109380260089013</v>
      </c>
      <c r="D316" s="6">
        <f>D315*EXP(-'1_Inputs'!$H$4*(1/365))</f>
        <v>0.990341237202793</v>
      </c>
    </row>
    <row r="317" spans="1:4">
      <c r="A317" s="10">
        <v>314</v>
      </c>
      <c r="B317" s="12">
        <f t="shared" si="4"/>
        <v>0.86027397260274</v>
      </c>
      <c r="C317" s="14">
        <f>'1_Inputs'!$H$4</f>
        <v>0.0109380260089013</v>
      </c>
      <c r="D317" s="12">
        <f>D316*EXP(-'1_Inputs'!$H$4*(1/365))</f>
        <v>0.990311559898947</v>
      </c>
    </row>
    <row r="318" spans="1:4">
      <c r="A318" s="4">
        <v>315</v>
      </c>
      <c r="B318" s="6">
        <f t="shared" si="4"/>
        <v>0.863013698630137</v>
      </c>
      <c r="C318" s="8">
        <f>'1_Inputs'!$H$4</f>
        <v>0.0109380260089013</v>
      </c>
      <c r="D318" s="6">
        <f>D317*EXP(-'1_Inputs'!$H$4*(1/365))</f>
        <v>0.990281883484433</v>
      </c>
    </row>
    <row r="319" spans="1:4">
      <c r="A319" s="10">
        <v>316</v>
      </c>
      <c r="B319" s="12">
        <f t="shared" si="4"/>
        <v>0.865753424657534</v>
      </c>
      <c r="C319" s="14">
        <f>'1_Inputs'!$H$4</f>
        <v>0.0109380260089013</v>
      </c>
      <c r="D319" s="12">
        <f>D318*EXP(-'1_Inputs'!$H$4*(1/365))</f>
        <v>0.990252207959225</v>
      </c>
    </row>
    <row r="320" spans="1:4">
      <c r="A320" s="4">
        <v>317</v>
      </c>
      <c r="B320" s="6">
        <f t="shared" si="4"/>
        <v>0.868493150684931</v>
      </c>
      <c r="C320" s="8">
        <f>'1_Inputs'!$H$4</f>
        <v>0.0109380260089013</v>
      </c>
      <c r="D320" s="6">
        <f>D319*EXP(-'1_Inputs'!$H$4*(1/365))</f>
        <v>0.990222533323296</v>
      </c>
    </row>
    <row r="321" spans="1:4">
      <c r="A321" s="10">
        <v>318</v>
      </c>
      <c r="B321" s="12">
        <f t="shared" si="4"/>
        <v>0.871232876712329</v>
      </c>
      <c r="C321" s="14">
        <f>'1_Inputs'!$H$4</f>
        <v>0.0109380260089013</v>
      </c>
      <c r="D321" s="12">
        <f>D320*EXP(-'1_Inputs'!$H$4*(1/365))</f>
        <v>0.990192859576619</v>
      </c>
    </row>
    <row r="322" spans="1:4">
      <c r="A322" s="4">
        <v>319</v>
      </c>
      <c r="B322" s="6">
        <f t="shared" si="4"/>
        <v>0.873972602739726</v>
      </c>
      <c r="C322" s="8">
        <f>'1_Inputs'!$H$4</f>
        <v>0.0109380260089013</v>
      </c>
      <c r="D322" s="6">
        <f>D321*EXP(-'1_Inputs'!$H$4*(1/365))</f>
        <v>0.990163186719167</v>
      </c>
    </row>
    <row r="323" spans="1:4">
      <c r="A323" s="10">
        <v>320</v>
      </c>
      <c r="B323" s="12">
        <f t="shared" ref="B323:B386" si="5">A323/365</f>
        <v>0.876712328767123</v>
      </c>
      <c r="C323" s="14">
        <f>'1_Inputs'!$H$4</f>
        <v>0.0109380260089013</v>
      </c>
      <c r="D323" s="12">
        <f>D322*EXP(-'1_Inputs'!$H$4*(1/365))</f>
        <v>0.990133514750914</v>
      </c>
    </row>
    <row r="324" spans="1:4">
      <c r="A324" s="4">
        <v>321</v>
      </c>
      <c r="B324" s="6">
        <f t="shared" si="5"/>
        <v>0.879452054794521</v>
      </c>
      <c r="C324" s="8">
        <f>'1_Inputs'!$H$4</f>
        <v>0.0109380260089013</v>
      </c>
      <c r="D324" s="6">
        <f>D323*EXP(-'1_Inputs'!$H$4*(1/365))</f>
        <v>0.990103843671834</v>
      </c>
    </row>
    <row r="325" spans="1:4">
      <c r="A325" s="10">
        <v>322</v>
      </c>
      <c r="B325" s="12">
        <f t="shared" si="5"/>
        <v>0.882191780821918</v>
      </c>
      <c r="C325" s="14">
        <f>'1_Inputs'!$H$4</f>
        <v>0.0109380260089013</v>
      </c>
      <c r="D325" s="12">
        <f>D324*EXP(-'1_Inputs'!$H$4*(1/365))</f>
        <v>0.9900741734819</v>
      </c>
    </row>
    <row r="326" spans="1:4">
      <c r="A326" s="4">
        <v>323</v>
      </c>
      <c r="B326" s="6">
        <f t="shared" si="5"/>
        <v>0.884931506849315</v>
      </c>
      <c r="C326" s="8">
        <f>'1_Inputs'!$H$4</f>
        <v>0.0109380260089013</v>
      </c>
      <c r="D326" s="6">
        <f>D325*EXP(-'1_Inputs'!$H$4*(1/365))</f>
        <v>0.990044504181084</v>
      </c>
    </row>
    <row r="327" spans="1:4">
      <c r="A327" s="10">
        <v>324</v>
      </c>
      <c r="B327" s="12">
        <f t="shared" si="5"/>
        <v>0.887671232876712</v>
      </c>
      <c r="C327" s="14">
        <f>'1_Inputs'!$H$4</f>
        <v>0.0109380260089013</v>
      </c>
      <c r="D327" s="12">
        <f>D326*EXP(-'1_Inputs'!$H$4*(1/365))</f>
        <v>0.990014835769361</v>
      </c>
    </row>
    <row r="328" spans="1:4">
      <c r="A328" s="4">
        <v>325</v>
      </c>
      <c r="B328" s="6">
        <f t="shared" si="5"/>
        <v>0.89041095890411</v>
      </c>
      <c r="C328" s="8">
        <f>'1_Inputs'!$H$4</f>
        <v>0.0109380260089013</v>
      </c>
      <c r="D328" s="6">
        <f>D327*EXP(-'1_Inputs'!$H$4*(1/365))</f>
        <v>0.989985168246703</v>
      </c>
    </row>
    <row r="329" spans="1:4">
      <c r="A329" s="10">
        <v>326</v>
      </c>
      <c r="B329" s="12">
        <f t="shared" si="5"/>
        <v>0.893150684931507</v>
      </c>
      <c r="C329" s="14">
        <f>'1_Inputs'!$H$4</f>
        <v>0.0109380260089013</v>
      </c>
      <c r="D329" s="12">
        <f>D328*EXP(-'1_Inputs'!$H$4*(1/365))</f>
        <v>0.989955501613085</v>
      </c>
    </row>
    <row r="330" spans="1:4">
      <c r="A330" s="4">
        <v>327</v>
      </c>
      <c r="B330" s="6">
        <f t="shared" si="5"/>
        <v>0.895890410958904</v>
      </c>
      <c r="C330" s="8">
        <f>'1_Inputs'!$H$4</f>
        <v>0.0109380260089013</v>
      </c>
      <c r="D330" s="6">
        <f>D329*EXP(-'1_Inputs'!$H$4*(1/365))</f>
        <v>0.989925835868479</v>
      </c>
    </row>
    <row r="331" spans="1:4">
      <c r="A331" s="10">
        <v>328</v>
      </c>
      <c r="B331" s="12">
        <f t="shared" si="5"/>
        <v>0.898630136986301</v>
      </c>
      <c r="C331" s="14">
        <f>'1_Inputs'!$H$4</f>
        <v>0.0109380260089013</v>
      </c>
      <c r="D331" s="12">
        <f>D330*EXP(-'1_Inputs'!$H$4*(1/365))</f>
        <v>0.989896171012859</v>
      </c>
    </row>
    <row r="332" spans="1:4">
      <c r="A332" s="4">
        <v>329</v>
      </c>
      <c r="B332" s="6">
        <f t="shared" si="5"/>
        <v>0.901369863013699</v>
      </c>
      <c r="C332" s="8">
        <f>'1_Inputs'!$H$4</f>
        <v>0.0109380260089013</v>
      </c>
      <c r="D332" s="6">
        <f>D331*EXP(-'1_Inputs'!$H$4*(1/365))</f>
        <v>0.989866507046198</v>
      </c>
    </row>
    <row r="333" spans="1:4">
      <c r="A333" s="10">
        <v>330</v>
      </c>
      <c r="B333" s="12">
        <f t="shared" si="5"/>
        <v>0.904109589041096</v>
      </c>
      <c r="C333" s="14">
        <f>'1_Inputs'!$H$4</f>
        <v>0.0109380260089013</v>
      </c>
      <c r="D333" s="12">
        <f>D332*EXP(-'1_Inputs'!$H$4*(1/365))</f>
        <v>0.98983684396847</v>
      </c>
    </row>
    <row r="334" spans="1:4">
      <c r="A334" s="4">
        <v>331</v>
      </c>
      <c r="B334" s="6">
        <f t="shared" si="5"/>
        <v>0.906849315068493</v>
      </c>
      <c r="C334" s="8">
        <f>'1_Inputs'!$H$4</f>
        <v>0.0109380260089013</v>
      </c>
      <c r="D334" s="6">
        <f>D333*EXP(-'1_Inputs'!$H$4*(1/365))</f>
        <v>0.989807181779648</v>
      </c>
    </row>
    <row r="335" spans="1:4">
      <c r="A335" s="10">
        <v>332</v>
      </c>
      <c r="B335" s="12">
        <f t="shared" si="5"/>
        <v>0.90958904109589</v>
      </c>
      <c r="C335" s="14">
        <f>'1_Inputs'!$H$4</f>
        <v>0.0109380260089013</v>
      </c>
      <c r="D335" s="12">
        <f>D334*EXP(-'1_Inputs'!$H$4*(1/365))</f>
        <v>0.989777520479704</v>
      </c>
    </row>
    <row r="336" spans="1:4">
      <c r="A336" s="4">
        <v>333</v>
      </c>
      <c r="B336" s="6">
        <f t="shared" si="5"/>
        <v>0.912328767123288</v>
      </c>
      <c r="C336" s="8">
        <f>'1_Inputs'!$H$4</f>
        <v>0.0109380260089013</v>
      </c>
      <c r="D336" s="6">
        <f>D335*EXP(-'1_Inputs'!$H$4*(1/365))</f>
        <v>0.989747860068614</v>
      </c>
    </row>
    <row r="337" spans="1:4">
      <c r="A337" s="10">
        <v>334</v>
      </c>
      <c r="B337" s="12">
        <f t="shared" si="5"/>
        <v>0.915068493150685</v>
      </c>
      <c r="C337" s="14">
        <f>'1_Inputs'!$H$4</f>
        <v>0.0109380260089013</v>
      </c>
      <c r="D337" s="12">
        <f>D336*EXP(-'1_Inputs'!$H$4*(1/365))</f>
        <v>0.989718200546349</v>
      </c>
    </row>
    <row r="338" spans="1:4">
      <c r="A338" s="4">
        <v>335</v>
      </c>
      <c r="B338" s="6">
        <f t="shared" si="5"/>
        <v>0.917808219178082</v>
      </c>
      <c r="C338" s="8">
        <f>'1_Inputs'!$H$4</f>
        <v>0.0109380260089013</v>
      </c>
      <c r="D338" s="6">
        <f>D337*EXP(-'1_Inputs'!$H$4*(1/365))</f>
        <v>0.989688541912884</v>
      </c>
    </row>
    <row r="339" spans="1:4">
      <c r="A339" s="10">
        <v>336</v>
      </c>
      <c r="B339" s="12">
        <f t="shared" si="5"/>
        <v>0.920547945205479</v>
      </c>
      <c r="C339" s="14">
        <f>'1_Inputs'!$H$4</f>
        <v>0.0109380260089013</v>
      </c>
      <c r="D339" s="12">
        <f>D338*EXP(-'1_Inputs'!$H$4*(1/365))</f>
        <v>0.989658884168192</v>
      </c>
    </row>
    <row r="340" spans="1:4">
      <c r="A340" s="4">
        <v>337</v>
      </c>
      <c r="B340" s="6">
        <f t="shared" si="5"/>
        <v>0.923287671232877</v>
      </c>
      <c r="C340" s="8">
        <f>'1_Inputs'!$H$4</f>
        <v>0.0109380260089013</v>
      </c>
      <c r="D340" s="6">
        <f>D339*EXP(-'1_Inputs'!$H$4*(1/365))</f>
        <v>0.989629227312245</v>
      </c>
    </row>
    <row r="341" spans="1:4">
      <c r="A341" s="10">
        <v>338</v>
      </c>
      <c r="B341" s="12">
        <f t="shared" si="5"/>
        <v>0.926027397260274</v>
      </c>
      <c r="C341" s="14">
        <f>'1_Inputs'!$H$4</f>
        <v>0.0109380260089013</v>
      </c>
      <c r="D341" s="12">
        <f>D340*EXP(-'1_Inputs'!$H$4*(1/365))</f>
        <v>0.989599571345019</v>
      </c>
    </row>
    <row r="342" spans="1:4">
      <c r="A342" s="4">
        <v>339</v>
      </c>
      <c r="B342" s="6">
        <f t="shared" si="5"/>
        <v>0.928767123287671</v>
      </c>
      <c r="C342" s="8">
        <f>'1_Inputs'!$H$4</f>
        <v>0.0109380260089013</v>
      </c>
      <c r="D342" s="6">
        <f>D341*EXP(-'1_Inputs'!$H$4*(1/365))</f>
        <v>0.989569916266484</v>
      </c>
    </row>
    <row r="343" spans="1:4">
      <c r="A343" s="10">
        <v>340</v>
      </c>
      <c r="B343" s="12">
        <f t="shared" si="5"/>
        <v>0.931506849315068</v>
      </c>
      <c r="C343" s="14">
        <f>'1_Inputs'!$H$4</f>
        <v>0.0109380260089013</v>
      </c>
      <c r="D343" s="12">
        <f>D342*EXP(-'1_Inputs'!$H$4*(1/365))</f>
        <v>0.989540262076617</v>
      </c>
    </row>
    <row r="344" spans="1:4">
      <c r="A344" s="4">
        <v>341</v>
      </c>
      <c r="B344" s="6">
        <f t="shared" si="5"/>
        <v>0.934246575342466</v>
      </c>
      <c r="C344" s="8">
        <f>'1_Inputs'!$H$4</f>
        <v>0.0109380260089013</v>
      </c>
      <c r="D344" s="6">
        <f>D343*EXP(-'1_Inputs'!$H$4*(1/365))</f>
        <v>0.989510608775388</v>
      </c>
    </row>
    <row r="345" spans="1:4">
      <c r="A345" s="10">
        <v>342</v>
      </c>
      <c r="B345" s="12">
        <f t="shared" si="5"/>
        <v>0.936986301369863</v>
      </c>
      <c r="C345" s="14">
        <f>'1_Inputs'!$H$4</f>
        <v>0.0109380260089013</v>
      </c>
      <c r="D345" s="12">
        <f>D344*EXP(-'1_Inputs'!$H$4*(1/365))</f>
        <v>0.989480956362773</v>
      </c>
    </row>
    <row r="346" spans="1:4">
      <c r="A346" s="4">
        <v>343</v>
      </c>
      <c r="B346" s="6">
        <f t="shared" si="5"/>
        <v>0.93972602739726</v>
      </c>
      <c r="C346" s="8">
        <f>'1_Inputs'!$H$4</f>
        <v>0.0109380260089013</v>
      </c>
      <c r="D346" s="6">
        <f>D345*EXP(-'1_Inputs'!$H$4*(1/365))</f>
        <v>0.989451304838744</v>
      </c>
    </row>
    <row r="347" spans="1:4">
      <c r="A347" s="10">
        <v>344</v>
      </c>
      <c r="B347" s="12">
        <f t="shared" si="5"/>
        <v>0.942465753424658</v>
      </c>
      <c r="C347" s="14">
        <f>'1_Inputs'!$H$4</f>
        <v>0.0109380260089013</v>
      </c>
      <c r="D347" s="12">
        <f>D346*EXP(-'1_Inputs'!$H$4*(1/365))</f>
        <v>0.989421654203274</v>
      </c>
    </row>
    <row r="348" spans="1:4">
      <c r="A348" s="4">
        <v>345</v>
      </c>
      <c r="B348" s="6">
        <f t="shared" si="5"/>
        <v>0.945205479452055</v>
      </c>
      <c r="C348" s="8">
        <f>'1_Inputs'!$H$4</f>
        <v>0.0109380260089013</v>
      </c>
      <c r="D348" s="6">
        <f>D347*EXP(-'1_Inputs'!$H$4*(1/365))</f>
        <v>0.989392004456338</v>
      </c>
    </row>
    <row r="349" spans="1:4">
      <c r="A349" s="10">
        <v>346</v>
      </c>
      <c r="B349" s="12">
        <f t="shared" si="5"/>
        <v>0.947945205479452</v>
      </c>
      <c r="C349" s="14">
        <f>'1_Inputs'!$H$4</f>
        <v>0.0109380260089013</v>
      </c>
      <c r="D349" s="12">
        <f>D348*EXP(-'1_Inputs'!$H$4*(1/365))</f>
        <v>0.989362355597908</v>
      </c>
    </row>
    <row r="350" spans="1:4">
      <c r="A350" s="4">
        <v>347</v>
      </c>
      <c r="B350" s="6">
        <f t="shared" si="5"/>
        <v>0.950684931506849</v>
      </c>
      <c r="C350" s="8">
        <f>'1_Inputs'!$H$4</f>
        <v>0.0109380260089013</v>
      </c>
      <c r="D350" s="6">
        <f>D349*EXP(-'1_Inputs'!$H$4*(1/365))</f>
        <v>0.989332707627958</v>
      </c>
    </row>
    <row r="351" spans="1:4">
      <c r="A351" s="10">
        <v>348</v>
      </c>
      <c r="B351" s="12">
        <f t="shared" si="5"/>
        <v>0.953424657534247</v>
      </c>
      <c r="C351" s="14">
        <f>'1_Inputs'!$H$4</f>
        <v>0.0109380260089013</v>
      </c>
      <c r="D351" s="12">
        <f>D350*EXP(-'1_Inputs'!$H$4*(1/365))</f>
        <v>0.989303060546461</v>
      </c>
    </row>
    <row r="352" spans="1:4">
      <c r="A352" s="4">
        <v>349</v>
      </c>
      <c r="B352" s="6">
        <f t="shared" si="5"/>
        <v>0.956164383561644</v>
      </c>
      <c r="C352" s="8">
        <f>'1_Inputs'!$H$4</f>
        <v>0.0109380260089013</v>
      </c>
      <c r="D352" s="6">
        <f>D351*EXP(-'1_Inputs'!$H$4*(1/365))</f>
        <v>0.98927341435339</v>
      </c>
    </row>
    <row r="353" spans="1:5">
      <c r="A353" s="10">
        <v>350</v>
      </c>
      <c r="B353" s="12">
        <f t="shared" si="5"/>
        <v>0.958904109589041</v>
      </c>
      <c r="C353" s="14">
        <f>'1_Inputs'!$H$4</f>
        <v>0.0109380260089013</v>
      </c>
      <c r="D353" s="12">
        <f>D352*EXP(-'1_Inputs'!$H$4*(1/365))</f>
        <v>0.98924376904872</v>
      </c>
    </row>
    <row r="354" spans="1:5">
      <c r="A354" s="4">
        <v>351</v>
      </c>
      <c r="B354" s="6">
        <f t="shared" si="5"/>
        <v>0.961643835616438</v>
      </c>
      <c r="C354" s="8">
        <f>'1_Inputs'!$H$4</f>
        <v>0.0109380260089013</v>
      </c>
      <c r="D354" s="6">
        <f>D353*EXP(-'1_Inputs'!$H$4*(1/365))</f>
        <v>0.989214124632423</v>
      </c>
    </row>
    <row r="355" spans="1:5">
      <c r="A355" s="10">
        <v>352</v>
      </c>
      <c r="B355" s="12">
        <f t="shared" si="5"/>
        <v>0.964383561643836</v>
      </c>
      <c r="C355" s="14">
        <f>'1_Inputs'!$H$4</f>
        <v>0.0109380260089013</v>
      </c>
      <c r="D355" s="12">
        <f>D354*EXP(-'1_Inputs'!$H$4*(1/365))</f>
        <v>0.989184481104472</v>
      </c>
    </row>
    <row r="356" spans="1:5">
      <c r="A356" s="4">
        <v>353</v>
      </c>
      <c r="B356" s="6">
        <f t="shared" si="5"/>
        <v>0.967123287671233</v>
      </c>
      <c r="C356" s="8">
        <f>'1_Inputs'!$H$4</f>
        <v>0.0109380260089013</v>
      </c>
      <c r="D356" s="6">
        <f>D355*EXP(-'1_Inputs'!$H$4*(1/365))</f>
        <v>0.989154838464842</v>
      </c>
    </row>
    <row r="357" spans="1:5">
      <c r="A357" s="10">
        <v>354</v>
      </c>
      <c r="B357" s="12">
        <f t="shared" si="5"/>
        <v>0.96986301369863</v>
      </c>
      <c r="C357" s="14">
        <f>'1_Inputs'!$H$4</f>
        <v>0.0109380260089013</v>
      </c>
      <c r="D357" s="12">
        <f>D356*EXP(-'1_Inputs'!$H$4*(1/365))</f>
        <v>0.989125196713505</v>
      </c>
    </row>
    <row r="358" spans="1:5">
      <c r="A358" s="4">
        <v>355</v>
      </c>
      <c r="B358" s="6">
        <f t="shared" si="5"/>
        <v>0.972602739726027</v>
      </c>
      <c r="C358" s="8">
        <f>'1_Inputs'!$H$4</f>
        <v>0.0109380260089013</v>
      </c>
      <c r="D358" s="6">
        <f>D357*EXP(-'1_Inputs'!$H$4*(1/365))</f>
        <v>0.989095555850435</v>
      </c>
    </row>
    <row r="359" spans="1:5">
      <c r="A359" s="10">
        <v>356</v>
      </c>
      <c r="B359" s="12">
        <f t="shared" si="5"/>
        <v>0.975342465753425</v>
      </c>
      <c r="C359" s="14">
        <f>'1_Inputs'!$H$4</f>
        <v>0.0109380260089013</v>
      </c>
      <c r="D359" s="12">
        <f>D358*EXP(-'1_Inputs'!$H$4*(1/365))</f>
        <v>0.989065915875605</v>
      </c>
    </row>
    <row r="360" spans="1:5">
      <c r="A360" s="4">
        <v>357</v>
      </c>
      <c r="B360" s="6">
        <f t="shared" si="5"/>
        <v>0.978082191780822</v>
      </c>
      <c r="C360" s="8">
        <f>'1_Inputs'!$H$4</f>
        <v>0.0109380260089013</v>
      </c>
      <c r="D360" s="6">
        <f>D359*EXP(-'1_Inputs'!$H$4*(1/365))</f>
        <v>0.989036276788988</v>
      </c>
    </row>
    <row r="361" spans="1:5">
      <c r="A361" s="10">
        <v>358</v>
      </c>
      <c r="B361" s="12">
        <f t="shared" si="5"/>
        <v>0.980821917808219</v>
      </c>
      <c r="C361" s="14">
        <f>'1_Inputs'!$H$4</f>
        <v>0.0109380260089013</v>
      </c>
      <c r="D361" s="12">
        <f>D360*EXP(-'1_Inputs'!$H$4*(1/365))</f>
        <v>0.989006638590559</v>
      </c>
    </row>
    <row r="362" spans="1:5">
      <c r="A362" s="4">
        <v>359</v>
      </c>
      <c r="B362" s="6">
        <f t="shared" si="5"/>
        <v>0.983561643835616</v>
      </c>
      <c r="C362" s="8">
        <f>'1_Inputs'!$H$4</f>
        <v>0.0109380260089013</v>
      </c>
      <c r="D362" s="6">
        <f>D361*EXP(-'1_Inputs'!$H$4*(1/365))</f>
        <v>0.98897700128029</v>
      </c>
    </row>
    <row r="363" spans="1:5">
      <c r="A363" s="10">
        <v>360</v>
      </c>
      <c r="B363" s="12">
        <f t="shared" si="5"/>
        <v>0.986301369863014</v>
      </c>
      <c r="C363" s="14">
        <f>'1_Inputs'!$H$4</f>
        <v>0.0109380260089013</v>
      </c>
      <c r="D363" s="12">
        <f>D362*EXP(-'1_Inputs'!$H$4*(1/365))</f>
        <v>0.988947364858154</v>
      </c>
    </row>
    <row r="364" spans="1:5">
      <c r="A364" s="4">
        <v>361</v>
      </c>
      <c r="B364" s="6">
        <f t="shared" si="5"/>
        <v>0.989041095890411</v>
      </c>
      <c r="C364" s="8">
        <f>'1_Inputs'!$H$4</f>
        <v>0.0109380260089013</v>
      </c>
      <c r="D364" s="6">
        <f>D363*EXP(-'1_Inputs'!$H$4*(1/365))</f>
        <v>0.988917729324126</v>
      </c>
    </row>
    <row r="365" spans="1:5">
      <c r="A365" s="10">
        <v>362</v>
      </c>
      <c r="B365" s="12">
        <f t="shared" si="5"/>
        <v>0.991780821917808</v>
      </c>
      <c r="C365" s="14">
        <f>'1_Inputs'!$H$4</f>
        <v>0.0109380260089013</v>
      </c>
      <c r="D365" s="12">
        <f>D364*EXP(-'1_Inputs'!$H$4*(1/365))</f>
        <v>0.988888094678178</v>
      </c>
    </row>
    <row r="366" spans="1:5">
      <c r="A366" s="4">
        <v>363</v>
      </c>
      <c r="B366" s="6">
        <f t="shared" si="5"/>
        <v>0.994520547945206</v>
      </c>
      <c r="C366" s="8">
        <f>'1_Inputs'!$H$4</f>
        <v>0.0109380260089013</v>
      </c>
      <c r="D366" s="6">
        <f>D365*EXP(-'1_Inputs'!$H$4*(1/365))</f>
        <v>0.988858460920284</v>
      </c>
    </row>
    <row r="367" spans="1:5">
      <c r="A367" s="10">
        <v>364</v>
      </c>
      <c r="B367" s="12">
        <f t="shared" si="5"/>
        <v>0.997260273972603</v>
      </c>
      <c r="C367" s="14">
        <f>'1_Inputs'!$H$4</f>
        <v>0.0109380260089013</v>
      </c>
      <c r="D367" s="12">
        <f>D366*EXP(-'1_Inputs'!$H$4*(1/365))</f>
        <v>0.988828828050418</v>
      </c>
    </row>
    <row r="368" spans="1:5">
      <c r="A368" s="4">
        <v>365</v>
      </c>
      <c r="B368" s="6">
        <f t="shared" si="5"/>
        <v>1</v>
      </c>
      <c r="C368" s="8">
        <f>'1_Inputs'!$H$4</f>
        <v>0.0109380260089013</v>
      </c>
      <c r="D368" s="6">
        <f>D367*EXP(-'1_Inputs'!$H$4*(1/365))</f>
        <v>0.988799196068552</v>
      </c>
      <c r="E368" s="44" t="s">
        <v>61</v>
      </c>
    </row>
    <row r="369" spans="1:4">
      <c r="A369" s="10">
        <v>366</v>
      </c>
      <c r="B369" s="12">
        <f t="shared" si="5"/>
        <v>1.0027397260274</v>
      </c>
      <c r="C369" s="14">
        <f>'1_Inputs'!$H$5</f>
        <v>0.021114750451147</v>
      </c>
      <c r="D369" s="12">
        <f>D368*EXP(-'1_Inputs'!$H$5*(1/365))</f>
        <v>0.988741997042815</v>
      </c>
    </row>
    <row r="370" spans="1:4">
      <c r="A370" s="4">
        <v>367</v>
      </c>
      <c r="B370" s="6">
        <f t="shared" si="5"/>
        <v>1.00547945205479</v>
      </c>
      <c r="C370" s="8">
        <f>'1_Inputs'!$H$5</f>
        <v>0.021114750451147</v>
      </c>
      <c r="D370" s="6">
        <f>D369*EXP(-'1_Inputs'!$H$5*(1/365))</f>
        <v>0.988684801325868</v>
      </c>
    </row>
    <row r="371" spans="1:4">
      <c r="A371" s="10">
        <v>368</v>
      </c>
      <c r="B371" s="12">
        <f t="shared" si="5"/>
        <v>1.00821917808219</v>
      </c>
      <c r="C371" s="14">
        <f>'1_Inputs'!$H$5</f>
        <v>0.021114750451147</v>
      </c>
      <c r="D371" s="12">
        <f>D370*EXP(-'1_Inputs'!$H$5*(1/365))</f>
        <v>0.988627608917519</v>
      </c>
    </row>
    <row r="372" spans="1:4">
      <c r="A372" s="4">
        <v>369</v>
      </c>
      <c r="B372" s="6">
        <f t="shared" si="5"/>
        <v>1.01095890410959</v>
      </c>
      <c r="C372" s="8">
        <f>'1_Inputs'!$H$5</f>
        <v>0.021114750451147</v>
      </c>
      <c r="D372" s="6">
        <f>D371*EXP(-'1_Inputs'!$H$5*(1/365))</f>
        <v>0.988570419817577</v>
      </c>
    </row>
    <row r="373" spans="1:4">
      <c r="A373" s="10">
        <v>370</v>
      </c>
      <c r="B373" s="12">
        <f t="shared" si="5"/>
        <v>1.01369863013699</v>
      </c>
      <c r="C373" s="14">
        <f>'1_Inputs'!$H$5</f>
        <v>0.021114750451147</v>
      </c>
      <c r="D373" s="12">
        <f>D372*EXP(-'1_Inputs'!$H$5*(1/365))</f>
        <v>0.988513234025851</v>
      </c>
    </row>
    <row r="374" spans="1:4">
      <c r="A374" s="4">
        <v>371</v>
      </c>
      <c r="B374" s="6">
        <f t="shared" si="5"/>
        <v>1.01643835616438</v>
      </c>
      <c r="C374" s="8">
        <f>'1_Inputs'!$H$5</f>
        <v>0.021114750451147</v>
      </c>
      <c r="D374" s="6">
        <f>D373*EXP(-'1_Inputs'!$H$5*(1/365))</f>
        <v>0.988456051542148</v>
      </c>
    </row>
    <row r="375" spans="1:4">
      <c r="A375" s="10">
        <v>372</v>
      </c>
      <c r="B375" s="12">
        <f t="shared" si="5"/>
        <v>1.01917808219178</v>
      </c>
      <c r="C375" s="14">
        <f>'1_Inputs'!$H$5</f>
        <v>0.021114750451147</v>
      </c>
      <c r="D375" s="12">
        <f>D374*EXP(-'1_Inputs'!$H$5*(1/365))</f>
        <v>0.988398872366279</v>
      </c>
    </row>
    <row r="376" spans="1:4">
      <c r="A376" s="4">
        <v>373</v>
      </c>
      <c r="B376" s="6">
        <f t="shared" si="5"/>
        <v>1.02191780821918</v>
      </c>
      <c r="C376" s="8">
        <f>'1_Inputs'!$H$5</f>
        <v>0.021114750451147</v>
      </c>
      <c r="D376" s="6">
        <f>D375*EXP(-'1_Inputs'!$H$5*(1/365))</f>
        <v>0.98834169649805</v>
      </c>
    </row>
    <row r="377" spans="1:4">
      <c r="A377" s="10">
        <v>374</v>
      </c>
      <c r="B377" s="12">
        <f t="shared" si="5"/>
        <v>1.02465753424658</v>
      </c>
      <c r="C377" s="14">
        <f>'1_Inputs'!$H$5</f>
        <v>0.021114750451147</v>
      </c>
      <c r="D377" s="12">
        <f>D376*EXP(-'1_Inputs'!$H$5*(1/365))</f>
        <v>0.988284523937272</v>
      </c>
    </row>
    <row r="378" spans="1:4">
      <c r="A378" s="4">
        <v>375</v>
      </c>
      <c r="B378" s="6">
        <f t="shared" si="5"/>
        <v>1.02739726027397</v>
      </c>
      <c r="C378" s="8">
        <f>'1_Inputs'!$H$5</f>
        <v>0.021114750451147</v>
      </c>
      <c r="D378" s="6">
        <f>D377*EXP(-'1_Inputs'!$H$5*(1/365))</f>
        <v>0.988227354683753</v>
      </c>
    </row>
    <row r="379" spans="1:4">
      <c r="A379" s="10">
        <v>376</v>
      </c>
      <c r="B379" s="12">
        <f t="shared" si="5"/>
        <v>1.03013698630137</v>
      </c>
      <c r="C379" s="14">
        <f>'1_Inputs'!$H$5</f>
        <v>0.021114750451147</v>
      </c>
      <c r="D379" s="12">
        <f>D378*EXP(-'1_Inputs'!$H$5*(1/365))</f>
        <v>0.988170188737301</v>
      </c>
    </row>
    <row r="380" spans="1:4">
      <c r="A380" s="4">
        <v>377</v>
      </c>
      <c r="B380" s="6">
        <f t="shared" si="5"/>
        <v>1.03287671232877</v>
      </c>
      <c r="C380" s="8">
        <f>'1_Inputs'!$H$5</f>
        <v>0.021114750451147</v>
      </c>
      <c r="D380" s="6">
        <f>D379*EXP(-'1_Inputs'!$H$5*(1/365))</f>
        <v>0.988113026097725</v>
      </c>
    </row>
    <row r="381" spans="1:4">
      <c r="A381" s="10">
        <v>378</v>
      </c>
      <c r="B381" s="12">
        <f t="shared" si="5"/>
        <v>1.03561643835616</v>
      </c>
      <c r="C381" s="14">
        <f>'1_Inputs'!$H$5</f>
        <v>0.021114750451147</v>
      </c>
      <c r="D381" s="12">
        <f>D380*EXP(-'1_Inputs'!$H$5*(1/365))</f>
        <v>0.988055866764834</v>
      </c>
    </row>
    <row r="382" spans="1:4">
      <c r="A382" s="4">
        <v>379</v>
      </c>
      <c r="B382" s="6">
        <f t="shared" si="5"/>
        <v>1.03835616438356</v>
      </c>
      <c r="C382" s="8">
        <f>'1_Inputs'!$H$5</f>
        <v>0.021114750451147</v>
      </c>
      <c r="D382" s="6">
        <f>D381*EXP(-'1_Inputs'!$H$5*(1/365))</f>
        <v>0.987998710738436</v>
      </c>
    </row>
    <row r="383" spans="1:4">
      <c r="A383" s="10">
        <v>380</v>
      </c>
      <c r="B383" s="12">
        <f t="shared" si="5"/>
        <v>1.04109589041096</v>
      </c>
      <c r="C383" s="14">
        <f>'1_Inputs'!$H$5</f>
        <v>0.021114750451147</v>
      </c>
      <c r="D383" s="12">
        <f>D382*EXP(-'1_Inputs'!$H$5*(1/365))</f>
        <v>0.987941558018341</v>
      </c>
    </row>
    <row r="384" spans="1:4">
      <c r="A384" s="4">
        <v>381</v>
      </c>
      <c r="B384" s="6">
        <f t="shared" si="5"/>
        <v>1.04383561643836</v>
      </c>
      <c r="C384" s="8">
        <f>'1_Inputs'!$H$5</f>
        <v>0.021114750451147</v>
      </c>
      <c r="D384" s="6">
        <f>D383*EXP(-'1_Inputs'!$H$5*(1/365))</f>
        <v>0.987884408604357</v>
      </c>
    </row>
    <row r="385" spans="1:4">
      <c r="A385" s="10">
        <v>382</v>
      </c>
      <c r="B385" s="12">
        <f t="shared" si="5"/>
        <v>1.04657534246575</v>
      </c>
      <c r="C385" s="14">
        <f>'1_Inputs'!$H$5</f>
        <v>0.021114750451147</v>
      </c>
      <c r="D385" s="12">
        <f>D384*EXP(-'1_Inputs'!$H$5*(1/365))</f>
        <v>0.987827262496292</v>
      </c>
    </row>
    <row r="386" spans="1:4">
      <c r="A386" s="4">
        <v>383</v>
      </c>
      <c r="B386" s="6">
        <f t="shared" si="5"/>
        <v>1.04931506849315</v>
      </c>
      <c r="C386" s="8">
        <f>'1_Inputs'!$H$5</f>
        <v>0.021114750451147</v>
      </c>
      <c r="D386" s="6">
        <f>D385*EXP(-'1_Inputs'!$H$5*(1/365))</f>
        <v>0.987770119693956</v>
      </c>
    </row>
    <row r="387" spans="1:4">
      <c r="A387" s="10">
        <v>384</v>
      </c>
      <c r="B387" s="12">
        <f t="shared" ref="B387:B450" si="6">A387/365</f>
        <v>1.05205479452055</v>
      </c>
      <c r="C387" s="14">
        <f>'1_Inputs'!$H$5</f>
        <v>0.021114750451147</v>
      </c>
      <c r="D387" s="12">
        <f>D386*EXP(-'1_Inputs'!$H$5*(1/365))</f>
        <v>0.987712980197157</v>
      </c>
    </row>
    <row r="388" spans="1:4">
      <c r="A388" s="4">
        <v>385</v>
      </c>
      <c r="B388" s="6">
        <f t="shared" si="6"/>
        <v>1.05479452054795</v>
      </c>
      <c r="C388" s="8">
        <f>'1_Inputs'!$H$5</f>
        <v>0.021114750451147</v>
      </c>
      <c r="D388" s="6">
        <f>D387*EXP(-'1_Inputs'!$H$5*(1/365))</f>
        <v>0.987655844005705</v>
      </c>
    </row>
    <row r="389" spans="1:4">
      <c r="A389" s="10">
        <v>386</v>
      </c>
      <c r="B389" s="12">
        <f t="shared" si="6"/>
        <v>1.05753424657534</v>
      </c>
      <c r="C389" s="14">
        <f>'1_Inputs'!$H$5</f>
        <v>0.021114750451147</v>
      </c>
      <c r="D389" s="12">
        <f>D388*EXP(-'1_Inputs'!$H$5*(1/365))</f>
        <v>0.987598711119407</v>
      </c>
    </row>
    <row r="390" spans="1:4">
      <c r="A390" s="4">
        <v>387</v>
      </c>
      <c r="B390" s="6">
        <f t="shared" si="6"/>
        <v>1.06027397260274</v>
      </c>
      <c r="C390" s="8">
        <f>'1_Inputs'!$H$5</f>
        <v>0.021114750451147</v>
      </c>
      <c r="D390" s="6">
        <f>D389*EXP(-'1_Inputs'!$H$5*(1/365))</f>
        <v>0.987541581538073</v>
      </c>
    </row>
    <row r="391" spans="1:4">
      <c r="A391" s="10">
        <v>388</v>
      </c>
      <c r="B391" s="12">
        <f t="shared" si="6"/>
        <v>1.06301369863014</v>
      </c>
      <c r="C391" s="14">
        <f>'1_Inputs'!$H$5</f>
        <v>0.021114750451147</v>
      </c>
      <c r="D391" s="12">
        <f>D390*EXP(-'1_Inputs'!$H$5*(1/365))</f>
        <v>0.987484455261511</v>
      </c>
    </row>
    <row r="392" spans="1:4">
      <c r="A392" s="4">
        <v>389</v>
      </c>
      <c r="B392" s="6">
        <f t="shared" si="6"/>
        <v>1.06575342465753</v>
      </c>
      <c r="C392" s="8">
        <f>'1_Inputs'!$H$5</f>
        <v>0.021114750451147</v>
      </c>
      <c r="D392" s="6">
        <f>D391*EXP(-'1_Inputs'!$H$5*(1/365))</f>
        <v>0.987427332289531</v>
      </c>
    </row>
    <row r="393" spans="1:4">
      <c r="A393" s="10">
        <v>390</v>
      </c>
      <c r="B393" s="12">
        <f t="shared" si="6"/>
        <v>1.06849315068493</v>
      </c>
      <c r="C393" s="14">
        <f>'1_Inputs'!$H$5</f>
        <v>0.021114750451147</v>
      </c>
      <c r="D393" s="12">
        <f>D392*EXP(-'1_Inputs'!$H$5*(1/365))</f>
        <v>0.987370212621941</v>
      </c>
    </row>
    <row r="394" spans="1:4">
      <c r="A394" s="4">
        <v>391</v>
      </c>
      <c r="B394" s="6">
        <f t="shared" si="6"/>
        <v>1.07123287671233</v>
      </c>
      <c r="C394" s="8">
        <f>'1_Inputs'!$H$5</f>
        <v>0.021114750451147</v>
      </c>
      <c r="D394" s="6">
        <f>D393*EXP(-'1_Inputs'!$H$5*(1/365))</f>
        <v>0.98731309625855</v>
      </c>
    </row>
    <row r="395" spans="1:4">
      <c r="A395" s="10">
        <v>392</v>
      </c>
      <c r="B395" s="12">
        <f t="shared" si="6"/>
        <v>1.07397260273973</v>
      </c>
      <c r="C395" s="14">
        <f>'1_Inputs'!$H$5</f>
        <v>0.021114750451147</v>
      </c>
      <c r="D395" s="12">
        <f>D394*EXP(-'1_Inputs'!$H$5*(1/365))</f>
        <v>0.987255983199167</v>
      </c>
    </row>
    <row r="396" spans="1:4">
      <c r="A396" s="4">
        <v>393</v>
      </c>
      <c r="B396" s="6">
        <f t="shared" si="6"/>
        <v>1.07671232876712</v>
      </c>
      <c r="C396" s="8">
        <f>'1_Inputs'!$H$5</f>
        <v>0.021114750451147</v>
      </c>
      <c r="D396" s="6">
        <f>D395*EXP(-'1_Inputs'!$H$5*(1/365))</f>
        <v>0.9871988734436</v>
      </c>
    </row>
    <row r="397" spans="1:4">
      <c r="A397" s="10">
        <v>394</v>
      </c>
      <c r="B397" s="12">
        <f t="shared" si="6"/>
        <v>1.07945205479452</v>
      </c>
      <c r="C397" s="14">
        <f>'1_Inputs'!$H$5</f>
        <v>0.021114750451147</v>
      </c>
      <c r="D397" s="12">
        <f>D396*EXP(-'1_Inputs'!$H$5*(1/365))</f>
        <v>0.98714176699166</v>
      </c>
    </row>
    <row r="398" spans="1:4">
      <c r="A398" s="4">
        <v>395</v>
      </c>
      <c r="B398" s="6">
        <f t="shared" si="6"/>
        <v>1.08219178082192</v>
      </c>
      <c r="C398" s="8">
        <f>'1_Inputs'!$H$5</f>
        <v>0.021114750451147</v>
      </c>
      <c r="D398" s="6">
        <f>D397*EXP(-'1_Inputs'!$H$5*(1/365))</f>
        <v>0.987084663843153</v>
      </c>
    </row>
    <row r="399" spans="1:4">
      <c r="A399" s="10">
        <v>396</v>
      </c>
      <c r="B399" s="12">
        <f t="shared" si="6"/>
        <v>1.08493150684932</v>
      </c>
      <c r="C399" s="14">
        <f>'1_Inputs'!$H$5</f>
        <v>0.021114750451147</v>
      </c>
      <c r="D399" s="12">
        <f>D398*EXP(-'1_Inputs'!$H$5*(1/365))</f>
        <v>0.987027563997891</v>
      </c>
    </row>
    <row r="400" spans="1:4">
      <c r="A400" s="4">
        <v>397</v>
      </c>
      <c r="B400" s="6">
        <f t="shared" si="6"/>
        <v>1.08767123287671</v>
      </c>
      <c r="C400" s="8">
        <f>'1_Inputs'!$H$5</f>
        <v>0.021114750451147</v>
      </c>
      <c r="D400" s="6">
        <f>D399*EXP(-'1_Inputs'!$H$5*(1/365))</f>
        <v>0.98697046745568</v>
      </c>
    </row>
    <row r="401" spans="1:4">
      <c r="A401" s="10">
        <v>398</v>
      </c>
      <c r="B401" s="12">
        <f t="shared" si="6"/>
        <v>1.09041095890411</v>
      </c>
      <c r="C401" s="14">
        <f>'1_Inputs'!$H$5</f>
        <v>0.021114750451147</v>
      </c>
      <c r="D401" s="12">
        <f>D400*EXP(-'1_Inputs'!$H$5*(1/365))</f>
        <v>0.986913374216331</v>
      </c>
    </row>
    <row r="402" spans="1:4">
      <c r="A402" s="4">
        <v>399</v>
      </c>
      <c r="B402" s="6">
        <f t="shared" si="6"/>
        <v>1.09315068493151</v>
      </c>
      <c r="C402" s="8">
        <f>'1_Inputs'!$H$5</f>
        <v>0.021114750451147</v>
      </c>
      <c r="D402" s="6">
        <f>D401*EXP(-'1_Inputs'!$H$5*(1/365))</f>
        <v>0.986856284279652</v>
      </c>
    </row>
    <row r="403" spans="1:4">
      <c r="A403" s="10">
        <v>400</v>
      </c>
      <c r="B403" s="12">
        <f t="shared" si="6"/>
        <v>1.0958904109589</v>
      </c>
      <c r="C403" s="14">
        <f>'1_Inputs'!$H$5</f>
        <v>0.021114750451147</v>
      </c>
      <c r="D403" s="12">
        <f>D402*EXP(-'1_Inputs'!$H$5*(1/365))</f>
        <v>0.986799197645453</v>
      </c>
    </row>
    <row r="404" spans="1:4">
      <c r="A404" s="4">
        <v>401</v>
      </c>
      <c r="B404" s="6">
        <f t="shared" si="6"/>
        <v>1.0986301369863</v>
      </c>
      <c r="C404" s="8">
        <f>'1_Inputs'!$H$5</f>
        <v>0.021114750451147</v>
      </c>
      <c r="D404" s="6">
        <f>D403*EXP(-'1_Inputs'!$H$5*(1/365))</f>
        <v>0.986742114313541</v>
      </c>
    </row>
    <row r="405" spans="1:4">
      <c r="A405" s="10">
        <v>402</v>
      </c>
      <c r="B405" s="12">
        <f t="shared" si="6"/>
        <v>1.1013698630137</v>
      </c>
      <c r="C405" s="14">
        <f>'1_Inputs'!$H$5</f>
        <v>0.021114750451147</v>
      </c>
      <c r="D405" s="12">
        <f>D404*EXP(-'1_Inputs'!$H$5*(1/365))</f>
        <v>0.986685034283727</v>
      </c>
    </row>
    <row r="406" spans="1:4">
      <c r="A406" s="4">
        <v>403</v>
      </c>
      <c r="B406" s="6">
        <f t="shared" si="6"/>
        <v>1.1041095890411</v>
      </c>
      <c r="C406" s="8">
        <f>'1_Inputs'!$H$5</f>
        <v>0.021114750451147</v>
      </c>
      <c r="D406" s="6">
        <f>D405*EXP(-'1_Inputs'!$H$5*(1/365))</f>
        <v>0.986627957555818</v>
      </c>
    </row>
    <row r="407" spans="1:4">
      <c r="A407" s="10">
        <v>404</v>
      </c>
      <c r="B407" s="12">
        <f t="shared" si="6"/>
        <v>1.10684931506849</v>
      </c>
      <c r="C407" s="14">
        <f>'1_Inputs'!$H$5</f>
        <v>0.021114750451147</v>
      </c>
      <c r="D407" s="12">
        <f>D406*EXP(-'1_Inputs'!$H$5*(1/365))</f>
        <v>0.986570884129625</v>
      </c>
    </row>
    <row r="408" spans="1:4">
      <c r="A408" s="4">
        <v>405</v>
      </c>
      <c r="B408" s="6">
        <f t="shared" si="6"/>
        <v>1.10958904109589</v>
      </c>
      <c r="C408" s="8">
        <f>'1_Inputs'!$H$5</f>
        <v>0.021114750451147</v>
      </c>
      <c r="D408" s="6">
        <f>D407*EXP(-'1_Inputs'!$H$5*(1/365))</f>
        <v>0.986513814004956</v>
      </c>
    </row>
    <row r="409" spans="1:4">
      <c r="A409" s="10">
        <v>406</v>
      </c>
      <c r="B409" s="12">
        <f t="shared" si="6"/>
        <v>1.11232876712329</v>
      </c>
      <c r="C409" s="14">
        <f>'1_Inputs'!$H$5</f>
        <v>0.021114750451147</v>
      </c>
      <c r="D409" s="12">
        <f>D408*EXP(-'1_Inputs'!$H$5*(1/365))</f>
        <v>0.98645674718162</v>
      </c>
    </row>
    <row r="410" spans="1:4">
      <c r="A410" s="4">
        <v>407</v>
      </c>
      <c r="B410" s="6">
        <f t="shared" si="6"/>
        <v>1.11506849315068</v>
      </c>
      <c r="C410" s="8">
        <f>'1_Inputs'!$H$5</f>
        <v>0.021114750451147</v>
      </c>
      <c r="D410" s="6">
        <f>D409*EXP(-'1_Inputs'!$H$5*(1/365))</f>
        <v>0.986399683659426</v>
      </c>
    </row>
    <row r="411" spans="1:4">
      <c r="A411" s="10">
        <v>408</v>
      </c>
      <c r="B411" s="12">
        <f t="shared" si="6"/>
        <v>1.11780821917808</v>
      </c>
      <c r="C411" s="14">
        <f>'1_Inputs'!$H$5</f>
        <v>0.021114750451147</v>
      </c>
      <c r="D411" s="12">
        <f>D410*EXP(-'1_Inputs'!$H$5*(1/365))</f>
        <v>0.986342623438183</v>
      </c>
    </row>
    <row r="412" spans="1:4">
      <c r="A412" s="4">
        <v>409</v>
      </c>
      <c r="B412" s="6">
        <f t="shared" si="6"/>
        <v>1.12054794520548</v>
      </c>
      <c r="C412" s="8">
        <f>'1_Inputs'!$H$5</f>
        <v>0.021114750451147</v>
      </c>
      <c r="D412" s="6">
        <f>D411*EXP(-'1_Inputs'!$H$5*(1/365))</f>
        <v>0.9862855665177</v>
      </c>
    </row>
    <row r="413" spans="1:4">
      <c r="A413" s="10">
        <v>410</v>
      </c>
      <c r="B413" s="12">
        <f t="shared" si="6"/>
        <v>1.12328767123288</v>
      </c>
      <c r="C413" s="14">
        <f>'1_Inputs'!$H$5</f>
        <v>0.021114750451147</v>
      </c>
      <c r="D413" s="12">
        <f>D412*EXP(-'1_Inputs'!$H$5*(1/365))</f>
        <v>0.986228512897787</v>
      </c>
    </row>
    <row r="414" spans="1:4">
      <c r="A414" s="4">
        <v>411</v>
      </c>
      <c r="B414" s="6">
        <f t="shared" si="6"/>
        <v>1.12602739726027</v>
      </c>
      <c r="C414" s="8">
        <f>'1_Inputs'!$H$5</f>
        <v>0.021114750451147</v>
      </c>
      <c r="D414" s="6">
        <f>D413*EXP(-'1_Inputs'!$H$5*(1/365))</f>
        <v>0.986171462578252</v>
      </c>
    </row>
    <row r="415" spans="1:4">
      <c r="A415" s="10">
        <v>412</v>
      </c>
      <c r="B415" s="12">
        <f t="shared" si="6"/>
        <v>1.12876712328767</v>
      </c>
      <c r="C415" s="14">
        <f>'1_Inputs'!$H$5</f>
        <v>0.021114750451147</v>
      </c>
      <c r="D415" s="12">
        <f>D414*EXP(-'1_Inputs'!$H$5*(1/365))</f>
        <v>0.986114415558905</v>
      </c>
    </row>
    <row r="416" spans="1:4">
      <c r="A416" s="4">
        <v>413</v>
      </c>
      <c r="B416" s="6">
        <f t="shared" si="6"/>
        <v>1.13150684931507</v>
      </c>
      <c r="C416" s="8">
        <f>'1_Inputs'!$H$5</f>
        <v>0.021114750451147</v>
      </c>
      <c r="D416" s="6">
        <f>D415*EXP(-'1_Inputs'!$H$5*(1/365))</f>
        <v>0.986057371839554</v>
      </c>
    </row>
    <row r="417" spans="1:4">
      <c r="A417" s="10">
        <v>414</v>
      </c>
      <c r="B417" s="12">
        <f t="shared" si="6"/>
        <v>1.13424657534247</v>
      </c>
      <c r="C417" s="14">
        <f>'1_Inputs'!$H$5</f>
        <v>0.021114750451147</v>
      </c>
      <c r="D417" s="12">
        <f>D416*EXP(-'1_Inputs'!$H$5*(1/365))</f>
        <v>0.986000331420009</v>
      </c>
    </row>
    <row r="418" spans="1:4">
      <c r="A418" s="4">
        <v>415</v>
      </c>
      <c r="B418" s="6">
        <f t="shared" si="6"/>
        <v>1.13698630136986</v>
      </c>
      <c r="C418" s="8">
        <f>'1_Inputs'!$H$5</f>
        <v>0.021114750451147</v>
      </c>
      <c r="D418" s="6">
        <f>D417*EXP(-'1_Inputs'!$H$5*(1/365))</f>
        <v>0.985943294300078</v>
      </c>
    </row>
    <row r="419" spans="1:4">
      <c r="A419" s="10">
        <v>416</v>
      </c>
      <c r="B419" s="12">
        <f t="shared" si="6"/>
        <v>1.13972602739726</v>
      </c>
      <c r="C419" s="14">
        <f>'1_Inputs'!$H$5</f>
        <v>0.021114750451147</v>
      </c>
      <c r="D419" s="12">
        <f>D418*EXP(-'1_Inputs'!$H$5*(1/365))</f>
        <v>0.985886260479572</v>
      </c>
    </row>
    <row r="420" spans="1:4">
      <c r="A420" s="4">
        <v>417</v>
      </c>
      <c r="B420" s="6">
        <f t="shared" si="6"/>
        <v>1.14246575342466</v>
      </c>
      <c r="C420" s="8">
        <f>'1_Inputs'!$H$5</f>
        <v>0.021114750451147</v>
      </c>
      <c r="D420" s="6">
        <f>D419*EXP(-'1_Inputs'!$H$5*(1/365))</f>
        <v>0.985829229958298</v>
      </c>
    </row>
    <row r="421" spans="1:4">
      <c r="A421" s="10">
        <v>418</v>
      </c>
      <c r="B421" s="12">
        <f t="shared" si="6"/>
        <v>1.14520547945205</v>
      </c>
      <c r="C421" s="14">
        <f>'1_Inputs'!$H$5</f>
        <v>0.021114750451147</v>
      </c>
      <c r="D421" s="12">
        <f>D420*EXP(-'1_Inputs'!$H$5*(1/365))</f>
        <v>0.985772202736067</v>
      </c>
    </row>
    <row r="422" spans="1:4">
      <c r="A422" s="4">
        <v>419</v>
      </c>
      <c r="B422" s="6">
        <f t="shared" si="6"/>
        <v>1.14794520547945</v>
      </c>
      <c r="C422" s="8">
        <f>'1_Inputs'!$H$5</f>
        <v>0.021114750451147</v>
      </c>
      <c r="D422" s="6">
        <f>D421*EXP(-'1_Inputs'!$H$5*(1/365))</f>
        <v>0.985715178812687</v>
      </c>
    </row>
    <row r="423" spans="1:4">
      <c r="A423" s="10">
        <v>420</v>
      </c>
      <c r="B423" s="12">
        <f t="shared" si="6"/>
        <v>1.15068493150685</v>
      </c>
      <c r="C423" s="14">
        <f>'1_Inputs'!$H$5</f>
        <v>0.021114750451147</v>
      </c>
      <c r="D423" s="12">
        <f>D422*EXP(-'1_Inputs'!$H$5*(1/365))</f>
        <v>0.985658158187968</v>
      </c>
    </row>
    <row r="424" spans="1:4">
      <c r="A424" s="4">
        <v>421</v>
      </c>
      <c r="B424" s="6">
        <f t="shared" si="6"/>
        <v>1.15342465753425</v>
      </c>
      <c r="C424" s="8">
        <f>'1_Inputs'!$H$5</f>
        <v>0.021114750451147</v>
      </c>
      <c r="D424" s="6">
        <f>D423*EXP(-'1_Inputs'!$H$5*(1/365))</f>
        <v>0.985601140861718</v>
      </c>
    </row>
    <row r="425" spans="1:4">
      <c r="A425" s="10">
        <v>422</v>
      </c>
      <c r="B425" s="12">
        <f t="shared" si="6"/>
        <v>1.15616438356164</v>
      </c>
      <c r="C425" s="14">
        <f>'1_Inputs'!$H$5</f>
        <v>0.021114750451147</v>
      </c>
      <c r="D425" s="12">
        <f>D424*EXP(-'1_Inputs'!$H$5*(1/365))</f>
        <v>0.985544126833747</v>
      </c>
    </row>
    <row r="426" spans="1:4">
      <c r="A426" s="4">
        <v>423</v>
      </c>
      <c r="B426" s="6">
        <f t="shared" si="6"/>
        <v>1.15890410958904</v>
      </c>
      <c r="C426" s="8">
        <f>'1_Inputs'!$H$5</f>
        <v>0.021114750451147</v>
      </c>
      <c r="D426" s="6">
        <f>D425*EXP(-'1_Inputs'!$H$5*(1/365))</f>
        <v>0.985487116103864</v>
      </c>
    </row>
    <row r="427" spans="1:4">
      <c r="A427" s="10">
        <v>424</v>
      </c>
      <c r="B427" s="12">
        <f t="shared" si="6"/>
        <v>1.16164383561644</v>
      </c>
      <c r="C427" s="14">
        <f>'1_Inputs'!$H$5</f>
        <v>0.021114750451147</v>
      </c>
      <c r="D427" s="12">
        <f>D426*EXP(-'1_Inputs'!$H$5*(1/365))</f>
        <v>0.985430108671878</v>
      </c>
    </row>
    <row r="428" spans="1:4">
      <c r="A428" s="4">
        <v>425</v>
      </c>
      <c r="B428" s="6">
        <f t="shared" si="6"/>
        <v>1.16438356164384</v>
      </c>
      <c r="C428" s="8">
        <f>'1_Inputs'!$H$5</f>
        <v>0.021114750451147</v>
      </c>
      <c r="D428" s="6">
        <f>D427*EXP(-'1_Inputs'!$H$5*(1/365))</f>
        <v>0.985373104537599</v>
      </c>
    </row>
    <row r="429" spans="1:4">
      <c r="A429" s="10">
        <v>426</v>
      </c>
      <c r="B429" s="12">
        <f t="shared" si="6"/>
        <v>1.16712328767123</v>
      </c>
      <c r="C429" s="14">
        <f>'1_Inputs'!$H$5</f>
        <v>0.021114750451147</v>
      </c>
      <c r="D429" s="12">
        <f>D428*EXP(-'1_Inputs'!$H$5*(1/365))</f>
        <v>0.985316103700836</v>
      </c>
    </row>
    <row r="430" spans="1:4">
      <c r="A430" s="4">
        <v>427</v>
      </c>
      <c r="B430" s="6">
        <f t="shared" si="6"/>
        <v>1.16986301369863</v>
      </c>
      <c r="C430" s="8">
        <f>'1_Inputs'!$H$5</f>
        <v>0.021114750451147</v>
      </c>
      <c r="D430" s="6">
        <f>D429*EXP(-'1_Inputs'!$H$5*(1/365))</f>
        <v>0.985259106161398</v>
      </c>
    </row>
    <row r="431" spans="1:4">
      <c r="A431" s="10">
        <v>428</v>
      </c>
      <c r="B431" s="12">
        <f t="shared" si="6"/>
        <v>1.17260273972603</v>
      </c>
      <c r="C431" s="14">
        <f>'1_Inputs'!$H$5</f>
        <v>0.021114750451147</v>
      </c>
      <c r="D431" s="12">
        <f>D430*EXP(-'1_Inputs'!$H$5*(1/365))</f>
        <v>0.985202111919094</v>
      </c>
    </row>
    <row r="432" spans="1:4">
      <c r="A432" s="4">
        <v>429</v>
      </c>
      <c r="B432" s="6">
        <f t="shared" si="6"/>
        <v>1.17534246575342</v>
      </c>
      <c r="C432" s="8">
        <f>'1_Inputs'!$H$5</f>
        <v>0.021114750451147</v>
      </c>
      <c r="D432" s="6">
        <f>D431*EXP(-'1_Inputs'!$H$5*(1/365))</f>
        <v>0.985145120973734</v>
      </c>
    </row>
    <row r="433" spans="1:4">
      <c r="A433" s="10">
        <v>430</v>
      </c>
      <c r="B433" s="12">
        <f t="shared" si="6"/>
        <v>1.17808219178082</v>
      </c>
      <c r="C433" s="14">
        <f>'1_Inputs'!$H$5</f>
        <v>0.021114750451147</v>
      </c>
      <c r="D433" s="12">
        <f>D432*EXP(-'1_Inputs'!$H$5*(1/365))</f>
        <v>0.985088133325126</v>
      </c>
    </row>
    <row r="434" spans="1:4">
      <c r="A434" s="4">
        <v>431</v>
      </c>
      <c r="B434" s="6">
        <f t="shared" si="6"/>
        <v>1.18082191780822</v>
      </c>
      <c r="C434" s="8">
        <f>'1_Inputs'!$H$5</f>
        <v>0.021114750451147</v>
      </c>
      <c r="D434" s="6">
        <f>D433*EXP(-'1_Inputs'!$H$5*(1/365))</f>
        <v>0.985031148973081</v>
      </c>
    </row>
    <row r="435" spans="1:4">
      <c r="A435" s="10">
        <v>432</v>
      </c>
      <c r="B435" s="12">
        <f t="shared" si="6"/>
        <v>1.18356164383562</v>
      </c>
      <c r="C435" s="14">
        <f>'1_Inputs'!$H$5</f>
        <v>0.021114750451147</v>
      </c>
      <c r="D435" s="12">
        <f>D434*EXP(-'1_Inputs'!$H$5*(1/365))</f>
        <v>0.984974167917407</v>
      </c>
    </row>
    <row r="436" spans="1:4">
      <c r="A436" s="4">
        <v>433</v>
      </c>
      <c r="B436" s="6">
        <f t="shared" si="6"/>
        <v>1.18630136986301</v>
      </c>
      <c r="C436" s="8">
        <f>'1_Inputs'!$H$5</f>
        <v>0.021114750451147</v>
      </c>
      <c r="D436" s="6">
        <f>D435*EXP(-'1_Inputs'!$H$5*(1/365))</f>
        <v>0.984917190157914</v>
      </c>
    </row>
    <row r="437" spans="1:4">
      <c r="A437" s="10">
        <v>434</v>
      </c>
      <c r="B437" s="12">
        <f t="shared" si="6"/>
        <v>1.18904109589041</v>
      </c>
      <c r="C437" s="14">
        <f>'1_Inputs'!$H$5</f>
        <v>0.021114750451147</v>
      </c>
      <c r="D437" s="12">
        <f>D436*EXP(-'1_Inputs'!$H$5*(1/365))</f>
        <v>0.984860215694411</v>
      </c>
    </row>
    <row r="438" spans="1:4">
      <c r="A438" s="4">
        <v>435</v>
      </c>
      <c r="B438" s="6">
        <f t="shared" si="6"/>
        <v>1.19178082191781</v>
      </c>
      <c r="C438" s="8">
        <f>'1_Inputs'!$H$5</f>
        <v>0.021114750451147</v>
      </c>
      <c r="D438" s="6">
        <f>D437*EXP(-'1_Inputs'!$H$5*(1/365))</f>
        <v>0.984803244526707</v>
      </c>
    </row>
    <row r="439" spans="1:4">
      <c r="A439" s="10">
        <v>436</v>
      </c>
      <c r="B439" s="12">
        <f t="shared" si="6"/>
        <v>1.19452054794521</v>
      </c>
      <c r="C439" s="14">
        <f>'1_Inputs'!$H$5</f>
        <v>0.021114750451147</v>
      </c>
      <c r="D439" s="12">
        <f>D438*EXP(-'1_Inputs'!$H$5*(1/365))</f>
        <v>0.984746276654612</v>
      </c>
    </row>
    <row r="440" spans="1:4">
      <c r="A440" s="4">
        <v>437</v>
      </c>
      <c r="B440" s="6">
        <f t="shared" si="6"/>
        <v>1.1972602739726</v>
      </c>
      <c r="C440" s="8">
        <f>'1_Inputs'!$H$5</f>
        <v>0.021114750451147</v>
      </c>
      <c r="D440" s="6">
        <f>D439*EXP(-'1_Inputs'!$H$5*(1/365))</f>
        <v>0.984689312077935</v>
      </c>
    </row>
    <row r="441" spans="1:4">
      <c r="A441" s="10">
        <v>438</v>
      </c>
      <c r="B441" s="12">
        <f t="shared" si="6"/>
        <v>1.2</v>
      </c>
      <c r="C441" s="14">
        <f>'1_Inputs'!$H$5</f>
        <v>0.021114750451147</v>
      </c>
      <c r="D441" s="12">
        <f>D440*EXP(-'1_Inputs'!$H$5*(1/365))</f>
        <v>0.984632350796485</v>
      </c>
    </row>
    <row r="442" spans="1:4">
      <c r="A442" s="4">
        <v>439</v>
      </c>
      <c r="B442" s="6">
        <f t="shared" si="6"/>
        <v>1.2027397260274</v>
      </c>
      <c r="C442" s="8">
        <f>'1_Inputs'!$H$5</f>
        <v>0.021114750451147</v>
      </c>
      <c r="D442" s="6">
        <f>D441*EXP(-'1_Inputs'!$H$5*(1/365))</f>
        <v>0.984575392810073</v>
      </c>
    </row>
    <row r="443" spans="1:4">
      <c r="A443" s="10">
        <v>440</v>
      </c>
      <c r="B443" s="12">
        <f t="shared" si="6"/>
        <v>1.20547945205479</v>
      </c>
      <c r="C443" s="14">
        <f>'1_Inputs'!$H$5</f>
        <v>0.021114750451147</v>
      </c>
      <c r="D443" s="12">
        <f>D442*EXP(-'1_Inputs'!$H$5*(1/365))</f>
        <v>0.984518438118507</v>
      </c>
    </row>
    <row r="444" spans="1:4">
      <c r="A444" s="4">
        <v>441</v>
      </c>
      <c r="B444" s="6">
        <f t="shared" si="6"/>
        <v>1.20821917808219</v>
      </c>
      <c r="C444" s="8">
        <f>'1_Inputs'!$H$5</f>
        <v>0.021114750451147</v>
      </c>
      <c r="D444" s="6">
        <f>D443*EXP(-'1_Inputs'!$H$5*(1/365))</f>
        <v>0.984461486721596</v>
      </c>
    </row>
    <row r="445" spans="1:4">
      <c r="A445" s="10">
        <v>442</v>
      </c>
      <c r="B445" s="12">
        <f t="shared" si="6"/>
        <v>1.21095890410959</v>
      </c>
      <c r="C445" s="14">
        <f>'1_Inputs'!$H$5</f>
        <v>0.021114750451147</v>
      </c>
      <c r="D445" s="12">
        <f>D444*EXP(-'1_Inputs'!$H$5*(1/365))</f>
        <v>0.98440453861915</v>
      </c>
    </row>
    <row r="446" spans="1:4">
      <c r="A446" s="4">
        <v>443</v>
      </c>
      <c r="B446" s="6">
        <f t="shared" si="6"/>
        <v>1.21369863013699</v>
      </c>
      <c r="C446" s="8">
        <f>'1_Inputs'!$H$5</f>
        <v>0.021114750451147</v>
      </c>
      <c r="D446" s="6">
        <f>D445*EXP(-'1_Inputs'!$H$5*(1/365))</f>
        <v>0.984347593810979</v>
      </c>
    </row>
    <row r="447" spans="1:4">
      <c r="A447" s="10">
        <v>444</v>
      </c>
      <c r="B447" s="12">
        <f t="shared" si="6"/>
        <v>1.21643835616438</v>
      </c>
      <c r="C447" s="14">
        <f>'1_Inputs'!$H$5</f>
        <v>0.021114750451147</v>
      </c>
      <c r="D447" s="12">
        <f>D446*EXP(-'1_Inputs'!$H$5*(1/365))</f>
        <v>0.984290652296892</v>
      </c>
    </row>
    <row r="448" spans="1:4">
      <c r="A448" s="4">
        <v>445</v>
      </c>
      <c r="B448" s="6">
        <f t="shared" si="6"/>
        <v>1.21917808219178</v>
      </c>
      <c r="C448" s="8">
        <f>'1_Inputs'!$H$5</f>
        <v>0.021114750451147</v>
      </c>
      <c r="D448" s="6">
        <f>D447*EXP(-'1_Inputs'!$H$5*(1/365))</f>
        <v>0.984233714076699</v>
      </c>
    </row>
    <row r="449" spans="1:5">
      <c r="A449" s="10">
        <v>446</v>
      </c>
      <c r="B449" s="12">
        <f t="shared" si="6"/>
        <v>1.22191780821918</v>
      </c>
      <c r="C449" s="14">
        <f>'1_Inputs'!$H$5</f>
        <v>0.021114750451147</v>
      </c>
      <c r="D449" s="12">
        <f>D448*EXP(-'1_Inputs'!$H$5*(1/365))</f>
        <v>0.984176779150208</v>
      </c>
    </row>
    <row r="450" spans="1:5">
      <c r="A450" s="4">
        <v>447</v>
      </c>
      <c r="B450" s="6">
        <f t="shared" si="6"/>
        <v>1.22465753424658</v>
      </c>
      <c r="C450" s="8">
        <f>'1_Inputs'!$H$5</f>
        <v>0.021114750451147</v>
      </c>
      <c r="D450" s="6">
        <f>D449*EXP(-'1_Inputs'!$H$5*(1/365))</f>
        <v>0.984119847517229</v>
      </c>
    </row>
    <row r="451" spans="1:5">
      <c r="A451" s="10">
        <v>448</v>
      </c>
      <c r="B451" s="12">
        <f t="shared" ref="B451:B514" si="7">A451/365</f>
        <v>1.22739726027397</v>
      </c>
      <c r="C451" s="14">
        <f>'1_Inputs'!$H$5</f>
        <v>0.021114750451147</v>
      </c>
      <c r="D451" s="12">
        <f>D450*EXP(-'1_Inputs'!$H$5*(1/365))</f>
        <v>0.984062919177572</v>
      </c>
    </row>
    <row r="452" spans="1:5">
      <c r="A452" s="4">
        <v>449</v>
      </c>
      <c r="B452" s="6">
        <f t="shared" si="7"/>
        <v>1.23013698630137</v>
      </c>
      <c r="C452" s="8">
        <f>'1_Inputs'!$H$5</f>
        <v>0.021114750451147</v>
      </c>
      <c r="D452" s="6">
        <f>D451*EXP(-'1_Inputs'!$H$5*(1/365))</f>
        <v>0.984005994131047</v>
      </c>
    </row>
    <row r="453" spans="1:5">
      <c r="A453" s="10">
        <v>450</v>
      </c>
      <c r="B453" s="12">
        <f t="shared" si="7"/>
        <v>1.23287671232877</v>
      </c>
      <c r="C453" s="14">
        <f>'1_Inputs'!$H$5</f>
        <v>0.021114750451147</v>
      </c>
      <c r="D453" s="12">
        <f>D452*EXP(-'1_Inputs'!$H$5*(1/365))</f>
        <v>0.983949072377462</v>
      </c>
    </row>
    <row r="454" spans="1:5">
      <c r="A454" s="4">
        <v>451</v>
      </c>
      <c r="B454" s="6">
        <f t="shared" si="7"/>
        <v>1.23561643835616</v>
      </c>
      <c r="C454" s="8">
        <f>'1_Inputs'!$H$5</f>
        <v>0.021114750451147</v>
      </c>
      <c r="D454" s="6">
        <f>D453*EXP(-'1_Inputs'!$H$5*(1/365))</f>
        <v>0.983892153916628</v>
      </c>
    </row>
    <row r="455" spans="1:5">
      <c r="A455" s="10">
        <v>452</v>
      </c>
      <c r="B455" s="12">
        <f t="shared" si="7"/>
        <v>1.23835616438356</v>
      </c>
      <c r="C455" s="14">
        <f>'1_Inputs'!$H$5</f>
        <v>0.021114750451147</v>
      </c>
      <c r="D455" s="12">
        <f>D454*EXP(-'1_Inputs'!$H$5*(1/365))</f>
        <v>0.983835238748353</v>
      </c>
    </row>
    <row r="456" spans="1:5">
      <c r="A456" s="4">
        <v>453</v>
      </c>
      <c r="B456" s="6">
        <f t="shared" si="7"/>
        <v>1.24109589041096</v>
      </c>
      <c r="C456" s="8">
        <f>'1_Inputs'!$H$5</f>
        <v>0.021114750451147</v>
      </c>
      <c r="D456" s="6">
        <f>D455*EXP(-'1_Inputs'!$H$5*(1/365))</f>
        <v>0.983778326872448</v>
      </c>
    </row>
    <row r="457" spans="1:5">
      <c r="A457" s="10">
        <v>454</v>
      </c>
      <c r="B457" s="12">
        <f t="shared" si="7"/>
        <v>1.24383561643836</v>
      </c>
      <c r="C457" s="14">
        <f>'1_Inputs'!$H$5</f>
        <v>0.021114750451147</v>
      </c>
      <c r="D457" s="12">
        <f>D456*EXP(-'1_Inputs'!$H$5*(1/365))</f>
        <v>0.983721418288722</v>
      </c>
    </row>
    <row r="458" spans="1:5">
      <c r="A458" s="4">
        <v>455</v>
      </c>
      <c r="B458" s="6">
        <f t="shared" si="7"/>
        <v>1.24657534246575</v>
      </c>
      <c r="C458" s="8">
        <f>'1_Inputs'!$H$5</f>
        <v>0.021114750451147</v>
      </c>
      <c r="D458" s="6">
        <f>D457*EXP(-'1_Inputs'!$H$5*(1/365))</f>
        <v>0.983664512996984</v>
      </c>
    </row>
    <row r="459" spans="1:5">
      <c r="A459" s="10">
        <v>456</v>
      </c>
      <c r="B459" s="12">
        <f t="shared" si="7"/>
        <v>1.24931506849315</v>
      </c>
      <c r="C459" s="14">
        <f>'1_Inputs'!$H$5</f>
        <v>0.021114750451147</v>
      </c>
      <c r="D459" s="12">
        <f>D458*EXP(-'1_Inputs'!$H$5*(1/365))</f>
        <v>0.983607610997044</v>
      </c>
      <c r="E459" s="43" t="s">
        <v>59</v>
      </c>
    </row>
    <row r="460" spans="1:5">
      <c r="A460" s="4">
        <v>457</v>
      </c>
      <c r="B460" s="6">
        <f t="shared" si="7"/>
        <v>1.25205479452055</v>
      </c>
      <c r="C460" s="8">
        <f>'1_Inputs'!$H$5</f>
        <v>0.021114750451147</v>
      </c>
      <c r="D460" s="6">
        <f>D459*EXP(-'1_Inputs'!$H$5*(1/365))</f>
        <v>0.983550712288712</v>
      </c>
    </row>
    <row r="461" spans="1:5">
      <c r="A461" s="10">
        <v>458</v>
      </c>
      <c r="B461" s="12">
        <f t="shared" si="7"/>
        <v>1.25479452054795</v>
      </c>
      <c r="C461" s="14">
        <f>'1_Inputs'!$H$5</f>
        <v>0.021114750451147</v>
      </c>
      <c r="D461" s="12">
        <f>D460*EXP(-'1_Inputs'!$H$5*(1/365))</f>
        <v>0.983493816871797</v>
      </c>
    </row>
    <row r="462" spans="1:5">
      <c r="A462" s="4">
        <v>459</v>
      </c>
      <c r="B462" s="6">
        <f t="shared" si="7"/>
        <v>1.25753424657534</v>
      </c>
      <c r="C462" s="8">
        <f>'1_Inputs'!$H$5</f>
        <v>0.021114750451147</v>
      </c>
      <c r="D462" s="6">
        <f>D461*EXP(-'1_Inputs'!$H$5*(1/365))</f>
        <v>0.983436924746108</v>
      </c>
    </row>
    <row r="463" spans="1:5">
      <c r="A463" s="10">
        <v>460</v>
      </c>
      <c r="B463" s="12">
        <f t="shared" si="7"/>
        <v>1.26027397260274</v>
      </c>
      <c r="C463" s="14">
        <f>'1_Inputs'!$H$5</f>
        <v>0.021114750451147</v>
      </c>
      <c r="D463" s="12">
        <f>D462*EXP(-'1_Inputs'!$H$5*(1/365))</f>
        <v>0.983380035911457</v>
      </c>
    </row>
    <row r="464" spans="1:5">
      <c r="A464" s="4">
        <v>461</v>
      </c>
      <c r="B464" s="6">
        <f t="shared" si="7"/>
        <v>1.26301369863014</v>
      </c>
      <c r="C464" s="8">
        <f>'1_Inputs'!$H$5</f>
        <v>0.021114750451147</v>
      </c>
      <c r="D464" s="6">
        <f>D463*EXP(-'1_Inputs'!$H$5*(1/365))</f>
        <v>0.983323150367651</v>
      </c>
    </row>
    <row r="465" spans="1:4">
      <c r="A465" s="10">
        <v>462</v>
      </c>
      <c r="B465" s="12">
        <f t="shared" si="7"/>
        <v>1.26575342465753</v>
      </c>
      <c r="C465" s="14">
        <f>'1_Inputs'!$H$5</f>
        <v>0.021114750451147</v>
      </c>
      <c r="D465" s="12">
        <f>D464*EXP(-'1_Inputs'!$H$5*(1/365))</f>
        <v>0.983266268114501</v>
      </c>
    </row>
    <row r="466" spans="1:4">
      <c r="A466" s="4">
        <v>463</v>
      </c>
      <c r="B466" s="6">
        <f t="shared" si="7"/>
        <v>1.26849315068493</v>
      </c>
      <c r="C466" s="8">
        <f>'1_Inputs'!$H$5</f>
        <v>0.021114750451147</v>
      </c>
      <c r="D466" s="6">
        <f>D465*EXP(-'1_Inputs'!$H$5*(1/365))</f>
        <v>0.983209389151816</v>
      </c>
    </row>
    <row r="467" spans="1:4">
      <c r="A467" s="10">
        <v>464</v>
      </c>
      <c r="B467" s="12">
        <f t="shared" si="7"/>
        <v>1.27123287671233</v>
      </c>
      <c r="C467" s="14">
        <f>'1_Inputs'!$H$5</f>
        <v>0.021114750451147</v>
      </c>
      <c r="D467" s="12">
        <f>D466*EXP(-'1_Inputs'!$H$5*(1/365))</f>
        <v>0.983152513479406</v>
      </c>
    </row>
    <row r="468" spans="1:4">
      <c r="A468" s="4">
        <v>465</v>
      </c>
      <c r="B468" s="6">
        <f t="shared" si="7"/>
        <v>1.27397260273973</v>
      </c>
      <c r="C468" s="8">
        <f>'1_Inputs'!$H$5</f>
        <v>0.021114750451147</v>
      </c>
      <c r="D468" s="6">
        <f>D467*EXP(-'1_Inputs'!$H$5*(1/365))</f>
        <v>0.983095641097081</v>
      </c>
    </row>
    <row r="469" spans="1:4">
      <c r="A469" s="10">
        <v>466</v>
      </c>
      <c r="B469" s="12">
        <f t="shared" si="7"/>
        <v>1.27671232876712</v>
      </c>
      <c r="C469" s="14">
        <f>'1_Inputs'!$H$5</f>
        <v>0.021114750451147</v>
      </c>
      <c r="D469" s="12">
        <f>D468*EXP(-'1_Inputs'!$H$5*(1/365))</f>
        <v>0.98303877200465</v>
      </c>
    </row>
    <row r="470" spans="1:4">
      <c r="A470" s="4">
        <v>467</v>
      </c>
      <c r="B470" s="6">
        <f t="shared" si="7"/>
        <v>1.27945205479452</v>
      </c>
      <c r="C470" s="8">
        <f>'1_Inputs'!$H$5</f>
        <v>0.021114750451147</v>
      </c>
      <c r="D470" s="6">
        <f>D469*EXP(-'1_Inputs'!$H$5*(1/365))</f>
        <v>0.982981906201923</v>
      </c>
    </row>
    <row r="471" spans="1:4">
      <c r="A471" s="10">
        <v>468</v>
      </c>
      <c r="B471" s="12">
        <f t="shared" si="7"/>
        <v>1.28219178082192</v>
      </c>
      <c r="C471" s="14">
        <f>'1_Inputs'!$H$5</f>
        <v>0.021114750451147</v>
      </c>
      <c r="D471" s="12">
        <f>D470*EXP(-'1_Inputs'!$H$5*(1/365))</f>
        <v>0.98292504368871</v>
      </c>
    </row>
    <row r="472" spans="1:4">
      <c r="A472" s="4">
        <v>469</v>
      </c>
      <c r="B472" s="6">
        <f t="shared" si="7"/>
        <v>1.28493150684932</v>
      </c>
      <c r="C472" s="8">
        <f>'1_Inputs'!$H$5</f>
        <v>0.021114750451147</v>
      </c>
      <c r="D472" s="6">
        <f>D471*EXP(-'1_Inputs'!$H$5*(1/365))</f>
        <v>0.982868184464821</v>
      </c>
    </row>
    <row r="473" spans="1:4">
      <c r="A473" s="10">
        <v>470</v>
      </c>
      <c r="B473" s="12">
        <f t="shared" si="7"/>
        <v>1.28767123287671</v>
      </c>
      <c r="C473" s="14">
        <f>'1_Inputs'!$H$5</f>
        <v>0.021114750451147</v>
      </c>
      <c r="D473" s="12">
        <f>D472*EXP(-'1_Inputs'!$H$5*(1/365))</f>
        <v>0.982811328530064</v>
      </c>
    </row>
    <row r="474" spans="1:4">
      <c r="A474" s="4">
        <v>471</v>
      </c>
      <c r="B474" s="6">
        <f t="shared" si="7"/>
        <v>1.29041095890411</v>
      </c>
      <c r="C474" s="8">
        <f>'1_Inputs'!$H$5</f>
        <v>0.021114750451147</v>
      </c>
      <c r="D474" s="6">
        <f>D473*EXP(-'1_Inputs'!$H$5*(1/365))</f>
        <v>0.98275447588425</v>
      </c>
    </row>
    <row r="475" spans="1:4">
      <c r="A475" s="10">
        <v>472</v>
      </c>
      <c r="B475" s="12">
        <f t="shared" si="7"/>
        <v>1.29315068493151</v>
      </c>
      <c r="C475" s="14">
        <f>'1_Inputs'!$H$5</f>
        <v>0.021114750451147</v>
      </c>
      <c r="D475" s="12">
        <f>D474*EXP(-'1_Inputs'!$H$5*(1/365))</f>
        <v>0.982697626527189</v>
      </c>
    </row>
    <row r="476" spans="1:4">
      <c r="A476" s="4">
        <v>473</v>
      </c>
      <c r="B476" s="6">
        <f t="shared" si="7"/>
        <v>1.2958904109589</v>
      </c>
      <c r="C476" s="8">
        <f>'1_Inputs'!$H$5</f>
        <v>0.021114750451147</v>
      </c>
      <c r="D476" s="6">
        <f>D475*EXP(-'1_Inputs'!$H$5*(1/365))</f>
        <v>0.982640780458691</v>
      </c>
    </row>
    <row r="477" spans="1:4">
      <c r="A477" s="10">
        <v>474</v>
      </c>
      <c r="B477" s="12">
        <f t="shared" si="7"/>
        <v>1.2986301369863</v>
      </c>
      <c r="C477" s="14">
        <f>'1_Inputs'!$H$5</f>
        <v>0.021114750451147</v>
      </c>
      <c r="D477" s="12">
        <f>D476*EXP(-'1_Inputs'!$H$5*(1/365))</f>
        <v>0.982583937678564</v>
      </c>
    </row>
    <row r="478" spans="1:4">
      <c r="A478" s="4">
        <v>475</v>
      </c>
      <c r="B478" s="6">
        <f t="shared" si="7"/>
        <v>1.3013698630137</v>
      </c>
      <c r="C478" s="8">
        <f>'1_Inputs'!$H$5</f>
        <v>0.021114750451147</v>
      </c>
      <c r="D478" s="6">
        <f>D477*EXP(-'1_Inputs'!$H$5*(1/365))</f>
        <v>0.98252709818662</v>
      </c>
    </row>
    <row r="479" spans="1:4">
      <c r="A479" s="10">
        <v>476</v>
      </c>
      <c r="B479" s="12">
        <f t="shared" si="7"/>
        <v>1.3041095890411</v>
      </c>
      <c r="C479" s="14">
        <f>'1_Inputs'!$H$5</f>
        <v>0.021114750451147</v>
      </c>
      <c r="D479" s="12">
        <f>D478*EXP(-'1_Inputs'!$H$5*(1/365))</f>
        <v>0.982470261982667</v>
      </c>
    </row>
    <row r="480" spans="1:4">
      <c r="A480" s="4">
        <v>477</v>
      </c>
      <c r="B480" s="6">
        <f t="shared" si="7"/>
        <v>1.30684931506849</v>
      </c>
      <c r="C480" s="8">
        <f>'1_Inputs'!$H$5</f>
        <v>0.021114750451147</v>
      </c>
      <c r="D480" s="6">
        <f>D479*EXP(-'1_Inputs'!$H$5*(1/365))</f>
        <v>0.982413429066515</v>
      </c>
    </row>
    <row r="481" spans="1:4">
      <c r="A481" s="10">
        <v>478</v>
      </c>
      <c r="B481" s="12">
        <f t="shared" si="7"/>
        <v>1.30958904109589</v>
      </c>
      <c r="C481" s="14">
        <f>'1_Inputs'!$H$5</f>
        <v>0.021114750451147</v>
      </c>
      <c r="D481" s="12">
        <f>D480*EXP(-'1_Inputs'!$H$5*(1/365))</f>
        <v>0.982356599437975</v>
      </c>
    </row>
    <row r="482" spans="1:4">
      <c r="A482" s="4">
        <v>479</v>
      </c>
      <c r="B482" s="6">
        <f t="shared" si="7"/>
        <v>1.31232876712329</v>
      </c>
      <c r="C482" s="8">
        <f>'1_Inputs'!$H$5</f>
        <v>0.021114750451147</v>
      </c>
      <c r="D482" s="6">
        <f>D481*EXP(-'1_Inputs'!$H$5*(1/365))</f>
        <v>0.982299773096856</v>
      </c>
    </row>
    <row r="483" spans="1:4">
      <c r="A483" s="10">
        <v>480</v>
      </c>
      <c r="B483" s="12">
        <f t="shared" si="7"/>
        <v>1.31506849315068</v>
      </c>
      <c r="C483" s="14">
        <f>'1_Inputs'!$H$5</f>
        <v>0.021114750451147</v>
      </c>
      <c r="D483" s="12">
        <f>D482*EXP(-'1_Inputs'!$H$5*(1/365))</f>
        <v>0.982242950042968</v>
      </c>
    </row>
    <row r="484" spans="1:4">
      <c r="A484" s="4">
        <v>481</v>
      </c>
      <c r="B484" s="6">
        <f t="shared" si="7"/>
        <v>1.31780821917808</v>
      </c>
      <c r="C484" s="8">
        <f>'1_Inputs'!$H$5</f>
        <v>0.021114750451147</v>
      </c>
      <c r="D484" s="6">
        <f>D483*EXP(-'1_Inputs'!$H$5*(1/365))</f>
        <v>0.982186130276121</v>
      </c>
    </row>
    <row r="485" spans="1:4">
      <c r="A485" s="10">
        <v>482</v>
      </c>
      <c r="B485" s="12">
        <f t="shared" si="7"/>
        <v>1.32054794520548</v>
      </c>
      <c r="C485" s="14">
        <f>'1_Inputs'!$H$5</f>
        <v>0.021114750451147</v>
      </c>
      <c r="D485" s="12">
        <f>D484*EXP(-'1_Inputs'!$H$5*(1/365))</f>
        <v>0.982129313796125</v>
      </c>
    </row>
    <row r="486" spans="1:4">
      <c r="A486" s="4">
        <v>483</v>
      </c>
      <c r="B486" s="6">
        <f t="shared" si="7"/>
        <v>1.32328767123288</v>
      </c>
      <c r="C486" s="8">
        <f>'1_Inputs'!$H$5</f>
        <v>0.021114750451147</v>
      </c>
      <c r="D486" s="6">
        <f>D485*EXP(-'1_Inputs'!$H$5*(1/365))</f>
        <v>0.982072500602789</v>
      </c>
    </row>
    <row r="487" spans="1:4">
      <c r="A487" s="10">
        <v>484</v>
      </c>
      <c r="B487" s="12">
        <f t="shared" si="7"/>
        <v>1.32602739726027</v>
      </c>
      <c r="C487" s="14">
        <f>'1_Inputs'!$H$5</f>
        <v>0.021114750451147</v>
      </c>
      <c r="D487" s="12">
        <f>D486*EXP(-'1_Inputs'!$H$5*(1/365))</f>
        <v>0.982015690695924</v>
      </c>
    </row>
    <row r="488" spans="1:4">
      <c r="A488" s="4">
        <v>485</v>
      </c>
      <c r="B488" s="6">
        <f t="shared" si="7"/>
        <v>1.32876712328767</v>
      </c>
      <c r="C488" s="8">
        <f>'1_Inputs'!$H$5</f>
        <v>0.021114750451147</v>
      </c>
      <c r="D488" s="6">
        <f>D487*EXP(-'1_Inputs'!$H$5*(1/365))</f>
        <v>0.981958884075338</v>
      </c>
    </row>
    <row r="489" spans="1:4">
      <c r="A489" s="10">
        <v>486</v>
      </c>
      <c r="B489" s="12">
        <f t="shared" si="7"/>
        <v>1.33150684931507</v>
      </c>
      <c r="C489" s="14">
        <f>'1_Inputs'!$H$5</f>
        <v>0.021114750451147</v>
      </c>
      <c r="D489" s="12">
        <f>D488*EXP(-'1_Inputs'!$H$5*(1/365))</f>
        <v>0.981902080740844</v>
      </c>
    </row>
    <row r="490" spans="1:4">
      <c r="A490" s="4">
        <v>487</v>
      </c>
      <c r="B490" s="6">
        <f t="shared" si="7"/>
        <v>1.33424657534247</v>
      </c>
      <c r="C490" s="8">
        <f>'1_Inputs'!$H$5</f>
        <v>0.021114750451147</v>
      </c>
      <c r="D490" s="6">
        <f>D489*EXP(-'1_Inputs'!$H$5*(1/365))</f>
        <v>0.981845280692249</v>
      </c>
    </row>
    <row r="491" spans="1:4">
      <c r="A491" s="10">
        <v>488</v>
      </c>
      <c r="B491" s="12">
        <f t="shared" si="7"/>
        <v>1.33698630136986</v>
      </c>
      <c r="C491" s="14">
        <f>'1_Inputs'!$H$5</f>
        <v>0.021114750451147</v>
      </c>
      <c r="D491" s="12">
        <f>D490*EXP(-'1_Inputs'!$H$5*(1/365))</f>
        <v>0.981788483929364</v>
      </c>
    </row>
    <row r="492" spans="1:4">
      <c r="A492" s="4">
        <v>489</v>
      </c>
      <c r="B492" s="6">
        <f t="shared" si="7"/>
        <v>1.33972602739726</v>
      </c>
      <c r="C492" s="8">
        <f>'1_Inputs'!$H$5</f>
        <v>0.021114750451147</v>
      </c>
      <c r="D492" s="6">
        <f>D491*EXP(-'1_Inputs'!$H$5*(1/365))</f>
        <v>0.981731690451999</v>
      </c>
    </row>
    <row r="493" spans="1:4">
      <c r="A493" s="10">
        <v>490</v>
      </c>
      <c r="B493" s="12">
        <f t="shared" si="7"/>
        <v>1.34246575342466</v>
      </c>
      <c r="C493" s="14">
        <f>'1_Inputs'!$H$5</f>
        <v>0.021114750451147</v>
      </c>
      <c r="D493" s="12">
        <f>D492*EXP(-'1_Inputs'!$H$5*(1/365))</f>
        <v>0.981674900259964</v>
      </c>
    </row>
    <row r="494" spans="1:4">
      <c r="A494" s="4">
        <v>491</v>
      </c>
      <c r="B494" s="6">
        <f t="shared" si="7"/>
        <v>1.34520547945205</v>
      </c>
      <c r="C494" s="8">
        <f>'1_Inputs'!$H$5</f>
        <v>0.021114750451147</v>
      </c>
      <c r="D494" s="6">
        <f>D493*EXP(-'1_Inputs'!$H$5*(1/365))</f>
        <v>0.981618113353069</v>
      </c>
    </row>
    <row r="495" spans="1:4">
      <c r="A495" s="10">
        <v>492</v>
      </c>
      <c r="B495" s="12">
        <f t="shared" si="7"/>
        <v>1.34794520547945</v>
      </c>
      <c r="C495" s="14">
        <f>'1_Inputs'!$H$5</f>
        <v>0.021114750451147</v>
      </c>
      <c r="D495" s="12">
        <f>D494*EXP(-'1_Inputs'!$H$5*(1/365))</f>
        <v>0.981561329731124</v>
      </c>
    </row>
    <row r="496" spans="1:4">
      <c r="A496" s="4">
        <v>493</v>
      </c>
      <c r="B496" s="6">
        <f t="shared" si="7"/>
        <v>1.35068493150685</v>
      </c>
      <c r="C496" s="8">
        <f>'1_Inputs'!$H$5</f>
        <v>0.021114750451147</v>
      </c>
      <c r="D496" s="6">
        <f>D495*EXP(-'1_Inputs'!$H$5*(1/365))</f>
        <v>0.981504549393938</v>
      </c>
    </row>
    <row r="497" spans="1:4">
      <c r="A497" s="10">
        <v>494</v>
      </c>
      <c r="B497" s="12">
        <f t="shared" si="7"/>
        <v>1.35342465753425</v>
      </c>
      <c r="C497" s="14">
        <f>'1_Inputs'!$H$5</f>
        <v>0.021114750451147</v>
      </c>
      <c r="D497" s="12">
        <f>D496*EXP(-'1_Inputs'!$H$5*(1/365))</f>
        <v>0.981447772341323</v>
      </c>
    </row>
    <row r="498" spans="1:4">
      <c r="A498" s="4">
        <v>495</v>
      </c>
      <c r="B498" s="6">
        <f t="shared" si="7"/>
        <v>1.35616438356164</v>
      </c>
      <c r="C498" s="8">
        <f>'1_Inputs'!$H$5</f>
        <v>0.021114750451147</v>
      </c>
      <c r="D498" s="6">
        <f>D497*EXP(-'1_Inputs'!$H$5*(1/365))</f>
        <v>0.981390998573087</v>
      </c>
    </row>
    <row r="499" spans="1:4">
      <c r="A499" s="10">
        <v>496</v>
      </c>
      <c r="B499" s="12">
        <f t="shared" si="7"/>
        <v>1.35890410958904</v>
      </c>
      <c r="C499" s="14">
        <f>'1_Inputs'!$H$5</f>
        <v>0.021114750451147</v>
      </c>
      <c r="D499" s="12">
        <f>D498*EXP(-'1_Inputs'!$H$5*(1/365))</f>
        <v>0.981334228089041</v>
      </c>
    </row>
    <row r="500" spans="1:4">
      <c r="A500" s="4">
        <v>497</v>
      </c>
      <c r="B500" s="6">
        <f t="shared" si="7"/>
        <v>1.36164383561644</v>
      </c>
      <c r="C500" s="8">
        <f>'1_Inputs'!$H$5</f>
        <v>0.021114750451147</v>
      </c>
      <c r="D500" s="6">
        <f>D499*EXP(-'1_Inputs'!$H$5*(1/365))</f>
        <v>0.981277460888995</v>
      </c>
    </row>
    <row r="501" spans="1:4">
      <c r="A501" s="10">
        <v>498</v>
      </c>
      <c r="B501" s="12">
        <f t="shared" si="7"/>
        <v>1.36438356164384</v>
      </c>
      <c r="C501" s="14">
        <f>'1_Inputs'!$H$5</f>
        <v>0.021114750451147</v>
      </c>
      <c r="D501" s="12">
        <f>D500*EXP(-'1_Inputs'!$H$5*(1/365))</f>
        <v>0.981220696972758</v>
      </c>
    </row>
    <row r="502" spans="1:4">
      <c r="A502" s="4">
        <v>499</v>
      </c>
      <c r="B502" s="6">
        <f t="shared" si="7"/>
        <v>1.36712328767123</v>
      </c>
      <c r="C502" s="8">
        <f>'1_Inputs'!$H$5</f>
        <v>0.021114750451147</v>
      </c>
      <c r="D502" s="6">
        <f>D501*EXP(-'1_Inputs'!$H$5*(1/365))</f>
        <v>0.981163936340142</v>
      </c>
    </row>
    <row r="503" spans="1:4">
      <c r="A503" s="10">
        <v>500</v>
      </c>
      <c r="B503" s="12">
        <f t="shared" si="7"/>
        <v>1.36986301369863</v>
      </c>
      <c r="C503" s="14">
        <f>'1_Inputs'!$H$5</f>
        <v>0.021114750451147</v>
      </c>
      <c r="D503" s="12">
        <f>D502*EXP(-'1_Inputs'!$H$5*(1/365))</f>
        <v>0.981107178990955</v>
      </c>
    </row>
    <row r="504" spans="1:4">
      <c r="A504" s="4">
        <v>501</v>
      </c>
      <c r="B504" s="6">
        <f t="shared" si="7"/>
        <v>1.37260273972603</v>
      </c>
      <c r="C504" s="8">
        <f>'1_Inputs'!$H$5</f>
        <v>0.021114750451147</v>
      </c>
      <c r="D504" s="6">
        <f>D503*EXP(-'1_Inputs'!$H$5*(1/365))</f>
        <v>0.981050424925009</v>
      </c>
    </row>
    <row r="505" spans="1:4">
      <c r="A505" s="10">
        <v>502</v>
      </c>
      <c r="B505" s="12">
        <f t="shared" si="7"/>
        <v>1.37534246575342</v>
      </c>
      <c r="C505" s="14">
        <f>'1_Inputs'!$H$5</f>
        <v>0.021114750451147</v>
      </c>
      <c r="D505" s="12">
        <f>D504*EXP(-'1_Inputs'!$H$5*(1/365))</f>
        <v>0.980993674142112</v>
      </c>
    </row>
    <row r="506" spans="1:4">
      <c r="A506" s="4">
        <v>503</v>
      </c>
      <c r="B506" s="6">
        <f t="shared" si="7"/>
        <v>1.37808219178082</v>
      </c>
      <c r="C506" s="8">
        <f>'1_Inputs'!$H$5</f>
        <v>0.021114750451147</v>
      </c>
      <c r="D506" s="6">
        <f>D505*EXP(-'1_Inputs'!$H$5*(1/365))</f>
        <v>0.980936926642076</v>
      </c>
    </row>
    <row r="507" spans="1:4">
      <c r="A507" s="10">
        <v>504</v>
      </c>
      <c r="B507" s="12">
        <f t="shared" si="7"/>
        <v>1.38082191780822</v>
      </c>
      <c r="C507" s="14">
        <f>'1_Inputs'!$H$5</f>
        <v>0.021114750451147</v>
      </c>
      <c r="D507" s="12">
        <f>D506*EXP(-'1_Inputs'!$H$5*(1/365))</f>
        <v>0.98088018242471</v>
      </c>
    </row>
    <row r="508" spans="1:4">
      <c r="A508" s="4">
        <v>505</v>
      </c>
      <c r="B508" s="6">
        <f t="shared" si="7"/>
        <v>1.38356164383562</v>
      </c>
      <c r="C508" s="8">
        <f>'1_Inputs'!$H$5</f>
        <v>0.021114750451147</v>
      </c>
      <c r="D508" s="6">
        <f>D507*EXP(-'1_Inputs'!$H$5*(1/365))</f>
        <v>0.980823441489824</v>
      </c>
    </row>
    <row r="509" spans="1:4">
      <c r="A509" s="10">
        <v>506</v>
      </c>
      <c r="B509" s="12">
        <f t="shared" si="7"/>
        <v>1.38630136986301</v>
      </c>
      <c r="C509" s="14">
        <f>'1_Inputs'!$H$5</f>
        <v>0.021114750451147</v>
      </c>
      <c r="D509" s="12">
        <f>D508*EXP(-'1_Inputs'!$H$5*(1/365))</f>
        <v>0.980766703837229</v>
      </c>
    </row>
    <row r="510" spans="1:4">
      <c r="A510" s="4">
        <v>507</v>
      </c>
      <c r="B510" s="6">
        <f t="shared" si="7"/>
        <v>1.38904109589041</v>
      </c>
      <c r="C510" s="8">
        <f>'1_Inputs'!$H$5</f>
        <v>0.021114750451147</v>
      </c>
      <c r="D510" s="6">
        <f>D509*EXP(-'1_Inputs'!$H$5*(1/365))</f>
        <v>0.980709969466734</v>
      </c>
    </row>
    <row r="511" spans="1:4">
      <c r="A511" s="10">
        <v>508</v>
      </c>
      <c r="B511" s="12">
        <f t="shared" si="7"/>
        <v>1.39178082191781</v>
      </c>
      <c r="C511" s="14">
        <f>'1_Inputs'!$H$5</f>
        <v>0.021114750451147</v>
      </c>
      <c r="D511" s="12">
        <f>D510*EXP(-'1_Inputs'!$H$5*(1/365))</f>
        <v>0.980653238378151</v>
      </c>
    </row>
    <row r="512" spans="1:4">
      <c r="A512" s="4">
        <v>509</v>
      </c>
      <c r="B512" s="6">
        <f t="shared" si="7"/>
        <v>1.39452054794521</v>
      </c>
      <c r="C512" s="8">
        <f>'1_Inputs'!$H$5</f>
        <v>0.021114750451147</v>
      </c>
      <c r="D512" s="6">
        <f>D511*EXP(-'1_Inputs'!$H$5*(1/365))</f>
        <v>0.980596510571288</v>
      </c>
    </row>
    <row r="513" spans="1:4">
      <c r="A513" s="10">
        <v>510</v>
      </c>
      <c r="B513" s="12">
        <f t="shared" si="7"/>
        <v>1.3972602739726</v>
      </c>
      <c r="C513" s="14">
        <f>'1_Inputs'!$H$5</f>
        <v>0.021114750451147</v>
      </c>
      <c r="D513" s="12">
        <f>D512*EXP(-'1_Inputs'!$H$5*(1/365))</f>
        <v>0.980539786045956</v>
      </c>
    </row>
    <row r="514" spans="1:4">
      <c r="A514" s="4">
        <v>511</v>
      </c>
      <c r="B514" s="6">
        <f t="shared" si="7"/>
        <v>1.4</v>
      </c>
      <c r="C514" s="8">
        <f>'1_Inputs'!$H$5</f>
        <v>0.021114750451147</v>
      </c>
      <c r="D514" s="6">
        <f>D513*EXP(-'1_Inputs'!$H$5*(1/365))</f>
        <v>0.980483064801965</v>
      </c>
    </row>
    <row r="515" spans="1:4">
      <c r="A515" s="10">
        <v>512</v>
      </c>
      <c r="B515" s="12">
        <f t="shared" ref="B515:B578" si="8">A515/365</f>
        <v>1.4027397260274</v>
      </c>
      <c r="C515" s="14">
        <f>'1_Inputs'!$H$5</f>
        <v>0.021114750451147</v>
      </c>
      <c r="D515" s="12">
        <f>D514*EXP(-'1_Inputs'!$H$5*(1/365))</f>
        <v>0.980426346839126</v>
      </c>
    </row>
    <row r="516" spans="1:4">
      <c r="A516" s="4">
        <v>513</v>
      </c>
      <c r="B516" s="6">
        <f t="shared" si="8"/>
        <v>1.40547945205479</v>
      </c>
      <c r="C516" s="8">
        <f>'1_Inputs'!$H$5</f>
        <v>0.021114750451147</v>
      </c>
      <c r="D516" s="6">
        <f>D515*EXP(-'1_Inputs'!$H$5*(1/365))</f>
        <v>0.980369632157249</v>
      </c>
    </row>
    <row r="517" spans="1:4">
      <c r="A517" s="10">
        <v>514</v>
      </c>
      <c r="B517" s="12">
        <f t="shared" si="8"/>
        <v>1.40821917808219</v>
      </c>
      <c r="C517" s="14">
        <f>'1_Inputs'!$H$5</f>
        <v>0.021114750451147</v>
      </c>
      <c r="D517" s="12">
        <f>D516*EXP(-'1_Inputs'!$H$5*(1/365))</f>
        <v>0.980312920756143</v>
      </c>
    </row>
    <row r="518" spans="1:4">
      <c r="A518" s="4">
        <v>515</v>
      </c>
      <c r="B518" s="6">
        <f t="shared" si="8"/>
        <v>1.41095890410959</v>
      </c>
      <c r="C518" s="8">
        <f>'1_Inputs'!$H$5</f>
        <v>0.021114750451147</v>
      </c>
      <c r="D518" s="6">
        <f>D517*EXP(-'1_Inputs'!$H$5*(1/365))</f>
        <v>0.980256212635619</v>
      </c>
    </row>
    <row r="519" spans="1:4">
      <c r="A519" s="10">
        <v>516</v>
      </c>
      <c r="B519" s="12">
        <f t="shared" si="8"/>
        <v>1.41369863013699</v>
      </c>
      <c r="C519" s="14">
        <f>'1_Inputs'!$H$5</f>
        <v>0.021114750451147</v>
      </c>
      <c r="D519" s="12">
        <f>D518*EXP(-'1_Inputs'!$H$5*(1/365))</f>
        <v>0.980199507795488</v>
      </c>
    </row>
    <row r="520" spans="1:4">
      <c r="A520" s="4">
        <v>517</v>
      </c>
      <c r="B520" s="6">
        <f t="shared" si="8"/>
        <v>1.41643835616438</v>
      </c>
      <c r="C520" s="8">
        <f>'1_Inputs'!$H$5</f>
        <v>0.021114750451147</v>
      </c>
      <c r="D520" s="6">
        <f>D519*EXP(-'1_Inputs'!$H$5*(1/365))</f>
        <v>0.980142806235559</v>
      </c>
    </row>
    <row r="521" spans="1:4">
      <c r="A521" s="10">
        <v>518</v>
      </c>
      <c r="B521" s="12">
        <f t="shared" si="8"/>
        <v>1.41917808219178</v>
      </c>
      <c r="C521" s="14">
        <f>'1_Inputs'!$H$5</f>
        <v>0.021114750451147</v>
      </c>
      <c r="D521" s="12">
        <f>D520*EXP(-'1_Inputs'!$H$5*(1/365))</f>
        <v>0.980086107955643</v>
      </c>
    </row>
    <row r="522" spans="1:4">
      <c r="A522" s="4">
        <v>519</v>
      </c>
      <c r="B522" s="6">
        <f t="shared" si="8"/>
        <v>1.42191780821918</v>
      </c>
      <c r="C522" s="8">
        <f>'1_Inputs'!$H$5</f>
        <v>0.021114750451147</v>
      </c>
      <c r="D522" s="6">
        <f>D521*EXP(-'1_Inputs'!$H$5*(1/365))</f>
        <v>0.98002941295555</v>
      </c>
    </row>
    <row r="523" spans="1:4">
      <c r="A523" s="10">
        <v>520</v>
      </c>
      <c r="B523" s="12">
        <f t="shared" si="8"/>
        <v>1.42465753424658</v>
      </c>
      <c r="C523" s="14">
        <f>'1_Inputs'!$H$5</f>
        <v>0.021114750451147</v>
      </c>
      <c r="D523" s="12">
        <f>D522*EXP(-'1_Inputs'!$H$5*(1/365))</f>
        <v>0.97997272123509</v>
      </c>
    </row>
    <row r="524" spans="1:4">
      <c r="A524" s="4">
        <v>521</v>
      </c>
      <c r="B524" s="6">
        <f t="shared" si="8"/>
        <v>1.42739726027397</v>
      </c>
      <c r="C524" s="8">
        <f>'1_Inputs'!$H$5</f>
        <v>0.021114750451147</v>
      </c>
      <c r="D524" s="6">
        <f>D523*EXP(-'1_Inputs'!$H$5*(1/365))</f>
        <v>0.979916032794074</v>
      </c>
    </row>
    <row r="525" spans="1:4">
      <c r="A525" s="10">
        <v>522</v>
      </c>
      <c r="B525" s="12">
        <f t="shared" si="8"/>
        <v>1.43013698630137</v>
      </c>
      <c r="C525" s="14">
        <f>'1_Inputs'!$H$5</f>
        <v>0.021114750451147</v>
      </c>
      <c r="D525" s="12">
        <f>D524*EXP(-'1_Inputs'!$H$5*(1/365))</f>
        <v>0.979859347632312</v>
      </c>
    </row>
    <row r="526" spans="1:4">
      <c r="A526" s="4">
        <v>523</v>
      </c>
      <c r="B526" s="6">
        <f t="shared" si="8"/>
        <v>1.43287671232877</v>
      </c>
      <c r="C526" s="8">
        <f>'1_Inputs'!$H$5</f>
        <v>0.021114750451147</v>
      </c>
      <c r="D526" s="6">
        <f>D525*EXP(-'1_Inputs'!$H$5*(1/365))</f>
        <v>0.979802665749613</v>
      </c>
    </row>
    <row r="527" spans="1:4">
      <c r="A527" s="10">
        <v>524</v>
      </c>
      <c r="B527" s="12">
        <f t="shared" si="8"/>
        <v>1.43561643835616</v>
      </c>
      <c r="C527" s="14">
        <f>'1_Inputs'!$H$5</f>
        <v>0.021114750451147</v>
      </c>
      <c r="D527" s="12">
        <f>D526*EXP(-'1_Inputs'!$H$5*(1/365))</f>
        <v>0.97974598714579</v>
      </c>
    </row>
    <row r="528" spans="1:4">
      <c r="A528" s="4">
        <v>525</v>
      </c>
      <c r="B528" s="6">
        <f t="shared" si="8"/>
        <v>1.43835616438356</v>
      </c>
      <c r="C528" s="8">
        <f>'1_Inputs'!$H$5</f>
        <v>0.021114750451147</v>
      </c>
      <c r="D528" s="6">
        <f>D527*EXP(-'1_Inputs'!$H$5*(1/365))</f>
        <v>0.979689311820651</v>
      </c>
    </row>
    <row r="529" spans="1:4">
      <c r="A529" s="10">
        <v>526</v>
      </c>
      <c r="B529" s="12">
        <f t="shared" si="8"/>
        <v>1.44109589041096</v>
      </c>
      <c r="C529" s="14">
        <f>'1_Inputs'!$H$5</f>
        <v>0.021114750451147</v>
      </c>
      <c r="D529" s="12">
        <f>D528*EXP(-'1_Inputs'!$H$5*(1/365))</f>
        <v>0.979632639774007</v>
      </c>
    </row>
    <row r="530" spans="1:4">
      <c r="A530" s="4">
        <v>527</v>
      </c>
      <c r="B530" s="6">
        <f t="shared" si="8"/>
        <v>1.44383561643836</v>
      </c>
      <c r="C530" s="8">
        <f>'1_Inputs'!$H$5</f>
        <v>0.021114750451147</v>
      </c>
      <c r="D530" s="6">
        <f>D529*EXP(-'1_Inputs'!$H$5*(1/365))</f>
        <v>0.979575971005669</v>
      </c>
    </row>
    <row r="531" spans="1:4">
      <c r="A531" s="10">
        <v>528</v>
      </c>
      <c r="B531" s="12">
        <f t="shared" si="8"/>
        <v>1.44657534246575</v>
      </c>
      <c r="C531" s="14">
        <f>'1_Inputs'!$H$5</f>
        <v>0.021114750451147</v>
      </c>
      <c r="D531" s="12">
        <f>D530*EXP(-'1_Inputs'!$H$5*(1/365))</f>
        <v>0.979519305515447</v>
      </c>
    </row>
    <row r="532" spans="1:4">
      <c r="A532" s="4">
        <v>529</v>
      </c>
      <c r="B532" s="6">
        <f t="shared" si="8"/>
        <v>1.44931506849315</v>
      </c>
      <c r="C532" s="8">
        <f>'1_Inputs'!$H$5</f>
        <v>0.021114750451147</v>
      </c>
      <c r="D532" s="6">
        <f>D531*EXP(-'1_Inputs'!$H$5*(1/365))</f>
        <v>0.979462643303151</v>
      </c>
    </row>
    <row r="533" spans="1:4">
      <c r="A533" s="10">
        <v>530</v>
      </c>
      <c r="B533" s="12">
        <f t="shared" si="8"/>
        <v>1.45205479452055</v>
      </c>
      <c r="C533" s="14">
        <f>'1_Inputs'!$H$5</f>
        <v>0.021114750451147</v>
      </c>
      <c r="D533" s="12">
        <f>D532*EXP(-'1_Inputs'!$H$5*(1/365))</f>
        <v>0.979405984368591</v>
      </c>
    </row>
    <row r="534" spans="1:4">
      <c r="A534" s="4">
        <v>531</v>
      </c>
      <c r="B534" s="6">
        <f t="shared" si="8"/>
        <v>1.45479452054795</v>
      </c>
      <c r="C534" s="8">
        <f>'1_Inputs'!$H$5</f>
        <v>0.021114750451147</v>
      </c>
      <c r="D534" s="6">
        <f>D533*EXP(-'1_Inputs'!$H$5*(1/365))</f>
        <v>0.979349328711579</v>
      </c>
    </row>
    <row r="535" spans="1:4">
      <c r="A535" s="10">
        <v>532</v>
      </c>
      <c r="B535" s="12">
        <f t="shared" si="8"/>
        <v>1.45753424657534</v>
      </c>
      <c r="C535" s="14">
        <f>'1_Inputs'!$H$5</f>
        <v>0.021114750451147</v>
      </c>
      <c r="D535" s="12">
        <f>D534*EXP(-'1_Inputs'!$H$5*(1/365))</f>
        <v>0.979292676331924</v>
      </c>
    </row>
    <row r="536" spans="1:4">
      <c r="A536" s="4">
        <v>533</v>
      </c>
      <c r="B536" s="6">
        <f t="shared" si="8"/>
        <v>1.46027397260274</v>
      </c>
      <c r="C536" s="8">
        <f>'1_Inputs'!$H$5</f>
        <v>0.021114750451147</v>
      </c>
      <c r="D536" s="6">
        <f>D535*EXP(-'1_Inputs'!$H$5*(1/365))</f>
        <v>0.979236027229437</v>
      </c>
    </row>
    <row r="537" spans="1:4">
      <c r="A537" s="10">
        <v>534</v>
      </c>
      <c r="B537" s="12">
        <f t="shared" si="8"/>
        <v>1.46301369863014</v>
      </c>
      <c r="C537" s="14">
        <f>'1_Inputs'!$H$5</f>
        <v>0.021114750451147</v>
      </c>
      <c r="D537" s="12">
        <f>D536*EXP(-'1_Inputs'!$H$5*(1/365))</f>
        <v>0.979179381403928</v>
      </c>
    </row>
    <row r="538" spans="1:4">
      <c r="A538" s="4">
        <v>535</v>
      </c>
      <c r="B538" s="6">
        <f t="shared" si="8"/>
        <v>1.46575342465753</v>
      </c>
      <c r="C538" s="8">
        <f>'1_Inputs'!$H$5</f>
        <v>0.021114750451147</v>
      </c>
      <c r="D538" s="6">
        <f>D537*EXP(-'1_Inputs'!$H$5*(1/365))</f>
        <v>0.979122738855208</v>
      </c>
    </row>
    <row r="539" spans="1:4">
      <c r="A539" s="10">
        <v>536</v>
      </c>
      <c r="B539" s="12">
        <f t="shared" si="8"/>
        <v>1.46849315068493</v>
      </c>
      <c r="C539" s="14">
        <f>'1_Inputs'!$H$5</f>
        <v>0.021114750451147</v>
      </c>
      <c r="D539" s="12">
        <f>D538*EXP(-'1_Inputs'!$H$5*(1/365))</f>
        <v>0.979066099583087</v>
      </c>
    </row>
    <row r="540" spans="1:4">
      <c r="A540" s="4">
        <v>537</v>
      </c>
      <c r="B540" s="6">
        <f t="shared" si="8"/>
        <v>1.47123287671233</v>
      </c>
      <c r="C540" s="8">
        <f>'1_Inputs'!$H$5</f>
        <v>0.021114750451147</v>
      </c>
      <c r="D540" s="6">
        <f>D539*EXP(-'1_Inputs'!$H$5*(1/365))</f>
        <v>0.979009463587375</v>
      </c>
    </row>
    <row r="541" spans="1:4">
      <c r="A541" s="10">
        <v>538</v>
      </c>
      <c r="B541" s="12">
        <f t="shared" si="8"/>
        <v>1.47397260273973</v>
      </c>
      <c r="C541" s="14">
        <f>'1_Inputs'!$H$5</f>
        <v>0.021114750451147</v>
      </c>
      <c r="D541" s="12">
        <f>D540*EXP(-'1_Inputs'!$H$5*(1/365))</f>
        <v>0.978952830867884</v>
      </c>
    </row>
    <row r="542" spans="1:4">
      <c r="A542" s="4">
        <v>539</v>
      </c>
      <c r="B542" s="6">
        <f t="shared" si="8"/>
        <v>1.47671232876712</v>
      </c>
      <c r="C542" s="8">
        <f>'1_Inputs'!$H$5</f>
        <v>0.021114750451147</v>
      </c>
      <c r="D542" s="6">
        <f>D541*EXP(-'1_Inputs'!$H$5*(1/365))</f>
        <v>0.978896201424423</v>
      </c>
    </row>
    <row r="543" spans="1:4">
      <c r="A543" s="10">
        <v>540</v>
      </c>
      <c r="B543" s="12">
        <f t="shared" si="8"/>
        <v>1.47945205479452</v>
      </c>
      <c r="C543" s="14">
        <f>'1_Inputs'!$H$5</f>
        <v>0.021114750451147</v>
      </c>
      <c r="D543" s="12">
        <f>D542*EXP(-'1_Inputs'!$H$5*(1/365))</f>
        <v>0.978839575256804</v>
      </c>
    </row>
    <row r="544" spans="1:4">
      <c r="A544" s="4">
        <v>541</v>
      </c>
      <c r="B544" s="6">
        <f t="shared" si="8"/>
        <v>1.48219178082192</v>
      </c>
      <c r="C544" s="8">
        <f>'1_Inputs'!$H$5</f>
        <v>0.021114750451147</v>
      </c>
      <c r="D544" s="6">
        <f>D543*EXP(-'1_Inputs'!$H$5*(1/365))</f>
        <v>0.978782952364835</v>
      </c>
    </row>
    <row r="545" spans="1:5">
      <c r="A545" s="10">
        <v>542</v>
      </c>
      <c r="B545" s="12">
        <f t="shared" si="8"/>
        <v>1.48493150684931</v>
      </c>
      <c r="C545" s="14">
        <f>'1_Inputs'!$H$5</f>
        <v>0.021114750451147</v>
      </c>
      <c r="D545" s="12">
        <f>D544*EXP(-'1_Inputs'!$H$5*(1/365))</f>
        <v>0.978726332748329</v>
      </c>
    </row>
    <row r="546" spans="1:5">
      <c r="A546" s="4">
        <v>543</v>
      </c>
      <c r="B546" s="6">
        <f t="shared" si="8"/>
        <v>1.48767123287671</v>
      </c>
      <c r="C546" s="8">
        <f>'1_Inputs'!$H$5</f>
        <v>0.021114750451147</v>
      </c>
      <c r="D546" s="6">
        <f>D545*EXP(-'1_Inputs'!$H$5*(1/365))</f>
        <v>0.978669716407096</v>
      </c>
    </row>
    <row r="547" spans="1:5">
      <c r="A547" s="10">
        <v>544</v>
      </c>
      <c r="B547" s="12">
        <f t="shared" si="8"/>
        <v>1.49041095890411</v>
      </c>
      <c r="C547" s="14">
        <f>'1_Inputs'!$H$5</f>
        <v>0.021114750451147</v>
      </c>
      <c r="D547" s="12">
        <f>D546*EXP(-'1_Inputs'!$H$5*(1/365))</f>
        <v>0.978613103340945</v>
      </c>
    </row>
    <row r="548" spans="1:5">
      <c r="A548" s="4">
        <v>545</v>
      </c>
      <c r="B548" s="6">
        <f t="shared" si="8"/>
        <v>1.49315068493151</v>
      </c>
      <c r="C548" s="8">
        <f>'1_Inputs'!$H$5</f>
        <v>0.021114750451147</v>
      </c>
      <c r="D548" s="6">
        <f>D547*EXP(-'1_Inputs'!$H$5*(1/365))</f>
        <v>0.978556493549688</v>
      </c>
    </row>
    <row r="549" spans="1:5">
      <c r="A549" s="10">
        <v>546</v>
      </c>
      <c r="B549" s="12">
        <f t="shared" si="8"/>
        <v>1.4958904109589</v>
      </c>
      <c r="C549" s="14">
        <f>'1_Inputs'!$H$5</f>
        <v>0.021114750451147</v>
      </c>
      <c r="D549" s="12">
        <f>D548*EXP(-'1_Inputs'!$H$5*(1/365))</f>
        <v>0.978499887033136</v>
      </c>
    </row>
    <row r="550" spans="1:5">
      <c r="A550" s="4">
        <v>547</v>
      </c>
      <c r="B550" s="6">
        <f t="shared" si="8"/>
        <v>1.4986301369863</v>
      </c>
      <c r="C550" s="8">
        <f>'1_Inputs'!$H$5</f>
        <v>0.021114750451147</v>
      </c>
      <c r="D550" s="6">
        <f>D549*EXP(-'1_Inputs'!$H$5*(1/365))</f>
        <v>0.978443283791098</v>
      </c>
      <c r="E550" s="43" t="s">
        <v>59</v>
      </c>
    </row>
    <row r="551" spans="1:5">
      <c r="A551" s="10">
        <v>548</v>
      </c>
      <c r="B551" s="12">
        <f t="shared" si="8"/>
        <v>1.5013698630137</v>
      </c>
      <c r="C551" s="14">
        <f>'1_Inputs'!$H$5</f>
        <v>0.021114750451147</v>
      </c>
      <c r="D551" s="12">
        <f>D550*EXP(-'1_Inputs'!$H$5*(1/365))</f>
        <v>0.978386683823386</v>
      </c>
    </row>
    <row r="552" spans="1:5">
      <c r="A552" s="4">
        <v>549</v>
      </c>
      <c r="B552" s="6">
        <f t="shared" si="8"/>
        <v>1.5041095890411</v>
      </c>
      <c r="C552" s="8">
        <f>'1_Inputs'!$H$5</f>
        <v>0.021114750451147</v>
      </c>
      <c r="D552" s="6">
        <f>D551*EXP(-'1_Inputs'!$H$5*(1/365))</f>
        <v>0.97833008712981</v>
      </c>
    </row>
    <row r="553" spans="1:5">
      <c r="A553" s="10">
        <v>550</v>
      </c>
      <c r="B553" s="12">
        <f t="shared" si="8"/>
        <v>1.50684931506849</v>
      </c>
      <c r="C553" s="14">
        <f>'1_Inputs'!$H$5</f>
        <v>0.021114750451147</v>
      </c>
      <c r="D553" s="12">
        <f>D552*EXP(-'1_Inputs'!$H$5*(1/365))</f>
        <v>0.97827349371018</v>
      </c>
    </row>
    <row r="554" spans="1:5">
      <c r="A554" s="4">
        <v>551</v>
      </c>
      <c r="B554" s="6">
        <f t="shared" si="8"/>
        <v>1.50958904109589</v>
      </c>
      <c r="C554" s="8">
        <f>'1_Inputs'!$H$5</f>
        <v>0.021114750451147</v>
      </c>
      <c r="D554" s="6">
        <f>D553*EXP(-'1_Inputs'!$H$5*(1/365))</f>
        <v>0.978216903564307</v>
      </c>
    </row>
    <row r="555" spans="1:5">
      <c r="A555" s="10">
        <v>552</v>
      </c>
      <c r="B555" s="12">
        <f t="shared" si="8"/>
        <v>1.51232876712329</v>
      </c>
      <c r="C555" s="14">
        <f>'1_Inputs'!$H$5</f>
        <v>0.021114750451147</v>
      </c>
      <c r="D555" s="12">
        <f>D554*EXP(-'1_Inputs'!$H$5*(1/365))</f>
        <v>0.978160316692002</v>
      </c>
    </row>
    <row r="556" spans="1:5">
      <c r="A556" s="4">
        <v>553</v>
      </c>
      <c r="B556" s="6">
        <f t="shared" si="8"/>
        <v>1.51506849315069</v>
      </c>
      <c r="C556" s="8">
        <f>'1_Inputs'!$H$5</f>
        <v>0.021114750451147</v>
      </c>
      <c r="D556" s="6">
        <f>D555*EXP(-'1_Inputs'!$H$5*(1/365))</f>
        <v>0.978103733093076</v>
      </c>
    </row>
    <row r="557" spans="1:5">
      <c r="A557" s="10">
        <v>554</v>
      </c>
      <c r="B557" s="12">
        <f t="shared" si="8"/>
        <v>1.51780821917808</v>
      </c>
      <c r="C557" s="14">
        <f>'1_Inputs'!$H$5</f>
        <v>0.021114750451147</v>
      </c>
      <c r="D557" s="12">
        <f>D556*EXP(-'1_Inputs'!$H$5*(1/365))</f>
        <v>0.978047152767339</v>
      </c>
    </row>
    <row r="558" spans="1:5">
      <c r="A558" s="4">
        <v>555</v>
      </c>
      <c r="B558" s="6">
        <f t="shared" si="8"/>
        <v>1.52054794520548</v>
      </c>
      <c r="C558" s="8">
        <f>'1_Inputs'!$H$5</f>
        <v>0.021114750451147</v>
      </c>
      <c r="D558" s="6">
        <f>D557*EXP(-'1_Inputs'!$H$5*(1/365))</f>
        <v>0.977990575714601</v>
      </c>
    </row>
    <row r="559" spans="1:5">
      <c r="A559" s="10">
        <v>556</v>
      </c>
      <c r="B559" s="12">
        <f t="shared" si="8"/>
        <v>1.52328767123288</v>
      </c>
      <c r="C559" s="14">
        <f>'1_Inputs'!$H$5</f>
        <v>0.021114750451147</v>
      </c>
      <c r="D559" s="12">
        <f>D558*EXP(-'1_Inputs'!$H$5*(1/365))</f>
        <v>0.977934001934674</v>
      </c>
    </row>
    <row r="560" spans="1:5">
      <c r="A560" s="4">
        <v>557</v>
      </c>
      <c r="B560" s="6">
        <f t="shared" si="8"/>
        <v>1.52602739726027</v>
      </c>
      <c r="C560" s="8">
        <f>'1_Inputs'!$H$5</f>
        <v>0.021114750451147</v>
      </c>
      <c r="D560" s="6">
        <f>D559*EXP(-'1_Inputs'!$H$5*(1/365))</f>
        <v>0.977877431427368</v>
      </c>
    </row>
    <row r="561" spans="1:4">
      <c r="A561" s="10">
        <v>558</v>
      </c>
      <c r="B561" s="12">
        <f t="shared" si="8"/>
        <v>1.52876712328767</v>
      </c>
      <c r="C561" s="14">
        <f>'1_Inputs'!$H$5</f>
        <v>0.021114750451147</v>
      </c>
      <c r="D561" s="12">
        <f>D560*EXP(-'1_Inputs'!$H$5*(1/365))</f>
        <v>0.977820864192493</v>
      </c>
    </row>
    <row r="562" spans="1:4">
      <c r="A562" s="4">
        <v>559</v>
      </c>
      <c r="B562" s="6">
        <f t="shared" si="8"/>
        <v>1.53150684931507</v>
      </c>
      <c r="C562" s="8">
        <f>'1_Inputs'!$H$5</f>
        <v>0.021114750451147</v>
      </c>
      <c r="D562" s="6">
        <f>D561*EXP(-'1_Inputs'!$H$5*(1/365))</f>
        <v>0.977764300229861</v>
      </c>
    </row>
    <row r="563" spans="1:4">
      <c r="A563" s="10">
        <v>560</v>
      </c>
      <c r="B563" s="12">
        <f t="shared" si="8"/>
        <v>1.53424657534247</v>
      </c>
      <c r="C563" s="14">
        <f>'1_Inputs'!$H$5</f>
        <v>0.021114750451147</v>
      </c>
      <c r="D563" s="12">
        <f>D562*EXP(-'1_Inputs'!$H$5*(1/365))</f>
        <v>0.977707739539283</v>
      </c>
    </row>
    <row r="564" spans="1:4">
      <c r="A564" s="4">
        <v>561</v>
      </c>
      <c r="B564" s="6">
        <f t="shared" si="8"/>
        <v>1.53698630136986</v>
      </c>
      <c r="C564" s="8">
        <f>'1_Inputs'!$H$5</f>
        <v>0.021114750451147</v>
      </c>
      <c r="D564" s="6">
        <f>D563*EXP(-'1_Inputs'!$H$5*(1/365))</f>
        <v>0.977651182120568</v>
      </c>
    </row>
    <row r="565" spans="1:4">
      <c r="A565" s="10">
        <v>562</v>
      </c>
      <c r="B565" s="12">
        <f t="shared" si="8"/>
        <v>1.53972602739726</v>
      </c>
      <c r="C565" s="14">
        <f>'1_Inputs'!$H$5</f>
        <v>0.021114750451147</v>
      </c>
      <c r="D565" s="12">
        <f>D564*EXP(-'1_Inputs'!$H$5*(1/365))</f>
        <v>0.977594627973528</v>
      </c>
    </row>
    <row r="566" spans="1:4">
      <c r="A566" s="4">
        <v>563</v>
      </c>
      <c r="B566" s="6">
        <f t="shared" si="8"/>
        <v>1.54246575342466</v>
      </c>
      <c r="C566" s="8">
        <f>'1_Inputs'!$H$5</f>
        <v>0.021114750451147</v>
      </c>
      <c r="D566" s="6">
        <f>D565*EXP(-'1_Inputs'!$H$5*(1/365))</f>
        <v>0.977538077097973</v>
      </c>
    </row>
    <row r="567" spans="1:4">
      <c r="A567" s="10">
        <v>564</v>
      </c>
      <c r="B567" s="12">
        <f t="shared" si="8"/>
        <v>1.54520547945205</v>
      </c>
      <c r="C567" s="14">
        <f>'1_Inputs'!$H$5</f>
        <v>0.021114750451147</v>
      </c>
      <c r="D567" s="12">
        <f>D566*EXP(-'1_Inputs'!$H$5*(1/365))</f>
        <v>0.977481529493714</v>
      </c>
    </row>
    <row r="568" spans="1:4">
      <c r="A568" s="4">
        <v>565</v>
      </c>
      <c r="B568" s="6">
        <f t="shared" si="8"/>
        <v>1.54794520547945</v>
      </c>
      <c r="C568" s="8">
        <f>'1_Inputs'!$H$5</f>
        <v>0.021114750451147</v>
      </c>
      <c r="D568" s="6">
        <f>D567*EXP(-'1_Inputs'!$H$5*(1/365))</f>
        <v>0.977424985160563</v>
      </c>
    </row>
    <row r="569" spans="1:4">
      <c r="A569" s="10">
        <v>566</v>
      </c>
      <c r="B569" s="12">
        <f t="shared" si="8"/>
        <v>1.55068493150685</v>
      </c>
      <c r="C569" s="14">
        <f>'1_Inputs'!$H$5</f>
        <v>0.021114750451147</v>
      </c>
      <c r="D569" s="12">
        <f>D568*EXP(-'1_Inputs'!$H$5*(1/365))</f>
        <v>0.977368444098329</v>
      </c>
    </row>
    <row r="570" spans="1:4">
      <c r="A570" s="4">
        <v>567</v>
      </c>
      <c r="B570" s="6">
        <f t="shared" si="8"/>
        <v>1.55342465753425</v>
      </c>
      <c r="C570" s="8">
        <f>'1_Inputs'!$H$5</f>
        <v>0.021114750451147</v>
      </c>
      <c r="D570" s="6">
        <f>D569*EXP(-'1_Inputs'!$H$5*(1/365))</f>
        <v>0.977311906306823</v>
      </c>
    </row>
    <row r="571" spans="1:4">
      <c r="A571" s="10">
        <v>568</v>
      </c>
      <c r="B571" s="12">
        <f t="shared" si="8"/>
        <v>1.55616438356164</v>
      </c>
      <c r="C571" s="14">
        <f>'1_Inputs'!$H$5</f>
        <v>0.021114750451147</v>
      </c>
      <c r="D571" s="12">
        <f>D570*EXP(-'1_Inputs'!$H$5*(1/365))</f>
        <v>0.977255371785857</v>
      </c>
    </row>
    <row r="572" spans="1:4">
      <c r="A572" s="4">
        <v>569</v>
      </c>
      <c r="B572" s="6">
        <f t="shared" si="8"/>
        <v>1.55890410958904</v>
      </c>
      <c r="C572" s="8">
        <f>'1_Inputs'!$H$5</f>
        <v>0.021114750451147</v>
      </c>
      <c r="D572" s="6">
        <f>D571*EXP(-'1_Inputs'!$H$5*(1/365))</f>
        <v>0.977198840535241</v>
      </c>
    </row>
    <row r="573" spans="1:4">
      <c r="A573" s="10">
        <v>570</v>
      </c>
      <c r="B573" s="12">
        <f t="shared" si="8"/>
        <v>1.56164383561644</v>
      </c>
      <c r="C573" s="14">
        <f>'1_Inputs'!$H$5</f>
        <v>0.021114750451147</v>
      </c>
      <c r="D573" s="12">
        <f>D572*EXP(-'1_Inputs'!$H$5*(1/365))</f>
        <v>0.977142312554785</v>
      </c>
    </row>
    <row r="574" spans="1:4">
      <c r="A574" s="4">
        <v>571</v>
      </c>
      <c r="B574" s="6">
        <f t="shared" si="8"/>
        <v>1.56438356164384</v>
      </c>
      <c r="C574" s="8">
        <f>'1_Inputs'!$H$5</f>
        <v>0.021114750451147</v>
      </c>
      <c r="D574" s="6">
        <f>D573*EXP(-'1_Inputs'!$H$5*(1/365))</f>
        <v>0.977085787844301</v>
      </c>
    </row>
    <row r="575" spans="1:4">
      <c r="A575" s="10">
        <v>572</v>
      </c>
      <c r="B575" s="12">
        <f t="shared" si="8"/>
        <v>1.56712328767123</v>
      </c>
      <c r="C575" s="14">
        <f>'1_Inputs'!$H$5</f>
        <v>0.021114750451147</v>
      </c>
      <c r="D575" s="12">
        <f>D574*EXP(-'1_Inputs'!$H$5*(1/365))</f>
        <v>0.9770292664036</v>
      </c>
    </row>
    <row r="576" spans="1:4">
      <c r="A576" s="4">
        <v>573</v>
      </c>
      <c r="B576" s="6">
        <f t="shared" si="8"/>
        <v>1.56986301369863</v>
      </c>
      <c r="C576" s="8">
        <f>'1_Inputs'!$H$5</f>
        <v>0.021114750451147</v>
      </c>
      <c r="D576" s="6">
        <f>D575*EXP(-'1_Inputs'!$H$5*(1/365))</f>
        <v>0.976972748232493</v>
      </c>
    </row>
    <row r="577" spans="1:4">
      <c r="A577" s="10">
        <v>574</v>
      </c>
      <c r="B577" s="12">
        <f t="shared" si="8"/>
        <v>1.57260273972603</v>
      </c>
      <c r="C577" s="14">
        <f>'1_Inputs'!$H$5</f>
        <v>0.021114750451147</v>
      </c>
      <c r="D577" s="12">
        <f>D576*EXP(-'1_Inputs'!$H$5*(1/365))</f>
        <v>0.976916233330789</v>
      </c>
    </row>
    <row r="578" spans="1:4">
      <c r="A578" s="4">
        <v>575</v>
      </c>
      <c r="B578" s="6">
        <f t="shared" si="8"/>
        <v>1.57534246575342</v>
      </c>
      <c r="C578" s="8">
        <f>'1_Inputs'!$H$5</f>
        <v>0.021114750451147</v>
      </c>
      <c r="D578" s="6">
        <f>D577*EXP(-'1_Inputs'!$H$5*(1/365))</f>
        <v>0.976859721698301</v>
      </c>
    </row>
    <row r="579" spans="1:4">
      <c r="A579" s="10">
        <v>576</v>
      </c>
      <c r="B579" s="12">
        <f t="shared" ref="B579:B642" si="9">A579/365</f>
        <v>1.57808219178082</v>
      </c>
      <c r="C579" s="14">
        <f>'1_Inputs'!$H$5</f>
        <v>0.021114750451147</v>
      </c>
      <c r="D579" s="12">
        <f>D578*EXP(-'1_Inputs'!$H$5*(1/365))</f>
        <v>0.976803213334839</v>
      </c>
    </row>
    <row r="580" spans="1:4">
      <c r="A580" s="4">
        <v>577</v>
      </c>
      <c r="B580" s="6">
        <f t="shared" si="9"/>
        <v>1.58082191780822</v>
      </c>
      <c r="C580" s="8">
        <f>'1_Inputs'!$H$5</f>
        <v>0.021114750451147</v>
      </c>
      <c r="D580" s="6">
        <f>D579*EXP(-'1_Inputs'!$H$5*(1/365))</f>
        <v>0.976746708240214</v>
      </c>
    </row>
    <row r="581" spans="1:4">
      <c r="A581" s="10">
        <v>578</v>
      </c>
      <c r="B581" s="12">
        <f t="shared" si="9"/>
        <v>1.58356164383562</v>
      </c>
      <c r="C581" s="14">
        <f>'1_Inputs'!$H$5</f>
        <v>0.021114750451147</v>
      </c>
      <c r="D581" s="12">
        <f>D580*EXP(-'1_Inputs'!$H$5*(1/365))</f>
        <v>0.976690206414236</v>
      </c>
    </row>
    <row r="582" spans="1:4">
      <c r="A582" s="4">
        <v>579</v>
      </c>
      <c r="B582" s="6">
        <f t="shared" si="9"/>
        <v>1.58630136986301</v>
      </c>
      <c r="C582" s="8">
        <f>'1_Inputs'!$H$5</f>
        <v>0.021114750451147</v>
      </c>
      <c r="D582" s="6">
        <f>D581*EXP(-'1_Inputs'!$H$5*(1/365))</f>
        <v>0.976633707856718</v>
      </c>
    </row>
    <row r="583" spans="1:4">
      <c r="A583" s="10">
        <v>580</v>
      </c>
      <c r="B583" s="12">
        <f t="shared" si="9"/>
        <v>1.58904109589041</v>
      </c>
      <c r="C583" s="14">
        <f>'1_Inputs'!$H$5</f>
        <v>0.021114750451147</v>
      </c>
      <c r="D583" s="12">
        <f>D582*EXP(-'1_Inputs'!$H$5*(1/365))</f>
        <v>0.976577212567469</v>
      </c>
    </row>
    <row r="584" spans="1:4">
      <c r="A584" s="4">
        <v>581</v>
      </c>
      <c r="B584" s="6">
        <f t="shared" si="9"/>
        <v>1.59178082191781</v>
      </c>
      <c r="C584" s="8">
        <f>'1_Inputs'!$H$5</f>
        <v>0.021114750451147</v>
      </c>
      <c r="D584" s="6">
        <f>D583*EXP(-'1_Inputs'!$H$5*(1/365))</f>
        <v>0.9765207205463</v>
      </c>
    </row>
    <row r="585" spans="1:4">
      <c r="A585" s="10">
        <v>582</v>
      </c>
      <c r="B585" s="12">
        <f t="shared" si="9"/>
        <v>1.59452054794521</v>
      </c>
      <c r="C585" s="14">
        <f>'1_Inputs'!$H$5</f>
        <v>0.021114750451147</v>
      </c>
      <c r="D585" s="12">
        <f>D584*EXP(-'1_Inputs'!$H$5*(1/365))</f>
        <v>0.976464231793024</v>
      </c>
    </row>
    <row r="586" spans="1:4">
      <c r="A586" s="4">
        <v>583</v>
      </c>
      <c r="B586" s="6">
        <f t="shared" si="9"/>
        <v>1.5972602739726</v>
      </c>
      <c r="C586" s="8">
        <f>'1_Inputs'!$H$5</f>
        <v>0.021114750451147</v>
      </c>
      <c r="D586" s="6">
        <f>D585*EXP(-'1_Inputs'!$H$5*(1/365))</f>
        <v>0.976407746307449</v>
      </c>
    </row>
    <row r="587" spans="1:4">
      <c r="A587" s="10">
        <v>584</v>
      </c>
      <c r="B587" s="12">
        <f t="shared" si="9"/>
        <v>1.6</v>
      </c>
      <c r="C587" s="14">
        <f>'1_Inputs'!$H$5</f>
        <v>0.021114750451147</v>
      </c>
      <c r="D587" s="12">
        <f>D586*EXP(-'1_Inputs'!$H$5*(1/365))</f>
        <v>0.976351264089389</v>
      </c>
    </row>
    <row r="588" spans="1:4">
      <c r="A588" s="4">
        <v>585</v>
      </c>
      <c r="B588" s="6">
        <f t="shared" si="9"/>
        <v>1.6027397260274</v>
      </c>
      <c r="C588" s="8">
        <f>'1_Inputs'!$H$5</f>
        <v>0.021114750451147</v>
      </c>
      <c r="D588" s="6">
        <f>D587*EXP(-'1_Inputs'!$H$5*(1/365))</f>
        <v>0.976294785138653</v>
      </c>
    </row>
    <row r="589" spans="1:4">
      <c r="A589" s="10">
        <v>586</v>
      </c>
      <c r="B589" s="12">
        <f t="shared" si="9"/>
        <v>1.60547945205479</v>
      </c>
      <c r="C589" s="14">
        <f>'1_Inputs'!$H$5</f>
        <v>0.021114750451147</v>
      </c>
      <c r="D589" s="12">
        <f>D588*EXP(-'1_Inputs'!$H$5*(1/365))</f>
        <v>0.976238309455052</v>
      </c>
    </row>
    <row r="590" spans="1:4">
      <c r="A590" s="4">
        <v>587</v>
      </c>
      <c r="B590" s="6">
        <f t="shared" si="9"/>
        <v>1.60821917808219</v>
      </c>
      <c r="C590" s="8">
        <f>'1_Inputs'!$H$5</f>
        <v>0.021114750451147</v>
      </c>
      <c r="D590" s="6">
        <f>D589*EXP(-'1_Inputs'!$H$5*(1/365))</f>
        <v>0.976181837038398</v>
      </c>
    </row>
    <row r="591" spans="1:4">
      <c r="A591" s="10">
        <v>588</v>
      </c>
      <c r="B591" s="12">
        <f t="shared" si="9"/>
        <v>1.61095890410959</v>
      </c>
      <c r="C591" s="14">
        <f>'1_Inputs'!$H$5</f>
        <v>0.021114750451147</v>
      </c>
      <c r="D591" s="12">
        <f>D590*EXP(-'1_Inputs'!$H$5*(1/365))</f>
        <v>0.976125367888501</v>
      </c>
    </row>
    <row r="592" spans="1:4">
      <c r="A592" s="4">
        <v>589</v>
      </c>
      <c r="B592" s="6">
        <f t="shared" si="9"/>
        <v>1.61369863013699</v>
      </c>
      <c r="C592" s="8">
        <f>'1_Inputs'!$H$5</f>
        <v>0.021114750451147</v>
      </c>
      <c r="D592" s="6">
        <f>D591*EXP(-'1_Inputs'!$H$5*(1/365))</f>
        <v>0.976068902005173</v>
      </c>
    </row>
    <row r="593" spans="1:4">
      <c r="A593" s="10">
        <v>590</v>
      </c>
      <c r="B593" s="12">
        <f t="shared" si="9"/>
        <v>1.61643835616438</v>
      </c>
      <c r="C593" s="14">
        <f>'1_Inputs'!$H$5</f>
        <v>0.021114750451147</v>
      </c>
      <c r="D593" s="12">
        <f>D592*EXP(-'1_Inputs'!$H$5*(1/365))</f>
        <v>0.976012439388224</v>
      </c>
    </row>
    <row r="594" spans="1:4">
      <c r="A594" s="4">
        <v>591</v>
      </c>
      <c r="B594" s="6">
        <f t="shared" si="9"/>
        <v>1.61917808219178</v>
      </c>
      <c r="C594" s="8">
        <f>'1_Inputs'!$H$5</f>
        <v>0.021114750451147</v>
      </c>
      <c r="D594" s="6">
        <f>D593*EXP(-'1_Inputs'!$H$5*(1/365))</f>
        <v>0.975955980037467</v>
      </c>
    </row>
    <row r="595" spans="1:4">
      <c r="A595" s="10">
        <v>592</v>
      </c>
      <c r="B595" s="12">
        <f t="shared" si="9"/>
        <v>1.62191780821918</v>
      </c>
      <c r="C595" s="14">
        <f>'1_Inputs'!$H$5</f>
        <v>0.021114750451147</v>
      </c>
      <c r="D595" s="12">
        <f>D594*EXP(-'1_Inputs'!$H$5*(1/365))</f>
        <v>0.975899523952711</v>
      </c>
    </row>
    <row r="596" spans="1:4">
      <c r="A596" s="4">
        <v>593</v>
      </c>
      <c r="B596" s="6">
        <f t="shared" si="9"/>
        <v>1.62465753424658</v>
      </c>
      <c r="C596" s="8">
        <f>'1_Inputs'!$H$5</f>
        <v>0.021114750451147</v>
      </c>
      <c r="D596" s="6">
        <f>D595*EXP(-'1_Inputs'!$H$5*(1/365))</f>
        <v>0.975843071133767</v>
      </c>
    </row>
    <row r="597" spans="1:4">
      <c r="A597" s="10">
        <v>594</v>
      </c>
      <c r="B597" s="12">
        <f t="shared" si="9"/>
        <v>1.62739726027397</v>
      </c>
      <c r="C597" s="14">
        <f>'1_Inputs'!$H$5</f>
        <v>0.021114750451147</v>
      </c>
      <c r="D597" s="12">
        <f>D596*EXP(-'1_Inputs'!$H$5*(1/365))</f>
        <v>0.975786621580448</v>
      </c>
    </row>
    <row r="598" spans="1:4">
      <c r="A598" s="4">
        <v>595</v>
      </c>
      <c r="B598" s="6">
        <f t="shared" si="9"/>
        <v>1.63013698630137</v>
      </c>
      <c r="C598" s="8">
        <f>'1_Inputs'!$H$5</f>
        <v>0.021114750451147</v>
      </c>
      <c r="D598" s="6">
        <f>D597*EXP(-'1_Inputs'!$H$5*(1/365))</f>
        <v>0.975730175292563</v>
      </c>
    </row>
    <row r="599" spans="1:4">
      <c r="A599" s="10">
        <v>596</v>
      </c>
      <c r="B599" s="12">
        <f t="shared" si="9"/>
        <v>1.63287671232877</v>
      </c>
      <c r="C599" s="14">
        <f>'1_Inputs'!$H$5</f>
        <v>0.021114750451147</v>
      </c>
      <c r="D599" s="12">
        <f>D598*EXP(-'1_Inputs'!$H$5*(1/365))</f>
        <v>0.975673732269924</v>
      </c>
    </row>
    <row r="600" spans="1:4">
      <c r="A600" s="4">
        <v>597</v>
      </c>
      <c r="B600" s="6">
        <f t="shared" si="9"/>
        <v>1.63561643835616</v>
      </c>
      <c r="C600" s="8">
        <f>'1_Inputs'!$H$5</f>
        <v>0.021114750451147</v>
      </c>
      <c r="D600" s="6">
        <f>D599*EXP(-'1_Inputs'!$H$5*(1/365))</f>
        <v>0.975617292512343</v>
      </c>
    </row>
    <row r="601" spans="1:4">
      <c r="A601" s="10">
        <v>598</v>
      </c>
      <c r="B601" s="12">
        <f t="shared" si="9"/>
        <v>1.63835616438356</v>
      </c>
      <c r="C601" s="14">
        <f>'1_Inputs'!$H$5</f>
        <v>0.021114750451147</v>
      </c>
      <c r="D601" s="12">
        <f>D600*EXP(-'1_Inputs'!$H$5*(1/365))</f>
        <v>0.97556085601963</v>
      </c>
    </row>
    <row r="602" spans="1:4">
      <c r="A602" s="4">
        <v>599</v>
      </c>
      <c r="B602" s="6">
        <f t="shared" si="9"/>
        <v>1.64109589041096</v>
      </c>
      <c r="C602" s="8">
        <f>'1_Inputs'!$H$5</f>
        <v>0.021114750451147</v>
      </c>
      <c r="D602" s="6">
        <f>D601*EXP(-'1_Inputs'!$H$5*(1/365))</f>
        <v>0.975504422791597</v>
      </c>
    </row>
    <row r="603" spans="1:4">
      <c r="A603" s="10">
        <v>600</v>
      </c>
      <c r="B603" s="12">
        <f t="shared" si="9"/>
        <v>1.64383561643836</v>
      </c>
      <c r="C603" s="14">
        <f>'1_Inputs'!$H$5</f>
        <v>0.021114750451147</v>
      </c>
      <c r="D603" s="12">
        <f>D602*EXP(-'1_Inputs'!$H$5*(1/365))</f>
        <v>0.975447992828054</v>
      </c>
    </row>
    <row r="604" spans="1:4">
      <c r="A604" s="4">
        <v>601</v>
      </c>
      <c r="B604" s="6">
        <f t="shared" si="9"/>
        <v>1.64657534246575</v>
      </c>
      <c r="C604" s="8">
        <f>'1_Inputs'!$H$5</f>
        <v>0.021114750451147</v>
      </c>
      <c r="D604" s="6">
        <f>D603*EXP(-'1_Inputs'!$H$5*(1/365))</f>
        <v>0.975391566128812</v>
      </c>
    </row>
    <row r="605" spans="1:4">
      <c r="A605" s="10">
        <v>602</v>
      </c>
      <c r="B605" s="12">
        <f t="shared" si="9"/>
        <v>1.64931506849315</v>
      </c>
      <c r="C605" s="14">
        <f>'1_Inputs'!$H$5</f>
        <v>0.021114750451147</v>
      </c>
      <c r="D605" s="12">
        <f>D604*EXP(-'1_Inputs'!$H$5*(1/365))</f>
        <v>0.975335142693684</v>
      </c>
    </row>
    <row r="606" spans="1:4">
      <c r="A606" s="4">
        <v>603</v>
      </c>
      <c r="B606" s="6">
        <f t="shared" si="9"/>
        <v>1.65205479452055</v>
      </c>
      <c r="C606" s="8">
        <f>'1_Inputs'!$H$5</f>
        <v>0.021114750451147</v>
      </c>
      <c r="D606" s="6">
        <f>D605*EXP(-'1_Inputs'!$H$5*(1/365))</f>
        <v>0.975278722522479</v>
      </c>
    </row>
    <row r="607" spans="1:4">
      <c r="A607" s="10">
        <v>604</v>
      </c>
      <c r="B607" s="12">
        <f t="shared" si="9"/>
        <v>1.65479452054795</v>
      </c>
      <c r="C607" s="14">
        <f>'1_Inputs'!$H$5</f>
        <v>0.021114750451147</v>
      </c>
      <c r="D607" s="12">
        <f>D606*EXP(-'1_Inputs'!$H$5*(1/365))</f>
        <v>0.97522230561501</v>
      </c>
    </row>
    <row r="608" spans="1:4">
      <c r="A608" s="4">
        <v>605</v>
      </c>
      <c r="B608" s="6">
        <f t="shared" si="9"/>
        <v>1.65753424657534</v>
      </c>
      <c r="C608" s="8">
        <f>'1_Inputs'!$H$5</f>
        <v>0.021114750451147</v>
      </c>
      <c r="D608" s="6">
        <f>D607*EXP(-'1_Inputs'!$H$5*(1/365))</f>
        <v>0.975165891971088</v>
      </c>
    </row>
    <row r="609" spans="1:4">
      <c r="A609" s="10">
        <v>606</v>
      </c>
      <c r="B609" s="12">
        <f t="shared" si="9"/>
        <v>1.66027397260274</v>
      </c>
      <c r="C609" s="14">
        <f>'1_Inputs'!$H$5</f>
        <v>0.021114750451147</v>
      </c>
      <c r="D609" s="12">
        <f>D608*EXP(-'1_Inputs'!$H$5*(1/365))</f>
        <v>0.975109481590523</v>
      </c>
    </row>
    <row r="610" spans="1:4">
      <c r="A610" s="4">
        <v>607</v>
      </c>
      <c r="B610" s="6">
        <f t="shared" si="9"/>
        <v>1.66301369863014</v>
      </c>
      <c r="C610" s="8">
        <f>'1_Inputs'!$H$5</f>
        <v>0.021114750451147</v>
      </c>
      <c r="D610" s="6">
        <f>D609*EXP(-'1_Inputs'!$H$5*(1/365))</f>
        <v>0.975053074473127</v>
      </c>
    </row>
    <row r="611" spans="1:4">
      <c r="A611" s="10">
        <v>608</v>
      </c>
      <c r="B611" s="12">
        <f t="shared" si="9"/>
        <v>1.66575342465753</v>
      </c>
      <c r="C611" s="14">
        <f>'1_Inputs'!$H$5</f>
        <v>0.021114750451147</v>
      </c>
      <c r="D611" s="12">
        <f>D610*EXP(-'1_Inputs'!$H$5*(1/365))</f>
        <v>0.974996670618712</v>
      </c>
    </row>
    <row r="612" spans="1:4">
      <c r="A612" s="4">
        <v>609</v>
      </c>
      <c r="B612" s="6">
        <f t="shared" si="9"/>
        <v>1.66849315068493</v>
      </c>
      <c r="C612" s="8">
        <f>'1_Inputs'!$H$5</f>
        <v>0.021114750451147</v>
      </c>
      <c r="D612" s="6">
        <f>D611*EXP(-'1_Inputs'!$H$5*(1/365))</f>
        <v>0.974940270027087</v>
      </c>
    </row>
    <row r="613" spans="1:4">
      <c r="A613" s="10">
        <v>610</v>
      </c>
      <c r="B613" s="12">
        <f t="shared" si="9"/>
        <v>1.67123287671233</v>
      </c>
      <c r="C613" s="14">
        <f>'1_Inputs'!$H$5</f>
        <v>0.021114750451147</v>
      </c>
      <c r="D613" s="12">
        <f>D612*EXP(-'1_Inputs'!$H$5*(1/365))</f>
        <v>0.974883872698066</v>
      </c>
    </row>
    <row r="614" spans="1:4">
      <c r="A614" s="4">
        <v>611</v>
      </c>
      <c r="B614" s="6">
        <f t="shared" si="9"/>
        <v>1.67397260273973</v>
      </c>
      <c r="C614" s="8">
        <f>'1_Inputs'!$H$5</f>
        <v>0.021114750451147</v>
      </c>
      <c r="D614" s="6">
        <f>D613*EXP(-'1_Inputs'!$H$5*(1/365))</f>
        <v>0.974827478631458</v>
      </c>
    </row>
    <row r="615" spans="1:4">
      <c r="A615" s="10">
        <v>612</v>
      </c>
      <c r="B615" s="12">
        <f t="shared" si="9"/>
        <v>1.67671232876712</v>
      </c>
      <c r="C615" s="14">
        <f>'1_Inputs'!$H$5</f>
        <v>0.021114750451147</v>
      </c>
      <c r="D615" s="12">
        <f>D614*EXP(-'1_Inputs'!$H$5*(1/365))</f>
        <v>0.974771087827075</v>
      </c>
    </row>
    <row r="616" spans="1:4">
      <c r="A616" s="4">
        <v>613</v>
      </c>
      <c r="B616" s="6">
        <f t="shared" si="9"/>
        <v>1.67945205479452</v>
      </c>
      <c r="C616" s="8">
        <f>'1_Inputs'!$H$5</f>
        <v>0.021114750451147</v>
      </c>
      <c r="D616" s="6">
        <f>D615*EXP(-'1_Inputs'!$H$5*(1/365))</f>
        <v>0.974714700284729</v>
      </c>
    </row>
    <row r="617" spans="1:4">
      <c r="A617" s="10">
        <v>614</v>
      </c>
      <c r="B617" s="12">
        <f t="shared" si="9"/>
        <v>1.68219178082192</v>
      </c>
      <c r="C617" s="14">
        <f>'1_Inputs'!$H$5</f>
        <v>0.021114750451147</v>
      </c>
      <c r="D617" s="12">
        <f>D616*EXP(-'1_Inputs'!$H$5*(1/365))</f>
        <v>0.974658316004231</v>
      </c>
    </row>
    <row r="618" spans="1:4">
      <c r="A618" s="4">
        <v>615</v>
      </c>
      <c r="B618" s="6">
        <f t="shared" si="9"/>
        <v>1.68493150684932</v>
      </c>
      <c r="C618" s="8">
        <f>'1_Inputs'!$H$5</f>
        <v>0.021114750451147</v>
      </c>
      <c r="D618" s="6">
        <f>D617*EXP(-'1_Inputs'!$H$5*(1/365))</f>
        <v>0.974601934985392</v>
      </c>
    </row>
    <row r="619" spans="1:4">
      <c r="A619" s="10">
        <v>616</v>
      </c>
      <c r="B619" s="12">
        <f t="shared" si="9"/>
        <v>1.68767123287671</v>
      </c>
      <c r="C619" s="14">
        <f>'1_Inputs'!$H$5</f>
        <v>0.021114750451147</v>
      </c>
      <c r="D619" s="12">
        <f>D618*EXP(-'1_Inputs'!$H$5*(1/365))</f>
        <v>0.974545557228023</v>
      </c>
    </row>
    <row r="620" spans="1:4">
      <c r="A620" s="4">
        <v>617</v>
      </c>
      <c r="B620" s="6">
        <f t="shared" si="9"/>
        <v>1.69041095890411</v>
      </c>
      <c r="C620" s="8">
        <f>'1_Inputs'!$H$5</f>
        <v>0.021114750451147</v>
      </c>
      <c r="D620" s="6">
        <f>D619*EXP(-'1_Inputs'!$H$5*(1/365))</f>
        <v>0.974489182731936</v>
      </c>
    </row>
    <row r="621" spans="1:4">
      <c r="A621" s="10">
        <v>618</v>
      </c>
      <c r="B621" s="12">
        <f t="shared" si="9"/>
        <v>1.69315068493151</v>
      </c>
      <c r="C621" s="14">
        <f>'1_Inputs'!$H$5</f>
        <v>0.021114750451147</v>
      </c>
      <c r="D621" s="12">
        <f>D620*EXP(-'1_Inputs'!$H$5*(1/365))</f>
        <v>0.974432811496943</v>
      </c>
    </row>
    <row r="622" spans="1:4">
      <c r="A622" s="4">
        <v>619</v>
      </c>
      <c r="B622" s="6">
        <f t="shared" si="9"/>
        <v>1.6958904109589</v>
      </c>
      <c r="C622" s="8">
        <f>'1_Inputs'!$H$5</f>
        <v>0.021114750451147</v>
      </c>
      <c r="D622" s="6">
        <f>D621*EXP(-'1_Inputs'!$H$5*(1/365))</f>
        <v>0.974376443522853</v>
      </c>
    </row>
    <row r="623" spans="1:4">
      <c r="A623" s="10">
        <v>620</v>
      </c>
      <c r="B623" s="12">
        <f t="shared" si="9"/>
        <v>1.6986301369863</v>
      </c>
      <c r="C623" s="14">
        <f>'1_Inputs'!$H$5</f>
        <v>0.021114750451147</v>
      </c>
      <c r="D623" s="12">
        <f>D622*EXP(-'1_Inputs'!$H$5*(1/365))</f>
        <v>0.97432007880948</v>
      </c>
    </row>
    <row r="624" spans="1:4">
      <c r="A624" s="4">
        <v>621</v>
      </c>
      <c r="B624" s="6">
        <f t="shared" si="9"/>
        <v>1.7013698630137</v>
      </c>
      <c r="C624" s="8">
        <f>'1_Inputs'!$H$5</f>
        <v>0.021114750451147</v>
      </c>
      <c r="D624" s="6">
        <f>D623*EXP(-'1_Inputs'!$H$5*(1/365))</f>
        <v>0.974263717356634</v>
      </c>
    </row>
    <row r="625" spans="1:4">
      <c r="A625" s="10">
        <v>622</v>
      </c>
      <c r="B625" s="12">
        <f t="shared" si="9"/>
        <v>1.7041095890411</v>
      </c>
      <c r="C625" s="14">
        <f>'1_Inputs'!$H$5</f>
        <v>0.021114750451147</v>
      </c>
      <c r="D625" s="12">
        <f>D624*EXP(-'1_Inputs'!$H$5*(1/365))</f>
        <v>0.974207359164126</v>
      </c>
    </row>
    <row r="626" spans="1:4">
      <c r="A626" s="4">
        <v>623</v>
      </c>
      <c r="B626" s="6">
        <f t="shared" si="9"/>
        <v>1.70684931506849</v>
      </c>
      <c r="C626" s="8">
        <f>'1_Inputs'!$H$5</f>
        <v>0.021114750451147</v>
      </c>
      <c r="D626" s="6">
        <f>D625*EXP(-'1_Inputs'!$H$5*(1/365))</f>
        <v>0.974151004231768</v>
      </c>
    </row>
    <row r="627" spans="1:4">
      <c r="A627" s="10">
        <v>624</v>
      </c>
      <c r="B627" s="12">
        <f t="shared" si="9"/>
        <v>1.70958904109589</v>
      </c>
      <c r="C627" s="14">
        <f>'1_Inputs'!$H$5</f>
        <v>0.021114750451147</v>
      </c>
      <c r="D627" s="12">
        <f>D626*EXP(-'1_Inputs'!$H$5*(1/365))</f>
        <v>0.974094652559372</v>
      </c>
    </row>
    <row r="628" spans="1:4">
      <c r="A628" s="4">
        <v>625</v>
      </c>
      <c r="B628" s="6">
        <f t="shared" si="9"/>
        <v>1.71232876712329</v>
      </c>
      <c r="C628" s="8">
        <f>'1_Inputs'!$H$5</f>
        <v>0.021114750451147</v>
      </c>
      <c r="D628" s="6">
        <f>D627*EXP(-'1_Inputs'!$H$5*(1/365))</f>
        <v>0.974038304146749</v>
      </c>
    </row>
    <row r="629" spans="1:4">
      <c r="A629" s="10">
        <v>626</v>
      </c>
      <c r="B629" s="12">
        <f t="shared" si="9"/>
        <v>1.71506849315068</v>
      </c>
      <c r="C629" s="14">
        <f>'1_Inputs'!$H$5</f>
        <v>0.021114750451147</v>
      </c>
      <c r="D629" s="12">
        <f>D628*EXP(-'1_Inputs'!$H$5*(1/365))</f>
        <v>0.97398195899371</v>
      </c>
    </row>
    <row r="630" spans="1:4">
      <c r="A630" s="4">
        <v>627</v>
      </c>
      <c r="B630" s="6">
        <f t="shared" si="9"/>
        <v>1.71780821917808</v>
      </c>
      <c r="C630" s="8">
        <f>'1_Inputs'!$H$5</f>
        <v>0.021114750451147</v>
      </c>
      <c r="D630" s="6">
        <f>D629*EXP(-'1_Inputs'!$H$5*(1/365))</f>
        <v>0.973925617100066</v>
      </c>
    </row>
    <row r="631" spans="1:4">
      <c r="A631" s="10">
        <v>628</v>
      </c>
      <c r="B631" s="12">
        <f t="shared" si="9"/>
        <v>1.72054794520548</v>
      </c>
      <c r="C631" s="14">
        <f>'1_Inputs'!$H$5</f>
        <v>0.021114750451147</v>
      </c>
      <c r="D631" s="12">
        <f>D630*EXP(-'1_Inputs'!$H$5*(1/365))</f>
        <v>0.97386927846563</v>
      </c>
    </row>
    <row r="632" spans="1:4">
      <c r="A632" s="4">
        <v>629</v>
      </c>
      <c r="B632" s="6">
        <f t="shared" si="9"/>
        <v>1.72328767123288</v>
      </c>
      <c r="C632" s="8">
        <f>'1_Inputs'!$H$5</f>
        <v>0.021114750451147</v>
      </c>
      <c r="D632" s="6">
        <f>D631*EXP(-'1_Inputs'!$H$5*(1/365))</f>
        <v>0.973812943090212</v>
      </c>
    </row>
    <row r="633" spans="1:4">
      <c r="A633" s="10">
        <v>630</v>
      </c>
      <c r="B633" s="12">
        <f t="shared" si="9"/>
        <v>1.72602739726027</v>
      </c>
      <c r="C633" s="14">
        <f>'1_Inputs'!$H$5</f>
        <v>0.021114750451147</v>
      </c>
      <c r="D633" s="12">
        <f>D632*EXP(-'1_Inputs'!$H$5*(1/365))</f>
        <v>0.973756610973625</v>
      </c>
    </row>
    <row r="634" spans="1:4">
      <c r="A634" s="4">
        <v>631</v>
      </c>
      <c r="B634" s="6">
        <f t="shared" si="9"/>
        <v>1.72876712328767</v>
      </c>
      <c r="C634" s="8">
        <f>'1_Inputs'!$H$5</f>
        <v>0.021114750451147</v>
      </c>
      <c r="D634" s="6">
        <f>D633*EXP(-'1_Inputs'!$H$5*(1/365))</f>
        <v>0.973700282115679</v>
      </c>
    </row>
    <row r="635" spans="1:4">
      <c r="A635" s="10">
        <v>632</v>
      </c>
      <c r="B635" s="12">
        <f t="shared" si="9"/>
        <v>1.73150684931507</v>
      </c>
      <c r="C635" s="14">
        <f>'1_Inputs'!$H$5</f>
        <v>0.021114750451147</v>
      </c>
      <c r="D635" s="12">
        <f>D634*EXP(-'1_Inputs'!$H$5*(1/365))</f>
        <v>0.973643956516186</v>
      </c>
    </row>
    <row r="636" spans="1:4">
      <c r="A636" s="4">
        <v>633</v>
      </c>
      <c r="B636" s="6">
        <f t="shared" si="9"/>
        <v>1.73424657534247</v>
      </c>
      <c r="C636" s="8">
        <f>'1_Inputs'!$H$5</f>
        <v>0.021114750451147</v>
      </c>
      <c r="D636" s="6">
        <f>D635*EXP(-'1_Inputs'!$H$5*(1/365))</f>
        <v>0.973587634174958</v>
      </c>
    </row>
    <row r="637" spans="1:4">
      <c r="A637" s="10">
        <v>634</v>
      </c>
      <c r="B637" s="12">
        <f t="shared" si="9"/>
        <v>1.73698630136986</v>
      </c>
      <c r="C637" s="14">
        <f>'1_Inputs'!$H$5</f>
        <v>0.021114750451147</v>
      </c>
      <c r="D637" s="12">
        <f>D636*EXP(-'1_Inputs'!$H$5*(1/365))</f>
        <v>0.973531315091806</v>
      </c>
    </row>
    <row r="638" spans="1:4">
      <c r="A638" s="4">
        <v>635</v>
      </c>
      <c r="B638" s="6">
        <f t="shared" si="9"/>
        <v>1.73972602739726</v>
      </c>
      <c r="C638" s="8">
        <f>'1_Inputs'!$H$5</f>
        <v>0.021114750451147</v>
      </c>
      <c r="D638" s="6">
        <f>D637*EXP(-'1_Inputs'!$H$5*(1/365))</f>
        <v>0.973474999266541</v>
      </c>
    </row>
    <row r="639" spans="1:4">
      <c r="A639" s="10">
        <v>636</v>
      </c>
      <c r="B639" s="12">
        <f t="shared" si="9"/>
        <v>1.74246575342466</v>
      </c>
      <c r="C639" s="14">
        <f>'1_Inputs'!$H$5</f>
        <v>0.021114750451147</v>
      </c>
      <c r="D639" s="12">
        <f>D638*EXP(-'1_Inputs'!$H$5*(1/365))</f>
        <v>0.973418686698976</v>
      </c>
    </row>
    <row r="640" spans="1:4">
      <c r="A640" s="4">
        <v>637</v>
      </c>
      <c r="B640" s="6">
        <f t="shared" si="9"/>
        <v>1.74520547945205</v>
      </c>
      <c r="C640" s="8">
        <f>'1_Inputs'!$H$5</f>
        <v>0.021114750451147</v>
      </c>
      <c r="D640" s="6">
        <f>D639*EXP(-'1_Inputs'!$H$5*(1/365))</f>
        <v>0.973362377388922</v>
      </c>
    </row>
    <row r="641" spans="1:5">
      <c r="A641" s="10">
        <v>638</v>
      </c>
      <c r="B641" s="12">
        <f t="shared" si="9"/>
        <v>1.74794520547945</v>
      </c>
      <c r="C641" s="14">
        <f>'1_Inputs'!$H$5</f>
        <v>0.021114750451147</v>
      </c>
      <c r="D641" s="12">
        <f>D640*EXP(-'1_Inputs'!$H$5*(1/365))</f>
        <v>0.97330607133619</v>
      </c>
      <c r="E641" s="43" t="s">
        <v>59</v>
      </c>
    </row>
    <row r="642" spans="1:5">
      <c r="A642" s="4">
        <v>639</v>
      </c>
      <c r="B642" s="6">
        <f t="shared" si="9"/>
        <v>1.75068493150685</v>
      </c>
      <c r="C642" s="8">
        <f>'1_Inputs'!$H$5</f>
        <v>0.021114750451147</v>
      </c>
      <c r="D642" s="6">
        <f>D641*EXP(-'1_Inputs'!$H$5*(1/365))</f>
        <v>0.973249768540591</v>
      </c>
    </row>
    <row r="643" spans="1:5">
      <c r="A643" s="10">
        <v>640</v>
      </c>
      <c r="B643" s="12">
        <f t="shared" ref="B643:B706" si="10">A643/365</f>
        <v>1.75342465753425</v>
      </c>
      <c r="C643" s="14">
        <f>'1_Inputs'!$H$5</f>
        <v>0.021114750451147</v>
      </c>
      <c r="D643" s="12">
        <f>D642*EXP(-'1_Inputs'!$H$5*(1/365))</f>
        <v>0.973193469001938</v>
      </c>
    </row>
    <row r="644" spans="1:5">
      <c r="A644" s="4">
        <v>641</v>
      </c>
      <c r="B644" s="6">
        <f t="shared" si="10"/>
        <v>1.75616438356164</v>
      </c>
      <c r="C644" s="8">
        <f>'1_Inputs'!$H$5</f>
        <v>0.021114750451147</v>
      </c>
      <c r="D644" s="6">
        <f>D643*EXP(-'1_Inputs'!$H$5*(1/365))</f>
        <v>0.973137172720043</v>
      </c>
    </row>
    <row r="645" spans="1:5">
      <c r="A645" s="10">
        <v>642</v>
      </c>
      <c r="B645" s="12">
        <f t="shared" si="10"/>
        <v>1.75890410958904</v>
      </c>
      <c r="C645" s="14">
        <f>'1_Inputs'!$H$5</f>
        <v>0.021114750451147</v>
      </c>
      <c r="D645" s="12">
        <f>D644*EXP(-'1_Inputs'!$H$5*(1/365))</f>
        <v>0.973080879694715</v>
      </c>
    </row>
    <row r="646" spans="1:5">
      <c r="A646" s="4">
        <v>643</v>
      </c>
      <c r="B646" s="6">
        <f t="shared" si="10"/>
        <v>1.76164383561644</v>
      </c>
      <c r="C646" s="8">
        <f>'1_Inputs'!$H$5</f>
        <v>0.021114750451147</v>
      </c>
      <c r="D646" s="6">
        <f>D645*EXP(-'1_Inputs'!$H$5*(1/365))</f>
        <v>0.973024589925768</v>
      </c>
    </row>
    <row r="647" spans="1:5">
      <c r="A647" s="10">
        <v>644</v>
      </c>
      <c r="B647" s="12">
        <f t="shared" si="10"/>
        <v>1.76438356164384</v>
      </c>
      <c r="C647" s="14">
        <f>'1_Inputs'!$H$5</f>
        <v>0.021114750451147</v>
      </c>
      <c r="D647" s="12">
        <f>D646*EXP(-'1_Inputs'!$H$5*(1/365))</f>
        <v>0.972968303413014</v>
      </c>
    </row>
    <row r="648" spans="1:5">
      <c r="A648" s="4">
        <v>645</v>
      </c>
      <c r="B648" s="6">
        <f t="shared" si="10"/>
        <v>1.76712328767123</v>
      </c>
      <c r="C648" s="8">
        <f>'1_Inputs'!$H$5</f>
        <v>0.021114750451147</v>
      </c>
      <c r="D648" s="6">
        <f>D647*EXP(-'1_Inputs'!$H$5*(1/365))</f>
        <v>0.972912020156262</v>
      </c>
    </row>
    <row r="649" spans="1:5">
      <c r="A649" s="10">
        <v>646</v>
      </c>
      <c r="B649" s="12">
        <f t="shared" si="10"/>
        <v>1.76986301369863</v>
      </c>
      <c r="C649" s="14">
        <f>'1_Inputs'!$H$5</f>
        <v>0.021114750451147</v>
      </c>
      <c r="D649" s="12">
        <f>D648*EXP(-'1_Inputs'!$H$5*(1/365))</f>
        <v>0.972855740155326</v>
      </c>
    </row>
    <row r="650" spans="1:5">
      <c r="A650" s="4">
        <v>647</v>
      </c>
      <c r="B650" s="6">
        <f t="shared" si="10"/>
        <v>1.77260273972603</v>
      </c>
      <c r="C650" s="8">
        <f>'1_Inputs'!$H$5</f>
        <v>0.021114750451147</v>
      </c>
      <c r="D650" s="6">
        <f>D649*EXP(-'1_Inputs'!$H$5*(1/365))</f>
        <v>0.972799463410016</v>
      </c>
    </row>
    <row r="651" spans="1:5">
      <c r="A651" s="10">
        <v>648</v>
      </c>
      <c r="B651" s="12">
        <f t="shared" si="10"/>
        <v>1.77534246575342</v>
      </c>
      <c r="C651" s="14">
        <f>'1_Inputs'!$H$5</f>
        <v>0.021114750451147</v>
      </c>
      <c r="D651" s="12">
        <f>D650*EXP(-'1_Inputs'!$H$5*(1/365))</f>
        <v>0.972743189920146</v>
      </c>
    </row>
    <row r="652" spans="1:5">
      <c r="A652" s="4">
        <v>649</v>
      </c>
      <c r="B652" s="6">
        <f t="shared" si="10"/>
        <v>1.77808219178082</v>
      </c>
      <c r="C652" s="8">
        <f>'1_Inputs'!$H$5</f>
        <v>0.021114750451147</v>
      </c>
      <c r="D652" s="6">
        <f>D651*EXP(-'1_Inputs'!$H$5*(1/365))</f>
        <v>0.972686919685525</v>
      </c>
    </row>
    <row r="653" spans="1:5">
      <c r="A653" s="10">
        <v>650</v>
      </c>
      <c r="B653" s="12">
        <f t="shared" si="10"/>
        <v>1.78082191780822</v>
      </c>
      <c r="C653" s="14">
        <f>'1_Inputs'!$H$5</f>
        <v>0.021114750451147</v>
      </c>
      <c r="D653" s="12">
        <f>D652*EXP(-'1_Inputs'!$H$5*(1/365))</f>
        <v>0.972630652705966</v>
      </c>
    </row>
    <row r="654" spans="1:5">
      <c r="A654" s="4">
        <v>651</v>
      </c>
      <c r="B654" s="6">
        <f t="shared" si="10"/>
        <v>1.78356164383562</v>
      </c>
      <c r="C654" s="8">
        <f>'1_Inputs'!$H$5</f>
        <v>0.021114750451147</v>
      </c>
      <c r="D654" s="6">
        <f>D653*EXP(-'1_Inputs'!$H$5*(1/365))</f>
        <v>0.972574388981281</v>
      </c>
    </row>
    <row r="655" spans="1:5">
      <c r="A655" s="10">
        <v>652</v>
      </c>
      <c r="B655" s="12">
        <f t="shared" si="10"/>
        <v>1.78630136986301</v>
      </c>
      <c r="C655" s="14">
        <f>'1_Inputs'!$H$5</f>
        <v>0.021114750451147</v>
      </c>
      <c r="D655" s="12">
        <f>D654*EXP(-'1_Inputs'!$H$5*(1/365))</f>
        <v>0.972518128511281</v>
      </c>
    </row>
    <row r="656" spans="1:5">
      <c r="A656" s="4">
        <v>653</v>
      </c>
      <c r="B656" s="6">
        <f t="shared" si="10"/>
        <v>1.78904109589041</v>
      </c>
      <c r="C656" s="8">
        <f>'1_Inputs'!$H$5</f>
        <v>0.021114750451147</v>
      </c>
      <c r="D656" s="6">
        <f>D655*EXP(-'1_Inputs'!$H$5*(1/365))</f>
        <v>0.972461871295779</v>
      </c>
    </row>
    <row r="657" spans="1:4">
      <c r="A657" s="10">
        <v>654</v>
      </c>
      <c r="B657" s="12">
        <f t="shared" si="10"/>
        <v>1.79178082191781</v>
      </c>
      <c r="C657" s="14">
        <f>'1_Inputs'!$H$5</f>
        <v>0.021114750451147</v>
      </c>
      <c r="D657" s="12">
        <f>D656*EXP(-'1_Inputs'!$H$5*(1/365))</f>
        <v>0.972405617334585</v>
      </c>
    </row>
    <row r="658" spans="1:4">
      <c r="A658" s="4">
        <v>655</v>
      </c>
      <c r="B658" s="6">
        <f t="shared" si="10"/>
        <v>1.79452054794521</v>
      </c>
      <c r="C658" s="8">
        <f>'1_Inputs'!$H$5</f>
        <v>0.021114750451147</v>
      </c>
      <c r="D658" s="6">
        <f>D657*EXP(-'1_Inputs'!$H$5*(1/365))</f>
        <v>0.972349366627511</v>
      </c>
    </row>
    <row r="659" spans="1:4">
      <c r="A659" s="10">
        <v>656</v>
      </c>
      <c r="B659" s="12">
        <f t="shared" si="10"/>
        <v>1.7972602739726</v>
      </c>
      <c r="C659" s="14">
        <f>'1_Inputs'!$H$5</f>
        <v>0.021114750451147</v>
      </c>
      <c r="D659" s="12">
        <f>D658*EXP(-'1_Inputs'!$H$5*(1/365))</f>
        <v>0.97229311917437</v>
      </c>
    </row>
    <row r="660" spans="1:4">
      <c r="A660" s="4">
        <v>657</v>
      </c>
      <c r="B660" s="6">
        <f t="shared" si="10"/>
        <v>1.8</v>
      </c>
      <c r="C660" s="8">
        <f>'1_Inputs'!$H$5</f>
        <v>0.021114750451147</v>
      </c>
      <c r="D660" s="6">
        <f>D659*EXP(-'1_Inputs'!$H$5*(1/365))</f>
        <v>0.972236874974973</v>
      </c>
    </row>
    <row r="661" spans="1:4">
      <c r="A661" s="10">
        <v>658</v>
      </c>
      <c r="B661" s="12">
        <f t="shared" si="10"/>
        <v>1.8027397260274</v>
      </c>
      <c r="C661" s="14">
        <f>'1_Inputs'!$H$5</f>
        <v>0.021114750451147</v>
      </c>
      <c r="D661" s="12">
        <f>D660*EXP(-'1_Inputs'!$H$5*(1/365))</f>
        <v>0.972180634029132</v>
      </c>
    </row>
    <row r="662" spans="1:4">
      <c r="A662" s="4">
        <v>659</v>
      </c>
      <c r="B662" s="6">
        <f t="shared" si="10"/>
        <v>1.80547945205479</v>
      </c>
      <c r="C662" s="8">
        <f>'1_Inputs'!$H$5</f>
        <v>0.021114750451147</v>
      </c>
      <c r="D662" s="6">
        <f>D661*EXP(-'1_Inputs'!$H$5*(1/365))</f>
        <v>0.972124396336659</v>
      </c>
    </row>
    <row r="663" spans="1:4">
      <c r="A663" s="10">
        <v>660</v>
      </c>
      <c r="B663" s="12">
        <f t="shared" si="10"/>
        <v>1.80821917808219</v>
      </c>
      <c r="C663" s="14">
        <f>'1_Inputs'!$H$5</f>
        <v>0.021114750451147</v>
      </c>
      <c r="D663" s="12">
        <f>D662*EXP(-'1_Inputs'!$H$5*(1/365))</f>
        <v>0.972068161897365</v>
      </c>
    </row>
    <row r="664" spans="1:4">
      <c r="A664" s="4">
        <v>661</v>
      </c>
      <c r="B664" s="6">
        <f t="shared" si="10"/>
        <v>1.81095890410959</v>
      </c>
      <c r="C664" s="8">
        <f>'1_Inputs'!$H$5</f>
        <v>0.021114750451147</v>
      </c>
      <c r="D664" s="6">
        <f>D663*EXP(-'1_Inputs'!$H$5*(1/365))</f>
        <v>0.972011930711062</v>
      </c>
    </row>
    <row r="665" spans="1:4">
      <c r="A665" s="10">
        <v>662</v>
      </c>
      <c r="B665" s="12">
        <f t="shared" si="10"/>
        <v>1.81369863013699</v>
      </c>
      <c r="C665" s="14">
        <f>'1_Inputs'!$H$5</f>
        <v>0.021114750451147</v>
      </c>
      <c r="D665" s="12">
        <f>D664*EXP(-'1_Inputs'!$H$5*(1/365))</f>
        <v>0.971955702777562</v>
      </c>
    </row>
    <row r="666" spans="1:4">
      <c r="A666" s="4">
        <v>663</v>
      </c>
      <c r="B666" s="6">
        <f t="shared" si="10"/>
        <v>1.81643835616438</v>
      </c>
      <c r="C666" s="8">
        <f>'1_Inputs'!$H$5</f>
        <v>0.021114750451147</v>
      </c>
      <c r="D666" s="6">
        <f>D665*EXP(-'1_Inputs'!$H$5*(1/365))</f>
        <v>0.971899478096677</v>
      </c>
    </row>
    <row r="667" spans="1:4">
      <c r="A667" s="10">
        <v>664</v>
      </c>
      <c r="B667" s="12">
        <f t="shared" si="10"/>
        <v>1.81917808219178</v>
      </c>
      <c r="C667" s="14">
        <f>'1_Inputs'!$H$5</f>
        <v>0.021114750451147</v>
      </c>
      <c r="D667" s="12">
        <f>D666*EXP(-'1_Inputs'!$H$5*(1/365))</f>
        <v>0.971843256668219</v>
      </c>
    </row>
    <row r="668" spans="1:4">
      <c r="A668" s="4">
        <v>665</v>
      </c>
      <c r="B668" s="6">
        <f t="shared" si="10"/>
        <v>1.82191780821918</v>
      </c>
      <c r="C668" s="8">
        <f>'1_Inputs'!$H$5</f>
        <v>0.021114750451147</v>
      </c>
      <c r="D668" s="6">
        <f>D667*EXP(-'1_Inputs'!$H$5*(1/365))</f>
        <v>0.971787038492</v>
      </c>
    </row>
    <row r="669" spans="1:4">
      <c r="A669" s="10">
        <v>666</v>
      </c>
      <c r="B669" s="12">
        <f t="shared" si="10"/>
        <v>1.82465753424658</v>
      </c>
      <c r="C669" s="14">
        <f>'1_Inputs'!$H$5</f>
        <v>0.021114750451147</v>
      </c>
      <c r="D669" s="12">
        <f>D668*EXP(-'1_Inputs'!$H$5*(1/365))</f>
        <v>0.971730823567831</v>
      </c>
    </row>
    <row r="670" spans="1:4">
      <c r="A670" s="4">
        <v>667</v>
      </c>
      <c r="B670" s="6">
        <f t="shared" si="10"/>
        <v>1.82739726027397</v>
      </c>
      <c r="C670" s="8">
        <f>'1_Inputs'!$H$5</f>
        <v>0.021114750451147</v>
      </c>
      <c r="D670" s="6">
        <f>D669*EXP(-'1_Inputs'!$H$5*(1/365))</f>
        <v>0.971674611895524</v>
      </c>
    </row>
    <row r="671" spans="1:4">
      <c r="A671" s="10">
        <v>668</v>
      </c>
      <c r="B671" s="12">
        <f t="shared" si="10"/>
        <v>1.83013698630137</v>
      </c>
      <c r="C671" s="14">
        <f>'1_Inputs'!$H$5</f>
        <v>0.021114750451147</v>
      </c>
      <c r="D671" s="12">
        <f>D670*EXP(-'1_Inputs'!$H$5*(1/365))</f>
        <v>0.971618403474892</v>
      </c>
    </row>
    <row r="672" spans="1:4">
      <c r="A672" s="4">
        <v>669</v>
      </c>
      <c r="B672" s="6">
        <f t="shared" si="10"/>
        <v>1.83287671232877</v>
      </c>
      <c r="C672" s="8">
        <f>'1_Inputs'!$H$5</f>
        <v>0.021114750451147</v>
      </c>
      <c r="D672" s="6">
        <f>D671*EXP(-'1_Inputs'!$H$5*(1/365))</f>
        <v>0.971562198305746</v>
      </c>
    </row>
    <row r="673" spans="1:4">
      <c r="A673" s="10">
        <v>670</v>
      </c>
      <c r="B673" s="12">
        <f t="shared" si="10"/>
        <v>1.83561643835616</v>
      </c>
      <c r="C673" s="14">
        <f>'1_Inputs'!$H$5</f>
        <v>0.021114750451147</v>
      </c>
      <c r="D673" s="12">
        <f>D672*EXP(-'1_Inputs'!$H$5*(1/365))</f>
        <v>0.971505996387898</v>
      </c>
    </row>
    <row r="674" spans="1:4">
      <c r="A674" s="4">
        <v>671</v>
      </c>
      <c r="B674" s="6">
        <f t="shared" si="10"/>
        <v>1.83835616438356</v>
      </c>
      <c r="C674" s="8">
        <f>'1_Inputs'!$H$5</f>
        <v>0.021114750451147</v>
      </c>
      <c r="D674" s="6">
        <f>D673*EXP(-'1_Inputs'!$H$5*(1/365))</f>
        <v>0.97144979772116</v>
      </c>
    </row>
    <row r="675" spans="1:4">
      <c r="A675" s="10">
        <v>672</v>
      </c>
      <c r="B675" s="12">
        <f t="shared" si="10"/>
        <v>1.84109589041096</v>
      </c>
      <c r="C675" s="14">
        <f>'1_Inputs'!$H$5</f>
        <v>0.021114750451147</v>
      </c>
      <c r="D675" s="12">
        <f>D674*EXP(-'1_Inputs'!$H$5*(1/365))</f>
        <v>0.971393602305343</v>
      </c>
    </row>
    <row r="676" spans="1:4">
      <c r="A676" s="4">
        <v>673</v>
      </c>
      <c r="B676" s="6">
        <f t="shared" si="10"/>
        <v>1.84383561643836</v>
      </c>
      <c r="C676" s="8">
        <f>'1_Inputs'!$H$5</f>
        <v>0.021114750451147</v>
      </c>
      <c r="D676" s="6">
        <f>D675*EXP(-'1_Inputs'!$H$5*(1/365))</f>
        <v>0.971337410140261</v>
      </c>
    </row>
    <row r="677" spans="1:4">
      <c r="A677" s="10">
        <v>674</v>
      </c>
      <c r="B677" s="12">
        <f t="shared" si="10"/>
        <v>1.84657534246575</v>
      </c>
      <c r="C677" s="14">
        <f>'1_Inputs'!$H$5</f>
        <v>0.021114750451147</v>
      </c>
      <c r="D677" s="12">
        <f>D676*EXP(-'1_Inputs'!$H$5*(1/365))</f>
        <v>0.971281221225725</v>
      </c>
    </row>
    <row r="678" spans="1:4">
      <c r="A678" s="4">
        <v>675</v>
      </c>
      <c r="B678" s="6">
        <f t="shared" si="10"/>
        <v>1.84931506849315</v>
      </c>
      <c r="C678" s="8">
        <f>'1_Inputs'!$H$5</f>
        <v>0.021114750451147</v>
      </c>
      <c r="D678" s="6">
        <f>D677*EXP(-'1_Inputs'!$H$5*(1/365))</f>
        <v>0.971225035561546</v>
      </c>
    </row>
    <row r="679" spans="1:4">
      <c r="A679" s="10">
        <v>676</v>
      </c>
      <c r="B679" s="12">
        <f t="shared" si="10"/>
        <v>1.85205479452055</v>
      </c>
      <c r="C679" s="14">
        <f>'1_Inputs'!$H$5</f>
        <v>0.021114750451147</v>
      </c>
      <c r="D679" s="12">
        <f>D678*EXP(-'1_Inputs'!$H$5*(1/365))</f>
        <v>0.971168853147537</v>
      </c>
    </row>
    <row r="680" spans="1:4">
      <c r="A680" s="4">
        <v>677</v>
      </c>
      <c r="B680" s="6">
        <f t="shared" si="10"/>
        <v>1.85479452054795</v>
      </c>
      <c r="C680" s="8">
        <f>'1_Inputs'!$H$5</f>
        <v>0.021114750451147</v>
      </c>
      <c r="D680" s="6">
        <f>D679*EXP(-'1_Inputs'!$H$5*(1/365))</f>
        <v>0.97111267398351</v>
      </c>
    </row>
    <row r="681" spans="1:4">
      <c r="A681" s="10">
        <v>678</v>
      </c>
      <c r="B681" s="12">
        <f t="shared" si="10"/>
        <v>1.85753424657534</v>
      </c>
      <c r="C681" s="14">
        <f>'1_Inputs'!$H$5</f>
        <v>0.021114750451147</v>
      </c>
      <c r="D681" s="12">
        <f>D680*EXP(-'1_Inputs'!$H$5*(1/365))</f>
        <v>0.971056498069276</v>
      </c>
    </row>
    <row r="682" spans="1:4">
      <c r="A682" s="4">
        <v>679</v>
      </c>
      <c r="B682" s="6">
        <f t="shared" si="10"/>
        <v>1.86027397260274</v>
      </c>
      <c r="C682" s="8">
        <f>'1_Inputs'!$H$5</f>
        <v>0.021114750451147</v>
      </c>
      <c r="D682" s="6">
        <f>D681*EXP(-'1_Inputs'!$H$5*(1/365))</f>
        <v>0.971000325404649</v>
      </c>
    </row>
    <row r="683" spans="1:4">
      <c r="A683" s="10">
        <v>680</v>
      </c>
      <c r="B683" s="12">
        <f t="shared" si="10"/>
        <v>1.86301369863014</v>
      </c>
      <c r="C683" s="14">
        <f>'1_Inputs'!$H$5</f>
        <v>0.021114750451147</v>
      </c>
      <c r="D683" s="12">
        <f>D682*EXP(-'1_Inputs'!$H$5*(1/365))</f>
        <v>0.970944155989439</v>
      </c>
    </row>
    <row r="684" spans="1:4">
      <c r="A684" s="4">
        <v>681</v>
      </c>
      <c r="B684" s="6">
        <f t="shared" si="10"/>
        <v>1.86575342465753</v>
      </c>
      <c r="C684" s="8">
        <f>'1_Inputs'!$H$5</f>
        <v>0.021114750451147</v>
      </c>
      <c r="D684" s="6">
        <f>D683*EXP(-'1_Inputs'!$H$5*(1/365))</f>
        <v>0.970887989823459</v>
      </c>
    </row>
    <row r="685" spans="1:4">
      <c r="A685" s="10">
        <v>682</v>
      </c>
      <c r="B685" s="12">
        <f t="shared" si="10"/>
        <v>1.86849315068493</v>
      </c>
      <c r="C685" s="14">
        <f>'1_Inputs'!$H$5</f>
        <v>0.021114750451147</v>
      </c>
      <c r="D685" s="12">
        <f>D684*EXP(-'1_Inputs'!$H$5*(1/365))</f>
        <v>0.97083182690652</v>
      </c>
    </row>
    <row r="686" spans="1:4">
      <c r="A686" s="4">
        <v>683</v>
      </c>
      <c r="B686" s="6">
        <f t="shared" si="10"/>
        <v>1.87123287671233</v>
      </c>
      <c r="C686" s="8">
        <f>'1_Inputs'!$H$5</f>
        <v>0.021114750451147</v>
      </c>
      <c r="D686" s="6">
        <f>D685*EXP(-'1_Inputs'!$H$5*(1/365))</f>
        <v>0.970775667238436</v>
      </c>
    </row>
    <row r="687" spans="1:4">
      <c r="A687" s="10">
        <v>684</v>
      </c>
      <c r="B687" s="12">
        <f t="shared" si="10"/>
        <v>1.87397260273973</v>
      </c>
      <c r="C687" s="14">
        <f>'1_Inputs'!$H$5</f>
        <v>0.021114750451147</v>
      </c>
      <c r="D687" s="12">
        <f>D686*EXP(-'1_Inputs'!$H$5*(1/365))</f>
        <v>0.970719510819018</v>
      </c>
    </row>
    <row r="688" spans="1:4">
      <c r="A688" s="4">
        <v>685</v>
      </c>
      <c r="B688" s="6">
        <f t="shared" si="10"/>
        <v>1.87671232876712</v>
      </c>
      <c r="C688" s="8">
        <f>'1_Inputs'!$H$5</f>
        <v>0.021114750451147</v>
      </c>
      <c r="D688" s="6">
        <f>D687*EXP(-'1_Inputs'!$H$5*(1/365))</f>
        <v>0.970663357648078</v>
      </c>
    </row>
    <row r="689" spans="1:4">
      <c r="A689" s="10">
        <v>686</v>
      </c>
      <c r="B689" s="12">
        <f t="shared" si="10"/>
        <v>1.87945205479452</v>
      </c>
      <c r="C689" s="14">
        <f>'1_Inputs'!$H$5</f>
        <v>0.021114750451147</v>
      </c>
      <c r="D689" s="12">
        <f>D688*EXP(-'1_Inputs'!$H$5*(1/365))</f>
        <v>0.970607207725427</v>
      </c>
    </row>
    <row r="690" spans="1:4">
      <c r="A690" s="4">
        <v>687</v>
      </c>
      <c r="B690" s="6">
        <f t="shared" si="10"/>
        <v>1.88219178082192</v>
      </c>
      <c r="C690" s="8">
        <f>'1_Inputs'!$H$5</f>
        <v>0.021114750451147</v>
      </c>
      <c r="D690" s="6">
        <f>D689*EXP(-'1_Inputs'!$H$5*(1/365))</f>
        <v>0.97055106105088</v>
      </c>
    </row>
    <row r="691" spans="1:4">
      <c r="A691" s="10">
        <v>688</v>
      </c>
      <c r="B691" s="12">
        <f t="shared" si="10"/>
        <v>1.88493150684932</v>
      </c>
      <c r="C691" s="14">
        <f>'1_Inputs'!$H$5</f>
        <v>0.021114750451147</v>
      </c>
      <c r="D691" s="12">
        <f>D690*EXP(-'1_Inputs'!$H$5*(1/365))</f>
        <v>0.970494917624246</v>
      </c>
    </row>
    <row r="692" spans="1:4">
      <c r="A692" s="4">
        <v>689</v>
      </c>
      <c r="B692" s="6">
        <f t="shared" si="10"/>
        <v>1.88767123287671</v>
      </c>
      <c r="C692" s="8">
        <f>'1_Inputs'!$H$5</f>
        <v>0.021114750451147</v>
      </c>
      <c r="D692" s="6">
        <f>D691*EXP(-'1_Inputs'!$H$5*(1/365))</f>
        <v>0.970438777445339</v>
      </c>
    </row>
    <row r="693" spans="1:4">
      <c r="A693" s="10">
        <v>690</v>
      </c>
      <c r="B693" s="12">
        <f t="shared" si="10"/>
        <v>1.89041095890411</v>
      </c>
      <c r="C693" s="14">
        <f>'1_Inputs'!$H$5</f>
        <v>0.021114750451147</v>
      </c>
      <c r="D693" s="12">
        <f>D692*EXP(-'1_Inputs'!$H$5*(1/365))</f>
        <v>0.97038264051397</v>
      </c>
    </row>
    <row r="694" spans="1:4">
      <c r="A694" s="4">
        <v>691</v>
      </c>
      <c r="B694" s="6">
        <f t="shared" si="10"/>
        <v>1.89315068493151</v>
      </c>
      <c r="C694" s="8">
        <f>'1_Inputs'!$H$5</f>
        <v>0.021114750451147</v>
      </c>
      <c r="D694" s="6">
        <f>D693*EXP(-'1_Inputs'!$H$5*(1/365))</f>
        <v>0.970326506829952</v>
      </c>
    </row>
    <row r="695" spans="1:4">
      <c r="A695" s="10">
        <v>692</v>
      </c>
      <c r="B695" s="12">
        <f t="shared" si="10"/>
        <v>1.8958904109589</v>
      </c>
      <c r="C695" s="14">
        <f>'1_Inputs'!$H$5</f>
        <v>0.021114750451147</v>
      </c>
      <c r="D695" s="12">
        <f>D694*EXP(-'1_Inputs'!$H$5*(1/365))</f>
        <v>0.970270376393098</v>
      </c>
    </row>
    <row r="696" spans="1:4">
      <c r="A696" s="4">
        <v>693</v>
      </c>
      <c r="B696" s="6">
        <f t="shared" si="10"/>
        <v>1.8986301369863</v>
      </c>
      <c r="C696" s="8">
        <f>'1_Inputs'!$H$5</f>
        <v>0.021114750451147</v>
      </c>
      <c r="D696" s="6">
        <f>D695*EXP(-'1_Inputs'!$H$5*(1/365))</f>
        <v>0.970214249203218</v>
      </c>
    </row>
    <row r="697" spans="1:4">
      <c r="A697" s="10">
        <v>694</v>
      </c>
      <c r="B697" s="12">
        <f t="shared" si="10"/>
        <v>1.9013698630137</v>
      </c>
      <c r="C697" s="14">
        <f>'1_Inputs'!$H$5</f>
        <v>0.021114750451147</v>
      </c>
      <c r="D697" s="12">
        <f>D696*EXP(-'1_Inputs'!$H$5*(1/365))</f>
        <v>0.970158125260125</v>
      </c>
    </row>
    <row r="698" spans="1:4">
      <c r="A698" s="4">
        <v>695</v>
      </c>
      <c r="B698" s="6">
        <f t="shared" si="10"/>
        <v>1.9041095890411</v>
      </c>
      <c r="C698" s="8">
        <f>'1_Inputs'!$H$5</f>
        <v>0.021114750451147</v>
      </c>
      <c r="D698" s="6">
        <f>D697*EXP(-'1_Inputs'!$H$5*(1/365))</f>
        <v>0.970102004563632</v>
      </c>
    </row>
    <row r="699" spans="1:4">
      <c r="A699" s="10">
        <v>696</v>
      </c>
      <c r="B699" s="12">
        <f t="shared" si="10"/>
        <v>1.90684931506849</v>
      </c>
      <c r="C699" s="14">
        <f>'1_Inputs'!$H$5</f>
        <v>0.021114750451147</v>
      </c>
      <c r="D699" s="12">
        <f>D698*EXP(-'1_Inputs'!$H$5*(1/365))</f>
        <v>0.97004588711355</v>
      </c>
    </row>
    <row r="700" spans="1:4">
      <c r="A700" s="4">
        <v>697</v>
      </c>
      <c r="B700" s="6">
        <f t="shared" si="10"/>
        <v>1.90958904109589</v>
      </c>
      <c r="C700" s="8">
        <f>'1_Inputs'!$H$5</f>
        <v>0.021114750451147</v>
      </c>
      <c r="D700" s="6">
        <f>D699*EXP(-'1_Inputs'!$H$5*(1/365))</f>
        <v>0.969989772909692</v>
      </c>
    </row>
    <row r="701" spans="1:4">
      <c r="A701" s="10">
        <v>698</v>
      </c>
      <c r="B701" s="12">
        <f t="shared" si="10"/>
        <v>1.91232876712329</v>
      </c>
      <c r="C701" s="14">
        <f>'1_Inputs'!$H$5</f>
        <v>0.021114750451147</v>
      </c>
      <c r="D701" s="12">
        <f>D700*EXP(-'1_Inputs'!$H$5*(1/365))</f>
        <v>0.96993366195187</v>
      </c>
    </row>
    <row r="702" spans="1:4">
      <c r="A702" s="4">
        <v>699</v>
      </c>
      <c r="B702" s="6">
        <f t="shared" si="10"/>
        <v>1.91506849315068</v>
      </c>
      <c r="C702" s="8">
        <f>'1_Inputs'!$H$5</f>
        <v>0.021114750451147</v>
      </c>
      <c r="D702" s="6">
        <f>D701*EXP(-'1_Inputs'!$H$5*(1/365))</f>
        <v>0.969877554239896</v>
      </c>
    </row>
    <row r="703" spans="1:4">
      <c r="A703" s="10">
        <v>700</v>
      </c>
      <c r="B703" s="12">
        <f t="shared" si="10"/>
        <v>1.91780821917808</v>
      </c>
      <c r="C703" s="14">
        <f>'1_Inputs'!$H$5</f>
        <v>0.021114750451147</v>
      </c>
      <c r="D703" s="12">
        <f>D702*EXP(-'1_Inputs'!$H$5*(1/365))</f>
        <v>0.969821449773583</v>
      </c>
    </row>
    <row r="704" spans="1:4">
      <c r="A704" s="4">
        <v>701</v>
      </c>
      <c r="B704" s="6">
        <f t="shared" si="10"/>
        <v>1.92054794520548</v>
      </c>
      <c r="C704" s="8">
        <f>'1_Inputs'!$H$5</f>
        <v>0.021114750451147</v>
      </c>
      <c r="D704" s="6">
        <f>D703*EXP(-'1_Inputs'!$H$5*(1/365))</f>
        <v>0.969765348552742</v>
      </c>
    </row>
    <row r="705" spans="1:4">
      <c r="A705" s="10">
        <v>702</v>
      </c>
      <c r="B705" s="12">
        <f t="shared" si="10"/>
        <v>1.92328767123288</v>
      </c>
      <c r="C705" s="14">
        <f>'1_Inputs'!$H$5</f>
        <v>0.021114750451147</v>
      </c>
      <c r="D705" s="12">
        <f>D704*EXP(-'1_Inputs'!$H$5*(1/365))</f>
        <v>0.969709250577187</v>
      </c>
    </row>
    <row r="706" spans="1:4">
      <c r="A706" s="4">
        <v>703</v>
      </c>
      <c r="B706" s="6">
        <f t="shared" si="10"/>
        <v>1.92602739726027</v>
      </c>
      <c r="C706" s="8">
        <f>'1_Inputs'!$H$5</f>
        <v>0.021114750451147</v>
      </c>
      <c r="D706" s="6">
        <f>D705*EXP(-'1_Inputs'!$H$5*(1/365))</f>
        <v>0.969653155846728</v>
      </c>
    </row>
    <row r="707" spans="1:4">
      <c r="A707" s="10">
        <v>704</v>
      </c>
      <c r="B707" s="12">
        <f t="shared" ref="B707:B770" si="11">A707/365</f>
        <v>1.92876712328767</v>
      </c>
      <c r="C707" s="14">
        <f>'1_Inputs'!$H$5</f>
        <v>0.021114750451147</v>
      </c>
      <c r="D707" s="12">
        <f>D706*EXP(-'1_Inputs'!$H$5*(1/365))</f>
        <v>0.96959706436118</v>
      </c>
    </row>
    <row r="708" spans="1:4">
      <c r="A708" s="4">
        <v>705</v>
      </c>
      <c r="B708" s="6">
        <f t="shared" si="11"/>
        <v>1.93150684931507</v>
      </c>
      <c r="C708" s="8">
        <f>'1_Inputs'!$H$5</f>
        <v>0.021114750451147</v>
      </c>
      <c r="D708" s="6">
        <f>D707*EXP(-'1_Inputs'!$H$5*(1/365))</f>
        <v>0.969540976120353</v>
      </c>
    </row>
    <row r="709" spans="1:4">
      <c r="A709" s="10">
        <v>706</v>
      </c>
      <c r="B709" s="12">
        <f t="shared" si="11"/>
        <v>1.93424657534247</v>
      </c>
      <c r="C709" s="14">
        <f>'1_Inputs'!$H$5</f>
        <v>0.021114750451147</v>
      </c>
      <c r="D709" s="12">
        <f>D708*EXP(-'1_Inputs'!$H$5*(1/365))</f>
        <v>0.96948489112406</v>
      </c>
    </row>
    <row r="710" spans="1:4">
      <c r="A710" s="4">
        <v>707</v>
      </c>
      <c r="B710" s="6">
        <f t="shared" si="11"/>
        <v>1.93698630136986</v>
      </c>
      <c r="C710" s="8">
        <f>'1_Inputs'!$H$5</f>
        <v>0.021114750451147</v>
      </c>
      <c r="D710" s="6">
        <f>D709*EXP(-'1_Inputs'!$H$5*(1/365))</f>
        <v>0.969428809372113</v>
      </c>
    </row>
    <row r="711" spans="1:4">
      <c r="A711" s="10">
        <v>708</v>
      </c>
      <c r="B711" s="12">
        <f t="shared" si="11"/>
        <v>1.93972602739726</v>
      </c>
      <c r="C711" s="14">
        <f>'1_Inputs'!$H$5</f>
        <v>0.021114750451147</v>
      </c>
      <c r="D711" s="12">
        <f>D710*EXP(-'1_Inputs'!$H$5*(1/365))</f>
        <v>0.969372730864326</v>
      </c>
    </row>
    <row r="712" spans="1:4">
      <c r="A712" s="4">
        <v>709</v>
      </c>
      <c r="B712" s="6">
        <f t="shared" si="11"/>
        <v>1.94246575342466</v>
      </c>
      <c r="C712" s="8">
        <f>'1_Inputs'!$H$5</f>
        <v>0.021114750451147</v>
      </c>
      <c r="D712" s="6">
        <f>D711*EXP(-'1_Inputs'!$H$5*(1/365))</f>
        <v>0.969316655600509</v>
      </c>
    </row>
    <row r="713" spans="1:4">
      <c r="A713" s="10">
        <v>710</v>
      </c>
      <c r="B713" s="12">
        <f t="shared" si="11"/>
        <v>1.94520547945205</v>
      </c>
      <c r="C713" s="14">
        <f>'1_Inputs'!$H$5</f>
        <v>0.021114750451147</v>
      </c>
      <c r="D713" s="12">
        <f>D712*EXP(-'1_Inputs'!$H$5*(1/365))</f>
        <v>0.969260583580476</v>
      </c>
    </row>
    <row r="714" spans="1:4">
      <c r="A714" s="4">
        <v>711</v>
      </c>
      <c r="B714" s="6">
        <f t="shared" si="11"/>
        <v>1.94794520547945</v>
      </c>
      <c r="C714" s="8">
        <f>'1_Inputs'!$H$5</f>
        <v>0.021114750451147</v>
      </c>
      <c r="D714" s="6">
        <f>D713*EXP(-'1_Inputs'!$H$5*(1/365))</f>
        <v>0.969204514804038</v>
      </c>
    </row>
    <row r="715" spans="1:4">
      <c r="A715" s="10">
        <v>712</v>
      </c>
      <c r="B715" s="12">
        <f t="shared" si="11"/>
        <v>1.95068493150685</v>
      </c>
      <c r="C715" s="14">
        <f>'1_Inputs'!$H$5</f>
        <v>0.021114750451147</v>
      </c>
      <c r="D715" s="12">
        <f>D714*EXP(-'1_Inputs'!$H$5*(1/365))</f>
        <v>0.969148449271009</v>
      </c>
    </row>
    <row r="716" spans="1:4">
      <c r="A716" s="4">
        <v>713</v>
      </c>
      <c r="B716" s="6">
        <f t="shared" si="11"/>
        <v>1.95342465753425</v>
      </c>
      <c r="C716" s="8">
        <f>'1_Inputs'!$H$5</f>
        <v>0.021114750451147</v>
      </c>
      <c r="D716" s="6">
        <f>D715*EXP(-'1_Inputs'!$H$5*(1/365))</f>
        <v>0.969092386981201</v>
      </c>
    </row>
    <row r="717" spans="1:4">
      <c r="A717" s="10">
        <v>714</v>
      </c>
      <c r="B717" s="12">
        <f t="shared" si="11"/>
        <v>1.95616438356164</v>
      </c>
      <c r="C717" s="14">
        <f>'1_Inputs'!$H$5</f>
        <v>0.021114750451147</v>
      </c>
      <c r="D717" s="12">
        <f>D716*EXP(-'1_Inputs'!$H$5*(1/365))</f>
        <v>0.969036327934425</v>
      </c>
    </row>
    <row r="718" spans="1:4">
      <c r="A718" s="4">
        <v>715</v>
      </c>
      <c r="B718" s="6">
        <f t="shared" si="11"/>
        <v>1.95890410958904</v>
      </c>
      <c r="C718" s="8">
        <f>'1_Inputs'!$H$5</f>
        <v>0.021114750451147</v>
      </c>
      <c r="D718" s="6">
        <f>D717*EXP(-'1_Inputs'!$H$5*(1/365))</f>
        <v>0.968980272130495</v>
      </c>
    </row>
    <row r="719" spans="1:4">
      <c r="A719" s="10">
        <v>716</v>
      </c>
      <c r="B719" s="12">
        <f t="shared" si="11"/>
        <v>1.96164383561644</v>
      </c>
      <c r="C719" s="14">
        <f>'1_Inputs'!$H$5</f>
        <v>0.021114750451147</v>
      </c>
      <c r="D719" s="12">
        <f>D718*EXP(-'1_Inputs'!$H$5*(1/365))</f>
        <v>0.968924219569222</v>
      </c>
    </row>
    <row r="720" spans="1:4">
      <c r="A720" s="4">
        <v>717</v>
      </c>
      <c r="B720" s="6">
        <f t="shared" si="11"/>
        <v>1.96438356164384</v>
      </c>
      <c r="C720" s="8">
        <f>'1_Inputs'!$H$5</f>
        <v>0.021114750451147</v>
      </c>
      <c r="D720" s="6">
        <f>D719*EXP(-'1_Inputs'!$H$5*(1/365))</f>
        <v>0.968868170250419</v>
      </c>
    </row>
    <row r="721" spans="1:5">
      <c r="A721" s="10">
        <v>718</v>
      </c>
      <c r="B721" s="12">
        <f t="shared" si="11"/>
        <v>1.96712328767123</v>
      </c>
      <c r="C721" s="14">
        <f>'1_Inputs'!$H$5</f>
        <v>0.021114750451147</v>
      </c>
      <c r="D721" s="12">
        <f>D720*EXP(-'1_Inputs'!$H$5*(1/365))</f>
        <v>0.9688121241739</v>
      </c>
    </row>
    <row r="722" spans="1:5">
      <c r="A722" s="4">
        <v>719</v>
      </c>
      <c r="B722" s="6">
        <f t="shared" si="11"/>
        <v>1.96986301369863</v>
      </c>
      <c r="C722" s="8">
        <f>'1_Inputs'!$H$5</f>
        <v>0.021114750451147</v>
      </c>
      <c r="D722" s="6">
        <f>D721*EXP(-'1_Inputs'!$H$5*(1/365))</f>
        <v>0.968756081339475</v>
      </c>
    </row>
    <row r="723" spans="1:5">
      <c r="A723" s="10">
        <v>720</v>
      </c>
      <c r="B723" s="12">
        <f t="shared" si="11"/>
        <v>1.97260273972603</v>
      </c>
      <c r="C723" s="14">
        <f>'1_Inputs'!$H$5</f>
        <v>0.021114750451147</v>
      </c>
      <c r="D723" s="12">
        <f>D722*EXP(-'1_Inputs'!$H$5*(1/365))</f>
        <v>0.968700041746957</v>
      </c>
    </row>
    <row r="724" spans="1:5">
      <c r="A724" s="4">
        <v>721</v>
      </c>
      <c r="B724" s="6">
        <f t="shared" si="11"/>
        <v>1.97534246575342</v>
      </c>
      <c r="C724" s="8">
        <f>'1_Inputs'!$H$5</f>
        <v>0.021114750451147</v>
      </c>
      <c r="D724" s="6">
        <f>D723*EXP(-'1_Inputs'!$H$5*(1/365))</f>
        <v>0.96864400539616</v>
      </c>
    </row>
    <row r="725" spans="1:5">
      <c r="A725" s="10">
        <v>722</v>
      </c>
      <c r="B725" s="12">
        <f t="shared" si="11"/>
        <v>1.97808219178082</v>
      </c>
      <c r="C725" s="14">
        <f>'1_Inputs'!$H$5</f>
        <v>0.021114750451147</v>
      </c>
      <c r="D725" s="12">
        <f>D724*EXP(-'1_Inputs'!$H$5*(1/365))</f>
        <v>0.968587972286895</v>
      </c>
    </row>
    <row r="726" spans="1:5">
      <c r="A726" s="4">
        <v>723</v>
      </c>
      <c r="B726" s="6">
        <f t="shared" si="11"/>
        <v>1.98082191780822</v>
      </c>
      <c r="C726" s="8">
        <f>'1_Inputs'!$H$5</f>
        <v>0.021114750451147</v>
      </c>
      <c r="D726" s="6">
        <f>D725*EXP(-'1_Inputs'!$H$5*(1/365))</f>
        <v>0.968531942418975</v>
      </c>
    </row>
    <row r="727" spans="1:5">
      <c r="A727" s="10">
        <v>724</v>
      </c>
      <c r="B727" s="12">
        <f t="shared" si="11"/>
        <v>1.98356164383562</v>
      </c>
      <c r="C727" s="14">
        <f>'1_Inputs'!$H$5</f>
        <v>0.021114750451147</v>
      </c>
      <c r="D727" s="12">
        <f>D726*EXP(-'1_Inputs'!$H$5*(1/365))</f>
        <v>0.968475915792213</v>
      </c>
    </row>
    <row r="728" spans="1:5">
      <c r="A728" s="4">
        <v>725</v>
      </c>
      <c r="B728" s="6">
        <f t="shared" si="11"/>
        <v>1.98630136986301</v>
      </c>
      <c r="C728" s="8">
        <f>'1_Inputs'!$H$5</f>
        <v>0.021114750451147</v>
      </c>
      <c r="D728" s="6">
        <f>D727*EXP(-'1_Inputs'!$H$5*(1/365))</f>
        <v>0.96841989240642</v>
      </c>
    </row>
    <row r="729" spans="1:5">
      <c r="A729" s="10">
        <v>726</v>
      </c>
      <c r="B729" s="12">
        <f t="shared" si="11"/>
        <v>1.98904109589041</v>
      </c>
      <c r="C729" s="14">
        <f>'1_Inputs'!$H$5</f>
        <v>0.021114750451147</v>
      </c>
      <c r="D729" s="12">
        <f>D728*EXP(-'1_Inputs'!$H$5*(1/365))</f>
        <v>0.96836387226141</v>
      </c>
    </row>
    <row r="730" spans="1:5">
      <c r="A730" s="4">
        <v>727</v>
      </c>
      <c r="B730" s="6">
        <f t="shared" si="11"/>
        <v>1.99178082191781</v>
      </c>
      <c r="C730" s="8">
        <f>'1_Inputs'!$H$5</f>
        <v>0.021114750451147</v>
      </c>
      <c r="D730" s="6">
        <f>D729*EXP(-'1_Inputs'!$H$5*(1/365))</f>
        <v>0.968307855356995</v>
      </c>
    </row>
    <row r="731" spans="1:5">
      <c r="A731" s="10">
        <v>728</v>
      </c>
      <c r="B731" s="12">
        <f t="shared" si="11"/>
        <v>1.99452054794521</v>
      </c>
      <c r="C731" s="14">
        <f>'1_Inputs'!$H$5</f>
        <v>0.021114750451147</v>
      </c>
      <c r="D731" s="12">
        <f>D730*EXP(-'1_Inputs'!$H$5*(1/365))</f>
        <v>0.968251841692987</v>
      </c>
    </row>
    <row r="732" spans="1:5">
      <c r="A732" s="4">
        <v>729</v>
      </c>
      <c r="B732" s="6">
        <f t="shared" si="11"/>
        <v>1.9972602739726</v>
      </c>
      <c r="C732" s="8">
        <f>'1_Inputs'!$H$5</f>
        <v>0.021114750451147</v>
      </c>
      <c r="D732" s="6">
        <f>D731*EXP(-'1_Inputs'!$H$5*(1/365))</f>
        <v>0.9681958312692</v>
      </c>
    </row>
    <row r="733" spans="1:5">
      <c r="A733" s="10">
        <v>730</v>
      </c>
      <c r="B733" s="12">
        <f t="shared" si="11"/>
        <v>2</v>
      </c>
      <c r="C733" s="14">
        <f>'1_Inputs'!$H$5</f>
        <v>0.021114750451147</v>
      </c>
      <c r="D733" s="12">
        <f>D732*EXP(-'1_Inputs'!$H$5*(1/365))</f>
        <v>0.968139824085445</v>
      </c>
      <c r="E733" s="44" t="s">
        <v>62</v>
      </c>
    </row>
    <row r="734" spans="1:5">
      <c r="A734" s="4">
        <v>731</v>
      </c>
      <c r="B734" s="6">
        <f t="shared" si="11"/>
        <v>2.0027397260274</v>
      </c>
      <c r="C734" s="8">
        <f>'1_Inputs'!$H$6</f>
        <v>0.028212883587601</v>
      </c>
      <c r="D734" s="6">
        <f>D733*EXP(-'1_Inputs'!$H$6*(1/365))</f>
        <v>0.968064994056528</v>
      </c>
    </row>
    <row r="735" spans="1:5">
      <c r="A735" s="10">
        <v>732</v>
      </c>
      <c r="B735" s="12">
        <f t="shared" si="11"/>
        <v>2.00547945205479</v>
      </c>
      <c r="C735" s="14">
        <f>'1_Inputs'!$H$6</f>
        <v>0.028212883587601</v>
      </c>
      <c r="D735" s="12">
        <f>D734*EXP(-'1_Inputs'!$H$6*(1/365))</f>
        <v>0.967990169811419</v>
      </c>
    </row>
    <row r="736" spans="1:5">
      <c r="A736" s="4">
        <v>733</v>
      </c>
      <c r="B736" s="6">
        <f t="shared" si="11"/>
        <v>2.00821917808219</v>
      </c>
      <c r="C736" s="8">
        <f>'1_Inputs'!$H$6</f>
        <v>0.028212883587601</v>
      </c>
      <c r="D736" s="6">
        <f>D735*EXP(-'1_Inputs'!$H$6*(1/365))</f>
        <v>0.967915351349668</v>
      </c>
    </row>
    <row r="737" spans="1:4">
      <c r="A737" s="10">
        <v>734</v>
      </c>
      <c r="B737" s="12">
        <f t="shared" si="11"/>
        <v>2.01095890410959</v>
      </c>
      <c r="C737" s="14">
        <f>'1_Inputs'!$H$6</f>
        <v>0.028212883587601</v>
      </c>
      <c r="D737" s="12">
        <f>D736*EXP(-'1_Inputs'!$H$6*(1/365))</f>
        <v>0.96784053867083</v>
      </c>
    </row>
    <row r="738" spans="1:4">
      <c r="A738" s="4">
        <v>735</v>
      </c>
      <c r="B738" s="6">
        <f t="shared" si="11"/>
        <v>2.01369863013699</v>
      </c>
      <c r="C738" s="8">
        <f>'1_Inputs'!$H$6</f>
        <v>0.028212883587601</v>
      </c>
      <c r="D738" s="6">
        <f>D737*EXP(-'1_Inputs'!$H$6*(1/365))</f>
        <v>0.967765731774457</v>
      </c>
    </row>
    <row r="739" spans="1:4">
      <c r="A739" s="10">
        <v>736</v>
      </c>
      <c r="B739" s="12">
        <f t="shared" si="11"/>
        <v>2.01643835616438</v>
      </c>
      <c r="C739" s="14">
        <f>'1_Inputs'!$H$6</f>
        <v>0.028212883587601</v>
      </c>
      <c r="D739" s="12">
        <f>D738*EXP(-'1_Inputs'!$H$6*(1/365))</f>
        <v>0.967690930660102</v>
      </c>
    </row>
    <row r="740" spans="1:4">
      <c r="A740" s="4">
        <v>737</v>
      </c>
      <c r="B740" s="6">
        <f t="shared" si="11"/>
        <v>2.01917808219178</v>
      </c>
      <c r="C740" s="8">
        <f>'1_Inputs'!$H$6</f>
        <v>0.028212883587601</v>
      </c>
      <c r="D740" s="6">
        <f>D739*EXP(-'1_Inputs'!$H$6*(1/365))</f>
        <v>0.967616135327319</v>
      </c>
    </row>
    <row r="741" spans="1:4">
      <c r="A741" s="10">
        <v>738</v>
      </c>
      <c r="B741" s="12">
        <f t="shared" si="11"/>
        <v>2.02191780821918</v>
      </c>
      <c r="C741" s="14">
        <f>'1_Inputs'!$H$6</f>
        <v>0.028212883587601</v>
      </c>
      <c r="D741" s="12">
        <f>D740*EXP(-'1_Inputs'!$H$6*(1/365))</f>
        <v>0.96754134577566</v>
      </c>
    </row>
    <row r="742" spans="1:4">
      <c r="A742" s="4">
        <v>739</v>
      </c>
      <c r="B742" s="6">
        <f t="shared" si="11"/>
        <v>2.02465753424658</v>
      </c>
      <c r="C742" s="8">
        <f>'1_Inputs'!$H$6</f>
        <v>0.028212883587601</v>
      </c>
      <c r="D742" s="6">
        <f>D741*EXP(-'1_Inputs'!$H$6*(1/365))</f>
        <v>0.967466562004679</v>
      </c>
    </row>
    <row r="743" spans="1:4">
      <c r="A743" s="10">
        <v>740</v>
      </c>
      <c r="B743" s="12">
        <f t="shared" si="11"/>
        <v>2.02739726027397</v>
      </c>
      <c r="C743" s="14">
        <f>'1_Inputs'!$H$6</f>
        <v>0.028212883587601</v>
      </c>
      <c r="D743" s="12">
        <f>D742*EXP(-'1_Inputs'!$H$6*(1/365))</f>
        <v>0.967391784013929</v>
      </c>
    </row>
    <row r="744" spans="1:4">
      <c r="A744" s="4">
        <v>741</v>
      </c>
      <c r="B744" s="6">
        <f t="shared" si="11"/>
        <v>2.03013698630137</v>
      </c>
      <c r="C744" s="8">
        <f>'1_Inputs'!$H$6</f>
        <v>0.028212883587601</v>
      </c>
      <c r="D744" s="6">
        <f>D743*EXP(-'1_Inputs'!$H$6*(1/365))</f>
        <v>0.967317011802963</v>
      </c>
    </row>
    <row r="745" spans="1:4">
      <c r="A745" s="10">
        <v>742</v>
      </c>
      <c r="B745" s="12">
        <f t="shared" si="11"/>
        <v>2.03287671232877</v>
      </c>
      <c r="C745" s="14">
        <f>'1_Inputs'!$H$6</f>
        <v>0.028212883587601</v>
      </c>
      <c r="D745" s="12">
        <f>D744*EXP(-'1_Inputs'!$H$6*(1/365))</f>
        <v>0.967242245371335</v>
      </c>
    </row>
    <row r="746" spans="1:4">
      <c r="A746" s="4">
        <v>743</v>
      </c>
      <c r="B746" s="6">
        <f t="shared" si="11"/>
        <v>2.03561643835616</v>
      </c>
      <c r="C746" s="8">
        <f>'1_Inputs'!$H$6</f>
        <v>0.028212883587601</v>
      </c>
      <c r="D746" s="6">
        <f>D745*EXP(-'1_Inputs'!$H$6*(1/365))</f>
        <v>0.967167484718597</v>
      </c>
    </row>
    <row r="747" spans="1:4">
      <c r="A747" s="10">
        <v>744</v>
      </c>
      <c r="B747" s="12">
        <f t="shared" si="11"/>
        <v>2.03835616438356</v>
      </c>
      <c r="C747" s="14">
        <f>'1_Inputs'!$H$6</f>
        <v>0.028212883587601</v>
      </c>
      <c r="D747" s="12">
        <f>D746*EXP(-'1_Inputs'!$H$6*(1/365))</f>
        <v>0.967092729844303</v>
      </c>
    </row>
    <row r="748" spans="1:4">
      <c r="A748" s="4">
        <v>745</v>
      </c>
      <c r="B748" s="6">
        <f t="shared" si="11"/>
        <v>2.04109589041096</v>
      </c>
      <c r="C748" s="8">
        <f>'1_Inputs'!$H$6</f>
        <v>0.028212883587601</v>
      </c>
      <c r="D748" s="6">
        <f>D747*EXP(-'1_Inputs'!$H$6*(1/365))</f>
        <v>0.967017980748007</v>
      </c>
    </row>
    <row r="749" spans="1:4">
      <c r="A749" s="10">
        <v>746</v>
      </c>
      <c r="B749" s="12">
        <f t="shared" si="11"/>
        <v>2.04383561643836</v>
      </c>
      <c r="C749" s="14">
        <f>'1_Inputs'!$H$6</f>
        <v>0.028212883587601</v>
      </c>
      <c r="D749" s="12">
        <f>D748*EXP(-'1_Inputs'!$H$6*(1/365))</f>
        <v>0.966943237429261</v>
      </c>
    </row>
    <row r="750" spans="1:4">
      <c r="A750" s="4">
        <v>747</v>
      </c>
      <c r="B750" s="6">
        <f t="shared" si="11"/>
        <v>2.04657534246575</v>
      </c>
      <c r="C750" s="8">
        <f>'1_Inputs'!$H$6</f>
        <v>0.028212883587601</v>
      </c>
      <c r="D750" s="6">
        <f>D749*EXP(-'1_Inputs'!$H$6*(1/365))</f>
        <v>0.96686849988762</v>
      </c>
    </row>
    <row r="751" spans="1:4">
      <c r="A751" s="10">
        <v>748</v>
      </c>
      <c r="B751" s="12">
        <f t="shared" si="11"/>
        <v>2.04931506849315</v>
      </c>
      <c r="C751" s="14">
        <f>'1_Inputs'!$H$6</f>
        <v>0.028212883587601</v>
      </c>
      <c r="D751" s="12">
        <f>D750*EXP(-'1_Inputs'!$H$6*(1/365))</f>
        <v>0.966793768122636</v>
      </c>
    </row>
    <row r="752" spans="1:4">
      <c r="A752" s="4">
        <v>749</v>
      </c>
      <c r="B752" s="6">
        <f t="shared" si="11"/>
        <v>2.05205479452055</v>
      </c>
      <c r="C752" s="8">
        <f>'1_Inputs'!$H$6</f>
        <v>0.028212883587601</v>
      </c>
      <c r="D752" s="6">
        <f>D751*EXP(-'1_Inputs'!$H$6*(1/365))</f>
        <v>0.966719042133864</v>
      </c>
    </row>
    <row r="753" spans="1:4">
      <c r="A753" s="10">
        <v>750</v>
      </c>
      <c r="B753" s="12">
        <f t="shared" si="11"/>
        <v>2.05479452054795</v>
      </c>
      <c r="C753" s="14">
        <f>'1_Inputs'!$H$6</f>
        <v>0.028212883587601</v>
      </c>
      <c r="D753" s="12">
        <f>D752*EXP(-'1_Inputs'!$H$6*(1/365))</f>
        <v>0.966644321920857</v>
      </c>
    </row>
    <row r="754" spans="1:4">
      <c r="A754" s="4">
        <v>751</v>
      </c>
      <c r="B754" s="6">
        <f t="shared" si="11"/>
        <v>2.05753424657534</v>
      </c>
      <c r="C754" s="8">
        <f>'1_Inputs'!$H$6</f>
        <v>0.028212883587601</v>
      </c>
      <c r="D754" s="6">
        <f>D753*EXP(-'1_Inputs'!$H$6*(1/365))</f>
        <v>0.966569607483168</v>
      </c>
    </row>
    <row r="755" spans="1:4">
      <c r="A755" s="10">
        <v>752</v>
      </c>
      <c r="B755" s="12">
        <f t="shared" si="11"/>
        <v>2.06027397260274</v>
      </c>
      <c r="C755" s="14">
        <f>'1_Inputs'!$H$6</f>
        <v>0.028212883587601</v>
      </c>
      <c r="D755" s="12">
        <f>D754*EXP(-'1_Inputs'!$H$6*(1/365))</f>
        <v>0.96649489882035</v>
      </c>
    </row>
    <row r="756" spans="1:4">
      <c r="A756" s="4">
        <v>753</v>
      </c>
      <c r="B756" s="6">
        <f t="shared" si="11"/>
        <v>2.06301369863014</v>
      </c>
      <c r="C756" s="8">
        <f>'1_Inputs'!$H$6</f>
        <v>0.028212883587601</v>
      </c>
      <c r="D756" s="6">
        <f>D755*EXP(-'1_Inputs'!$H$6*(1/365))</f>
        <v>0.966420195931959</v>
      </c>
    </row>
    <row r="757" spans="1:4">
      <c r="A757" s="10">
        <v>754</v>
      </c>
      <c r="B757" s="12">
        <f t="shared" si="11"/>
        <v>2.06575342465753</v>
      </c>
      <c r="C757" s="14">
        <f>'1_Inputs'!$H$6</f>
        <v>0.028212883587601</v>
      </c>
      <c r="D757" s="12">
        <f>D756*EXP(-'1_Inputs'!$H$6*(1/365))</f>
        <v>0.966345498817547</v>
      </c>
    </row>
    <row r="758" spans="1:4">
      <c r="A758" s="4">
        <v>755</v>
      </c>
      <c r="B758" s="6">
        <f t="shared" si="11"/>
        <v>2.06849315068493</v>
      </c>
      <c r="C758" s="8">
        <f>'1_Inputs'!$H$6</f>
        <v>0.028212883587601</v>
      </c>
      <c r="D758" s="6">
        <f>D757*EXP(-'1_Inputs'!$H$6*(1/365))</f>
        <v>0.966270807476667</v>
      </c>
    </row>
    <row r="759" spans="1:4">
      <c r="A759" s="10">
        <v>756</v>
      </c>
      <c r="B759" s="12">
        <f t="shared" si="11"/>
        <v>2.07123287671233</v>
      </c>
      <c r="C759" s="14">
        <f>'1_Inputs'!$H$6</f>
        <v>0.028212883587601</v>
      </c>
      <c r="D759" s="12">
        <f>D758*EXP(-'1_Inputs'!$H$6*(1/365))</f>
        <v>0.966196121908875</v>
      </c>
    </row>
    <row r="760" spans="1:4">
      <c r="A760" s="4">
        <v>757</v>
      </c>
      <c r="B760" s="6">
        <f t="shared" si="11"/>
        <v>2.07397260273973</v>
      </c>
      <c r="C760" s="8">
        <f>'1_Inputs'!$H$6</f>
        <v>0.028212883587601</v>
      </c>
      <c r="D760" s="6">
        <f>D759*EXP(-'1_Inputs'!$H$6*(1/365))</f>
        <v>0.966121442113723</v>
      </c>
    </row>
    <row r="761" spans="1:4">
      <c r="A761" s="10">
        <v>758</v>
      </c>
      <c r="B761" s="12">
        <f t="shared" si="11"/>
        <v>2.07671232876712</v>
      </c>
      <c r="C761" s="14">
        <f>'1_Inputs'!$H$6</f>
        <v>0.028212883587601</v>
      </c>
      <c r="D761" s="12">
        <f>D760*EXP(-'1_Inputs'!$H$6*(1/365))</f>
        <v>0.966046768090766</v>
      </c>
    </row>
    <row r="762" spans="1:4">
      <c r="A762" s="4">
        <v>759</v>
      </c>
      <c r="B762" s="6">
        <f t="shared" si="11"/>
        <v>2.07945205479452</v>
      </c>
      <c r="C762" s="8">
        <f>'1_Inputs'!$H$6</f>
        <v>0.028212883587601</v>
      </c>
      <c r="D762" s="6">
        <f>D761*EXP(-'1_Inputs'!$H$6*(1/365))</f>
        <v>0.965972099839556</v>
      </c>
    </row>
    <row r="763" spans="1:4">
      <c r="A763" s="10">
        <v>760</v>
      </c>
      <c r="B763" s="12">
        <f t="shared" si="11"/>
        <v>2.08219178082192</v>
      </c>
      <c r="C763" s="14">
        <f>'1_Inputs'!$H$6</f>
        <v>0.028212883587601</v>
      </c>
      <c r="D763" s="12">
        <f>D762*EXP(-'1_Inputs'!$H$6*(1/365))</f>
        <v>0.965897437359649</v>
      </c>
    </row>
    <row r="764" spans="1:4">
      <c r="A764" s="4">
        <v>761</v>
      </c>
      <c r="B764" s="6">
        <f t="shared" si="11"/>
        <v>2.08493150684931</v>
      </c>
      <c r="C764" s="8">
        <f>'1_Inputs'!$H$6</f>
        <v>0.028212883587601</v>
      </c>
      <c r="D764" s="6">
        <f>D763*EXP(-'1_Inputs'!$H$6*(1/365))</f>
        <v>0.965822780650598</v>
      </c>
    </row>
    <row r="765" spans="1:4">
      <c r="A765" s="10">
        <v>762</v>
      </c>
      <c r="B765" s="12">
        <f t="shared" si="11"/>
        <v>2.08767123287671</v>
      </c>
      <c r="C765" s="14">
        <f>'1_Inputs'!$H$6</f>
        <v>0.028212883587601</v>
      </c>
      <c r="D765" s="12">
        <f>D764*EXP(-'1_Inputs'!$H$6*(1/365))</f>
        <v>0.965748129711956</v>
      </c>
    </row>
    <row r="766" spans="1:4">
      <c r="A766" s="4">
        <v>763</v>
      </c>
      <c r="B766" s="6">
        <f t="shared" si="11"/>
        <v>2.09041095890411</v>
      </c>
      <c r="C766" s="8">
        <f>'1_Inputs'!$H$6</f>
        <v>0.028212883587601</v>
      </c>
      <c r="D766" s="6">
        <f>D765*EXP(-'1_Inputs'!$H$6*(1/365))</f>
        <v>0.965673484543279</v>
      </c>
    </row>
    <row r="767" spans="1:4">
      <c r="A767" s="10">
        <v>764</v>
      </c>
      <c r="B767" s="12">
        <f t="shared" si="11"/>
        <v>2.09315068493151</v>
      </c>
      <c r="C767" s="14">
        <f>'1_Inputs'!$H$6</f>
        <v>0.028212883587601</v>
      </c>
      <c r="D767" s="12">
        <f>D766*EXP(-'1_Inputs'!$H$6*(1/365))</f>
        <v>0.96559884514412</v>
      </c>
    </row>
    <row r="768" spans="1:4">
      <c r="A768" s="4">
        <v>765</v>
      </c>
      <c r="B768" s="6">
        <f t="shared" si="11"/>
        <v>2.0958904109589</v>
      </c>
      <c r="C768" s="8">
        <f>'1_Inputs'!$H$6</f>
        <v>0.028212883587601</v>
      </c>
      <c r="D768" s="6">
        <f>D767*EXP(-'1_Inputs'!$H$6*(1/365))</f>
        <v>0.965524211514032</v>
      </c>
    </row>
    <row r="769" spans="1:4">
      <c r="A769" s="10">
        <v>766</v>
      </c>
      <c r="B769" s="12">
        <f t="shared" si="11"/>
        <v>2.0986301369863</v>
      </c>
      <c r="C769" s="14">
        <f>'1_Inputs'!$H$6</f>
        <v>0.028212883587601</v>
      </c>
      <c r="D769" s="12">
        <f>D768*EXP(-'1_Inputs'!$H$6*(1/365))</f>
        <v>0.965449583652571</v>
      </c>
    </row>
    <row r="770" spans="1:4">
      <c r="A770" s="4">
        <v>767</v>
      </c>
      <c r="B770" s="6">
        <f t="shared" si="11"/>
        <v>2.1013698630137</v>
      </c>
      <c r="C770" s="8">
        <f>'1_Inputs'!$H$6</f>
        <v>0.028212883587601</v>
      </c>
      <c r="D770" s="6">
        <f>D769*EXP(-'1_Inputs'!$H$6*(1/365))</f>
        <v>0.965374961559291</v>
      </c>
    </row>
    <row r="771" spans="1:4">
      <c r="A771" s="10">
        <v>768</v>
      </c>
      <c r="B771" s="12">
        <f t="shared" ref="B771:B834" si="12">A771/365</f>
        <v>2.1041095890411</v>
      </c>
      <c r="C771" s="14">
        <f>'1_Inputs'!$H$6</f>
        <v>0.028212883587601</v>
      </c>
      <c r="D771" s="12">
        <f>D770*EXP(-'1_Inputs'!$H$6*(1/365))</f>
        <v>0.965300345233744</v>
      </c>
    </row>
    <row r="772" spans="1:4">
      <c r="A772" s="4">
        <v>769</v>
      </c>
      <c r="B772" s="6">
        <f t="shared" si="12"/>
        <v>2.10684931506849</v>
      </c>
      <c r="C772" s="8">
        <f>'1_Inputs'!$H$6</f>
        <v>0.028212883587601</v>
      </c>
      <c r="D772" s="6">
        <f>D771*EXP(-'1_Inputs'!$H$6*(1/365))</f>
        <v>0.965225734675486</v>
      </c>
    </row>
    <row r="773" spans="1:4">
      <c r="A773" s="10">
        <v>770</v>
      </c>
      <c r="B773" s="12">
        <f t="shared" si="12"/>
        <v>2.10958904109589</v>
      </c>
      <c r="C773" s="14">
        <f>'1_Inputs'!$H$6</f>
        <v>0.028212883587601</v>
      </c>
      <c r="D773" s="12">
        <f>D772*EXP(-'1_Inputs'!$H$6*(1/365))</f>
        <v>0.965151129884071</v>
      </c>
    </row>
    <row r="774" spans="1:4">
      <c r="A774" s="4">
        <v>771</v>
      </c>
      <c r="B774" s="6">
        <f t="shared" si="12"/>
        <v>2.11232876712329</v>
      </c>
      <c r="C774" s="8">
        <f>'1_Inputs'!$H$6</f>
        <v>0.028212883587601</v>
      </c>
      <c r="D774" s="6">
        <f>D773*EXP(-'1_Inputs'!$H$6*(1/365))</f>
        <v>0.965076530859054</v>
      </c>
    </row>
    <row r="775" spans="1:4">
      <c r="A775" s="10">
        <v>772</v>
      </c>
      <c r="B775" s="12">
        <f t="shared" si="12"/>
        <v>2.11506849315069</v>
      </c>
      <c r="C775" s="14">
        <f>'1_Inputs'!$H$6</f>
        <v>0.028212883587601</v>
      </c>
      <c r="D775" s="12">
        <f>D774*EXP(-'1_Inputs'!$H$6*(1/365))</f>
        <v>0.965001937599987</v>
      </c>
    </row>
    <row r="776" spans="1:4">
      <c r="A776" s="4">
        <v>773</v>
      </c>
      <c r="B776" s="6">
        <f t="shared" si="12"/>
        <v>2.11780821917808</v>
      </c>
      <c r="C776" s="8">
        <f>'1_Inputs'!$H$6</f>
        <v>0.028212883587601</v>
      </c>
      <c r="D776" s="6">
        <f>D775*EXP(-'1_Inputs'!$H$6*(1/365))</f>
        <v>0.964927350106427</v>
      </c>
    </row>
    <row r="777" spans="1:4">
      <c r="A777" s="10">
        <v>774</v>
      </c>
      <c r="B777" s="12">
        <f t="shared" si="12"/>
        <v>2.12054794520548</v>
      </c>
      <c r="C777" s="14">
        <f>'1_Inputs'!$H$6</f>
        <v>0.028212883587601</v>
      </c>
      <c r="D777" s="12">
        <f>D776*EXP(-'1_Inputs'!$H$6*(1/365))</f>
        <v>0.964852768377926</v>
      </c>
    </row>
    <row r="778" spans="1:4">
      <c r="A778" s="4">
        <v>775</v>
      </c>
      <c r="B778" s="6">
        <f t="shared" si="12"/>
        <v>2.12328767123288</v>
      </c>
      <c r="C778" s="8">
        <f>'1_Inputs'!$H$6</f>
        <v>0.028212883587601</v>
      </c>
      <c r="D778" s="6">
        <f>D777*EXP(-'1_Inputs'!$H$6*(1/365))</f>
        <v>0.96477819241404</v>
      </c>
    </row>
    <row r="779" spans="1:4">
      <c r="A779" s="10">
        <v>776</v>
      </c>
      <c r="B779" s="12">
        <f t="shared" si="12"/>
        <v>2.12602739726027</v>
      </c>
      <c r="C779" s="14">
        <f>'1_Inputs'!$H$6</f>
        <v>0.028212883587601</v>
      </c>
      <c r="D779" s="12">
        <f>D778*EXP(-'1_Inputs'!$H$6*(1/365))</f>
        <v>0.964703622214323</v>
      </c>
    </row>
    <row r="780" spans="1:4">
      <c r="A780" s="4">
        <v>777</v>
      </c>
      <c r="B780" s="6">
        <f t="shared" si="12"/>
        <v>2.12876712328767</v>
      </c>
      <c r="C780" s="8">
        <f>'1_Inputs'!$H$6</f>
        <v>0.028212883587601</v>
      </c>
      <c r="D780" s="6">
        <f>D779*EXP(-'1_Inputs'!$H$6*(1/365))</f>
        <v>0.96462905777833</v>
      </c>
    </row>
    <row r="781" spans="1:4">
      <c r="A781" s="10">
        <v>778</v>
      </c>
      <c r="B781" s="12">
        <f t="shared" si="12"/>
        <v>2.13150684931507</v>
      </c>
      <c r="C781" s="14">
        <f>'1_Inputs'!$H$6</f>
        <v>0.028212883587601</v>
      </c>
      <c r="D781" s="12">
        <f>D780*EXP(-'1_Inputs'!$H$6*(1/365))</f>
        <v>0.964554499105614</v>
      </c>
    </row>
    <row r="782" spans="1:4">
      <c r="A782" s="4">
        <v>779</v>
      </c>
      <c r="B782" s="6">
        <f t="shared" si="12"/>
        <v>2.13424657534247</v>
      </c>
      <c r="C782" s="8">
        <f>'1_Inputs'!$H$6</f>
        <v>0.028212883587601</v>
      </c>
      <c r="D782" s="6">
        <f>D781*EXP(-'1_Inputs'!$H$6*(1/365))</f>
        <v>0.964479946195731</v>
      </c>
    </row>
    <row r="783" spans="1:4">
      <c r="A783" s="10">
        <v>780</v>
      </c>
      <c r="B783" s="12">
        <f t="shared" si="12"/>
        <v>2.13698630136986</v>
      </c>
      <c r="C783" s="14">
        <f>'1_Inputs'!$H$6</f>
        <v>0.028212883587601</v>
      </c>
      <c r="D783" s="12">
        <f>D782*EXP(-'1_Inputs'!$H$6*(1/365))</f>
        <v>0.964405399048235</v>
      </c>
    </row>
    <row r="784" spans="1:4">
      <c r="A784" s="4">
        <v>781</v>
      </c>
      <c r="B784" s="6">
        <f t="shared" si="12"/>
        <v>2.13972602739726</v>
      </c>
      <c r="C784" s="8">
        <f>'1_Inputs'!$H$6</f>
        <v>0.028212883587601</v>
      </c>
      <c r="D784" s="6">
        <f>D783*EXP(-'1_Inputs'!$H$6*(1/365))</f>
        <v>0.964330857662681</v>
      </c>
    </row>
    <row r="785" spans="1:4">
      <c r="A785" s="10">
        <v>782</v>
      </c>
      <c r="B785" s="12">
        <f t="shared" si="12"/>
        <v>2.14246575342466</v>
      </c>
      <c r="C785" s="14">
        <f>'1_Inputs'!$H$6</f>
        <v>0.028212883587601</v>
      </c>
      <c r="D785" s="12">
        <f>D784*EXP(-'1_Inputs'!$H$6*(1/365))</f>
        <v>0.964256322038623</v>
      </c>
    </row>
    <row r="786" spans="1:4">
      <c r="A786" s="4">
        <v>783</v>
      </c>
      <c r="B786" s="6">
        <f t="shared" si="12"/>
        <v>2.14520547945205</v>
      </c>
      <c r="C786" s="8">
        <f>'1_Inputs'!$H$6</f>
        <v>0.028212883587601</v>
      </c>
      <c r="D786" s="6">
        <f>D785*EXP(-'1_Inputs'!$H$6*(1/365))</f>
        <v>0.964181792175616</v>
      </c>
    </row>
    <row r="787" spans="1:4">
      <c r="A787" s="10">
        <v>784</v>
      </c>
      <c r="B787" s="12">
        <f t="shared" si="12"/>
        <v>2.14794520547945</v>
      </c>
      <c r="C787" s="14">
        <f>'1_Inputs'!$H$6</f>
        <v>0.028212883587601</v>
      </c>
      <c r="D787" s="12">
        <f>D786*EXP(-'1_Inputs'!$H$6*(1/365))</f>
        <v>0.964107268073214</v>
      </c>
    </row>
    <row r="788" spans="1:4">
      <c r="A788" s="4">
        <v>785</v>
      </c>
      <c r="B788" s="6">
        <f t="shared" si="12"/>
        <v>2.15068493150685</v>
      </c>
      <c r="C788" s="8">
        <f>'1_Inputs'!$H$6</f>
        <v>0.028212883587601</v>
      </c>
      <c r="D788" s="6">
        <f>D787*EXP(-'1_Inputs'!$H$6*(1/365))</f>
        <v>0.964032749730974</v>
      </c>
    </row>
    <row r="789" spans="1:4">
      <c r="A789" s="10">
        <v>786</v>
      </c>
      <c r="B789" s="12">
        <f t="shared" si="12"/>
        <v>2.15342465753425</v>
      </c>
      <c r="C789" s="14">
        <f>'1_Inputs'!$H$6</f>
        <v>0.028212883587601</v>
      </c>
      <c r="D789" s="12">
        <f>D788*EXP(-'1_Inputs'!$H$6*(1/365))</f>
        <v>0.963958237148448</v>
      </c>
    </row>
    <row r="790" spans="1:4">
      <c r="A790" s="4">
        <v>787</v>
      </c>
      <c r="B790" s="6">
        <f t="shared" si="12"/>
        <v>2.15616438356164</v>
      </c>
      <c r="C790" s="8">
        <f>'1_Inputs'!$H$6</f>
        <v>0.028212883587601</v>
      </c>
      <c r="D790" s="6">
        <f>D789*EXP(-'1_Inputs'!$H$6*(1/365))</f>
        <v>0.963883730325193</v>
      </c>
    </row>
    <row r="791" spans="1:4">
      <c r="A791" s="10">
        <v>788</v>
      </c>
      <c r="B791" s="12">
        <f t="shared" si="12"/>
        <v>2.15890410958904</v>
      </c>
      <c r="C791" s="14">
        <f>'1_Inputs'!$H$6</f>
        <v>0.028212883587601</v>
      </c>
      <c r="D791" s="12">
        <f>D790*EXP(-'1_Inputs'!$H$6*(1/365))</f>
        <v>0.963809229260762</v>
      </c>
    </row>
    <row r="792" spans="1:4">
      <c r="A792" s="4">
        <v>789</v>
      </c>
      <c r="B792" s="6">
        <f t="shared" si="12"/>
        <v>2.16164383561644</v>
      </c>
      <c r="C792" s="8">
        <f>'1_Inputs'!$H$6</f>
        <v>0.028212883587601</v>
      </c>
      <c r="D792" s="6">
        <f>D791*EXP(-'1_Inputs'!$H$6*(1/365))</f>
        <v>0.963734733954711</v>
      </c>
    </row>
    <row r="793" spans="1:4">
      <c r="A793" s="10">
        <v>790</v>
      </c>
      <c r="B793" s="12">
        <f t="shared" si="12"/>
        <v>2.16438356164384</v>
      </c>
      <c r="C793" s="14">
        <f>'1_Inputs'!$H$6</f>
        <v>0.028212883587601</v>
      </c>
      <c r="D793" s="12">
        <f>D792*EXP(-'1_Inputs'!$H$6*(1/365))</f>
        <v>0.963660244406595</v>
      </c>
    </row>
    <row r="794" spans="1:4">
      <c r="A794" s="4">
        <v>791</v>
      </c>
      <c r="B794" s="6">
        <f t="shared" si="12"/>
        <v>2.16712328767123</v>
      </c>
      <c r="C794" s="8">
        <f>'1_Inputs'!$H$6</f>
        <v>0.028212883587601</v>
      </c>
      <c r="D794" s="6">
        <f>D793*EXP(-'1_Inputs'!$H$6*(1/365))</f>
        <v>0.963585760615969</v>
      </c>
    </row>
    <row r="795" spans="1:4">
      <c r="A795" s="10">
        <v>792</v>
      </c>
      <c r="B795" s="12">
        <f t="shared" si="12"/>
        <v>2.16986301369863</v>
      </c>
      <c r="C795" s="14">
        <f>'1_Inputs'!$H$6</f>
        <v>0.028212883587601</v>
      </c>
      <c r="D795" s="12">
        <f>D794*EXP(-'1_Inputs'!$H$6*(1/365))</f>
        <v>0.963511282582387</v>
      </c>
    </row>
    <row r="796" spans="1:4">
      <c r="A796" s="4">
        <v>793</v>
      </c>
      <c r="B796" s="6">
        <f t="shared" si="12"/>
        <v>2.17260273972603</v>
      </c>
      <c r="C796" s="8">
        <f>'1_Inputs'!$H$6</f>
        <v>0.028212883587601</v>
      </c>
      <c r="D796" s="6">
        <f>D795*EXP(-'1_Inputs'!$H$6*(1/365))</f>
        <v>0.963436810305405</v>
      </c>
    </row>
    <row r="797" spans="1:4">
      <c r="A797" s="10">
        <v>794</v>
      </c>
      <c r="B797" s="12">
        <f t="shared" si="12"/>
        <v>2.17534246575342</v>
      </c>
      <c r="C797" s="14">
        <f>'1_Inputs'!$H$6</f>
        <v>0.028212883587601</v>
      </c>
      <c r="D797" s="12">
        <f>D796*EXP(-'1_Inputs'!$H$6*(1/365))</f>
        <v>0.963362343784577</v>
      </c>
    </row>
    <row r="798" spans="1:4">
      <c r="A798" s="4">
        <v>795</v>
      </c>
      <c r="B798" s="6">
        <f t="shared" si="12"/>
        <v>2.17808219178082</v>
      </c>
      <c r="C798" s="8">
        <f>'1_Inputs'!$H$6</f>
        <v>0.028212883587601</v>
      </c>
      <c r="D798" s="6">
        <f>D797*EXP(-'1_Inputs'!$H$6*(1/365))</f>
        <v>0.96328788301946</v>
      </c>
    </row>
    <row r="799" spans="1:4">
      <c r="A799" s="10">
        <v>796</v>
      </c>
      <c r="B799" s="12">
        <f t="shared" si="12"/>
        <v>2.18082191780822</v>
      </c>
      <c r="C799" s="14">
        <f>'1_Inputs'!$H$6</f>
        <v>0.028212883587601</v>
      </c>
      <c r="D799" s="12">
        <f>D798*EXP(-'1_Inputs'!$H$6*(1/365))</f>
        <v>0.963213428009607</v>
      </c>
    </row>
    <row r="800" spans="1:4">
      <c r="A800" s="4">
        <v>797</v>
      </c>
      <c r="B800" s="6">
        <f t="shared" si="12"/>
        <v>2.18356164383562</v>
      </c>
      <c r="C800" s="8">
        <f>'1_Inputs'!$H$6</f>
        <v>0.028212883587601</v>
      </c>
      <c r="D800" s="6">
        <f>D799*EXP(-'1_Inputs'!$H$6*(1/365))</f>
        <v>0.963138978754575</v>
      </c>
    </row>
    <row r="801" spans="1:4">
      <c r="A801" s="10">
        <v>798</v>
      </c>
      <c r="B801" s="12">
        <f t="shared" si="12"/>
        <v>2.18630136986301</v>
      </c>
      <c r="C801" s="14">
        <f>'1_Inputs'!$H$6</f>
        <v>0.028212883587601</v>
      </c>
      <c r="D801" s="12">
        <f>D800*EXP(-'1_Inputs'!$H$6*(1/365))</f>
        <v>0.963064535253918</v>
      </c>
    </row>
    <row r="802" spans="1:4">
      <c r="A802" s="4">
        <v>799</v>
      </c>
      <c r="B802" s="6">
        <f t="shared" si="12"/>
        <v>2.18904109589041</v>
      </c>
      <c r="C802" s="8">
        <f>'1_Inputs'!$H$6</f>
        <v>0.028212883587601</v>
      </c>
      <c r="D802" s="6">
        <f>D801*EXP(-'1_Inputs'!$H$6*(1/365))</f>
        <v>0.962990097507191</v>
      </c>
    </row>
    <row r="803" spans="1:4">
      <c r="A803" s="10">
        <v>800</v>
      </c>
      <c r="B803" s="12">
        <f t="shared" si="12"/>
        <v>2.19178082191781</v>
      </c>
      <c r="C803" s="14">
        <f>'1_Inputs'!$H$6</f>
        <v>0.028212883587601</v>
      </c>
      <c r="D803" s="12">
        <f>D802*EXP(-'1_Inputs'!$H$6*(1/365))</f>
        <v>0.96291566551395</v>
      </c>
    </row>
    <row r="804" spans="1:4">
      <c r="A804" s="4">
        <v>801</v>
      </c>
      <c r="B804" s="6">
        <f t="shared" si="12"/>
        <v>2.19452054794521</v>
      </c>
      <c r="C804" s="8">
        <f>'1_Inputs'!$H$6</f>
        <v>0.028212883587601</v>
      </c>
      <c r="D804" s="6">
        <f>D803*EXP(-'1_Inputs'!$H$6*(1/365))</f>
        <v>0.962841239273751</v>
      </c>
    </row>
    <row r="805" spans="1:4">
      <c r="A805" s="10">
        <v>802</v>
      </c>
      <c r="B805" s="12">
        <f t="shared" si="12"/>
        <v>2.1972602739726</v>
      </c>
      <c r="C805" s="14">
        <f>'1_Inputs'!$H$6</f>
        <v>0.028212883587601</v>
      </c>
      <c r="D805" s="12">
        <f>D804*EXP(-'1_Inputs'!$H$6*(1/365))</f>
        <v>0.962766818786148</v>
      </c>
    </row>
    <row r="806" spans="1:4">
      <c r="A806" s="4">
        <v>803</v>
      </c>
      <c r="B806" s="6">
        <f t="shared" si="12"/>
        <v>2.2</v>
      </c>
      <c r="C806" s="8">
        <f>'1_Inputs'!$H$6</f>
        <v>0.028212883587601</v>
      </c>
      <c r="D806" s="6">
        <f>D805*EXP(-'1_Inputs'!$H$6*(1/365))</f>
        <v>0.962692404050696</v>
      </c>
    </row>
    <row r="807" spans="1:4">
      <c r="A807" s="10">
        <v>804</v>
      </c>
      <c r="B807" s="12">
        <f t="shared" si="12"/>
        <v>2.2027397260274</v>
      </c>
      <c r="C807" s="14">
        <f>'1_Inputs'!$H$6</f>
        <v>0.028212883587601</v>
      </c>
      <c r="D807" s="12">
        <f>D806*EXP(-'1_Inputs'!$H$6*(1/365))</f>
        <v>0.962617995066952</v>
      </c>
    </row>
    <row r="808" spans="1:4">
      <c r="A808" s="4">
        <v>805</v>
      </c>
      <c r="B808" s="6">
        <f t="shared" si="12"/>
        <v>2.20547945205479</v>
      </c>
      <c r="C808" s="8">
        <f>'1_Inputs'!$H$6</f>
        <v>0.028212883587601</v>
      </c>
      <c r="D808" s="6">
        <f>D807*EXP(-'1_Inputs'!$H$6*(1/365))</f>
        <v>0.96254359183447</v>
      </c>
    </row>
    <row r="809" spans="1:4">
      <c r="A809" s="10">
        <v>806</v>
      </c>
      <c r="B809" s="12">
        <f t="shared" si="12"/>
        <v>2.20821917808219</v>
      </c>
      <c r="C809" s="14">
        <f>'1_Inputs'!$H$6</f>
        <v>0.028212883587601</v>
      </c>
      <c r="D809" s="12">
        <f>D808*EXP(-'1_Inputs'!$H$6*(1/365))</f>
        <v>0.962469194352807</v>
      </c>
    </row>
    <row r="810" spans="1:4">
      <c r="A810" s="4">
        <v>807</v>
      </c>
      <c r="B810" s="6">
        <f t="shared" si="12"/>
        <v>2.21095890410959</v>
      </c>
      <c r="C810" s="8">
        <f>'1_Inputs'!$H$6</f>
        <v>0.028212883587601</v>
      </c>
      <c r="D810" s="6">
        <f>D809*EXP(-'1_Inputs'!$H$6*(1/365))</f>
        <v>0.962394802621517</v>
      </c>
    </row>
    <row r="811" spans="1:4">
      <c r="A811" s="10">
        <v>808</v>
      </c>
      <c r="B811" s="12">
        <f t="shared" si="12"/>
        <v>2.21369863013699</v>
      </c>
      <c r="C811" s="14">
        <f>'1_Inputs'!$H$6</f>
        <v>0.028212883587601</v>
      </c>
      <c r="D811" s="12">
        <f>D810*EXP(-'1_Inputs'!$H$6*(1/365))</f>
        <v>0.962320416640157</v>
      </c>
    </row>
    <row r="812" spans="1:4">
      <c r="A812" s="4">
        <v>809</v>
      </c>
      <c r="B812" s="6">
        <f t="shared" si="12"/>
        <v>2.21643835616438</v>
      </c>
      <c r="C812" s="8">
        <f>'1_Inputs'!$H$6</f>
        <v>0.028212883587601</v>
      </c>
      <c r="D812" s="6">
        <f>D811*EXP(-'1_Inputs'!$H$6*(1/365))</f>
        <v>0.962246036408281</v>
      </c>
    </row>
    <row r="813" spans="1:4">
      <c r="A813" s="10">
        <v>810</v>
      </c>
      <c r="B813" s="12">
        <f t="shared" si="12"/>
        <v>2.21917808219178</v>
      </c>
      <c r="C813" s="14">
        <f>'1_Inputs'!$H$6</f>
        <v>0.028212883587601</v>
      </c>
      <c r="D813" s="12">
        <f>D812*EXP(-'1_Inputs'!$H$6*(1/365))</f>
        <v>0.962171661925445</v>
      </c>
    </row>
    <row r="814" spans="1:4">
      <c r="A814" s="4">
        <v>811</v>
      </c>
      <c r="B814" s="6">
        <f t="shared" si="12"/>
        <v>2.22191780821918</v>
      </c>
      <c r="C814" s="8">
        <f>'1_Inputs'!$H$6</f>
        <v>0.028212883587601</v>
      </c>
      <c r="D814" s="6">
        <f>D813*EXP(-'1_Inputs'!$H$6*(1/365))</f>
        <v>0.962097293191206</v>
      </c>
    </row>
    <row r="815" spans="1:4">
      <c r="A815" s="10">
        <v>812</v>
      </c>
      <c r="B815" s="12">
        <f t="shared" si="12"/>
        <v>2.22465753424658</v>
      </c>
      <c r="C815" s="14">
        <f>'1_Inputs'!$H$6</f>
        <v>0.028212883587601</v>
      </c>
      <c r="D815" s="12">
        <f>D814*EXP(-'1_Inputs'!$H$6*(1/365))</f>
        <v>0.962022930205118</v>
      </c>
    </row>
    <row r="816" spans="1:4">
      <c r="A816" s="4">
        <v>813</v>
      </c>
      <c r="B816" s="6">
        <f t="shared" si="12"/>
        <v>2.22739726027397</v>
      </c>
      <c r="C816" s="8">
        <f>'1_Inputs'!$H$6</f>
        <v>0.028212883587601</v>
      </c>
      <c r="D816" s="6">
        <f>D815*EXP(-'1_Inputs'!$H$6*(1/365))</f>
        <v>0.961948572966737</v>
      </c>
    </row>
    <row r="817" spans="1:5">
      <c r="A817" s="10">
        <v>814</v>
      </c>
      <c r="B817" s="12">
        <f t="shared" si="12"/>
        <v>2.23013698630137</v>
      </c>
      <c r="C817" s="14">
        <f>'1_Inputs'!$H$6</f>
        <v>0.028212883587601</v>
      </c>
      <c r="D817" s="12">
        <f>D816*EXP(-'1_Inputs'!$H$6*(1/365))</f>
        <v>0.96187422147562</v>
      </c>
    </row>
    <row r="818" spans="1:5">
      <c r="A818" s="4">
        <v>815</v>
      </c>
      <c r="B818" s="6">
        <f t="shared" si="12"/>
        <v>2.23287671232877</v>
      </c>
      <c r="C818" s="8">
        <f>'1_Inputs'!$H$6</f>
        <v>0.028212883587601</v>
      </c>
      <c r="D818" s="6">
        <f>D817*EXP(-'1_Inputs'!$H$6*(1/365))</f>
        <v>0.961799875731321</v>
      </c>
    </row>
    <row r="819" spans="1:5">
      <c r="A819" s="10">
        <v>816</v>
      </c>
      <c r="B819" s="12">
        <f t="shared" si="12"/>
        <v>2.23561643835616</v>
      </c>
      <c r="C819" s="14">
        <f>'1_Inputs'!$H$6</f>
        <v>0.028212883587601</v>
      </c>
      <c r="D819" s="12">
        <f>D818*EXP(-'1_Inputs'!$H$6*(1/365))</f>
        <v>0.961725535733397</v>
      </c>
    </row>
    <row r="820" spans="1:5">
      <c r="A820" s="4">
        <v>817</v>
      </c>
      <c r="B820" s="6">
        <f t="shared" si="12"/>
        <v>2.23835616438356</v>
      </c>
      <c r="C820" s="8">
        <f>'1_Inputs'!$H$6</f>
        <v>0.028212883587601</v>
      </c>
      <c r="D820" s="6">
        <f>D819*EXP(-'1_Inputs'!$H$6*(1/365))</f>
        <v>0.961651201481404</v>
      </c>
    </row>
    <row r="821" spans="1:5">
      <c r="A821" s="10">
        <v>818</v>
      </c>
      <c r="B821" s="12">
        <f t="shared" si="12"/>
        <v>2.24109589041096</v>
      </c>
      <c r="C821" s="14">
        <f>'1_Inputs'!$H$6</f>
        <v>0.028212883587601</v>
      </c>
      <c r="D821" s="12">
        <f>D820*EXP(-'1_Inputs'!$H$6*(1/365))</f>
        <v>0.961576872974897</v>
      </c>
    </row>
    <row r="822" spans="1:5">
      <c r="A822" s="4">
        <v>819</v>
      </c>
      <c r="B822" s="6">
        <f t="shared" si="12"/>
        <v>2.24383561643836</v>
      </c>
      <c r="C822" s="8">
        <f>'1_Inputs'!$H$6</f>
        <v>0.028212883587601</v>
      </c>
      <c r="D822" s="6">
        <f>D821*EXP(-'1_Inputs'!$H$6*(1/365))</f>
        <v>0.961502550213432</v>
      </c>
    </row>
    <row r="823" spans="1:5">
      <c r="A823" s="10">
        <v>820</v>
      </c>
      <c r="B823" s="12">
        <f t="shared" si="12"/>
        <v>2.24657534246575</v>
      </c>
      <c r="C823" s="14">
        <f>'1_Inputs'!$H$6</f>
        <v>0.028212883587601</v>
      </c>
      <c r="D823" s="12">
        <f>D822*EXP(-'1_Inputs'!$H$6*(1/365))</f>
        <v>0.961428233196566</v>
      </c>
    </row>
    <row r="824" spans="1:5">
      <c r="A824" s="4">
        <v>821</v>
      </c>
      <c r="B824" s="6">
        <f t="shared" si="12"/>
        <v>2.24931506849315</v>
      </c>
      <c r="C824" s="8">
        <f>'1_Inputs'!$H$6</f>
        <v>0.028212883587601</v>
      </c>
      <c r="D824" s="6">
        <f>D823*EXP(-'1_Inputs'!$H$6*(1/365))</f>
        <v>0.961353921923854</v>
      </c>
      <c r="E824" s="43" t="s">
        <v>59</v>
      </c>
    </row>
    <row r="825" spans="1:5">
      <c r="A825" s="10">
        <v>822</v>
      </c>
      <c r="B825" s="12">
        <f t="shared" si="12"/>
        <v>2.25205479452055</v>
      </c>
      <c r="C825" s="14">
        <f>'1_Inputs'!$H$6</f>
        <v>0.028212883587601</v>
      </c>
      <c r="D825" s="12">
        <f>D824*EXP(-'1_Inputs'!$H$6*(1/365))</f>
        <v>0.961279616394853</v>
      </c>
    </row>
    <row r="826" spans="1:5">
      <c r="A826" s="4">
        <v>823</v>
      </c>
      <c r="B826" s="6">
        <f t="shared" si="12"/>
        <v>2.25479452054795</v>
      </c>
      <c r="C826" s="8">
        <f>'1_Inputs'!$H$6</f>
        <v>0.028212883587601</v>
      </c>
      <c r="D826" s="6">
        <f>D825*EXP(-'1_Inputs'!$H$6*(1/365))</f>
        <v>0.961205316609117</v>
      </c>
    </row>
    <row r="827" spans="1:5">
      <c r="A827" s="10">
        <v>824</v>
      </c>
      <c r="B827" s="12">
        <f t="shared" si="12"/>
        <v>2.25753424657534</v>
      </c>
      <c r="C827" s="14">
        <f>'1_Inputs'!$H$6</f>
        <v>0.028212883587601</v>
      </c>
      <c r="D827" s="12">
        <f>D826*EXP(-'1_Inputs'!$H$6*(1/365))</f>
        <v>0.961131022566205</v>
      </c>
    </row>
    <row r="828" spans="1:5">
      <c r="A828" s="4">
        <v>825</v>
      </c>
      <c r="B828" s="6">
        <f t="shared" si="12"/>
        <v>2.26027397260274</v>
      </c>
      <c r="C828" s="8">
        <f>'1_Inputs'!$H$6</f>
        <v>0.028212883587601</v>
      </c>
      <c r="D828" s="6">
        <f>D827*EXP(-'1_Inputs'!$H$6*(1/365))</f>
        <v>0.96105673426567</v>
      </c>
    </row>
    <row r="829" spans="1:5">
      <c r="A829" s="10">
        <v>826</v>
      </c>
      <c r="B829" s="12">
        <f t="shared" si="12"/>
        <v>2.26301369863014</v>
      </c>
      <c r="C829" s="14">
        <f>'1_Inputs'!$H$6</f>
        <v>0.028212883587601</v>
      </c>
      <c r="D829" s="12">
        <f>D828*EXP(-'1_Inputs'!$H$6*(1/365))</f>
        <v>0.960982451707071</v>
      </c>
    </row>
    <row r="830" spans="1:5">
      <c r="A830" s="4">
        <v>827</v>
      </c>
      <c r="B830" s="6">
        <f t="shared" si="12"/>
        <v>2.26575342465753</v>
      </c>
      <c r="C830" s="8">
        <f>'1_Inputs'!$H$6</f>
        <v>0.028212883587601</v>
      </c>
      <c r="D830" s="6">
        <f>D829*EXP(-'1_Inputs'!$H$6*(1/365))</f>
        <v>0.960908174889962</v>
      </c>
    </row>
    <row r="831" spans="1:5">
      <c r="A831" s="10">
        <v>828</v>
      </c>
      <c r="B831" s="12">
        <f t="shared" si="12"/>
        <v>2.26849315068493</v>
      </c>
      <c r="C831" s="14">
        <f>'1_Inputs'!$H$6</f>
        <v>0.028212883587601</v>
      </c>
      <c r="D831" s="12">
        <f>D830*EXP(-'1_Inputs'!$H$6*(1/365))</f>
        <v>0.960833903813901</v>
      </c>
    </row>
    <row r="832" spans="1:5">
      <c r="A832" s="4">
        <v>829</v>
      </c>
      <c r="B832" s="6">
        <f t="shared" si="12"/>
        <v>2.27123287671233</v>
      </c>
      <c r="C832" s="8">
        <f>'1_Inputs'!$H$6</f>
        <v>0.028212883587601</v>
      </c>
      <c r="D832" s="6">
        <f>D831*EXP(-'1_Inputs'!$H$6*(1/365))</f>
        <v>0.960759638478443</v>
      </c>
    </row>
    <row r="833" spans="1:4">
      <c r="A833" s="10">
        <v>830</v>
      </c>
      <c r="B833" s="12">
        <f t="shared" si="12"/>
        <v>2.27397260273973</v>
      </c>
      <c r="C833" s="14">
        <f>'1_Inputs'!$H$6</f>
        <v>0.028212883587601</v>
      </c>
      <c r="D833" s="12">
        <f>D832*EXP(-'1_Inputs'!$H$6*(1/365))</f>
        <v>0.960685378883144</v>
      </c>
    </row>
    <row r="834" spans="1:4">
      <c r="A834" s="4">
        <v>831</v>
      </c>
      <c r="B834" s="6">
        <f t="shared" si="12"/>
        <v>2.27671232876712</v>
      </c>
      <c r="C834" s="8">
        <f>'1_Inputs'!$H$6</f>
        <v>0.028212883587601</v>
      </c>
      <c r="D834" s="6">
        <f>D833*EXP(-'1_Inputs'!$H$6*(1/365))</f>
        <v>0.960611125027562</v>
      </c>
    </row>
    <row r="835" spans="1:4">
      <c r="A835" s="10">
        <v>832</v>
      </c>
      <c r="B835" s="12">
        <f t="shared" ref="B835:B898" si="13">A835/365</f>
        <v>2.27945205479452</v>
      </c>
      <c r="C835" s="14">
        <f>'1_Inputs'!$H$6</f>
        <v>0.028212883587601</v>
      </c>
      <c r="D835" s="12">
        <f>D834*EXP(-'1_Inputs'!$H$6*(1/365))</f>
        <v>0.960536876911252</v>
      </c>
    </row>
    <row r="836" spans="1:4">
      <c r="A836" s="4">
        <v>833</v>
      </c>
      <c r="B836" s="6">
        <f t="shared" si="13"/>
        <v>2.28219178082192</v>
      </c>
      <c r="C836" s="8">
        <f>'1_Inputs'!$H$6</f>
        <v>0.028212883587601</v>
      </c>
      <c r="D836" s="6">
        <f>D835*EXP(-'1_Inputs'!$H$6*(1/365))</f>
        <v>0.960462634533771</v>
      </c>
    </row>
    <row r="837" spans="1:4">
      <c r="A837" s="10">
        <v>834</v>
      </c>
      <c r="B837" s="12">
        <f t="shared" si="13"/>
        <v>2.28493150684932</v>
      </c>
      <c r="C837" s="14">
        <f>'1_Inputs'!$H$6</f>
        <v>0.028212883587601</v>
      </c>
      <c r="D837" s="12">
        <f>D836*EXP(-'1_Inputs'!$H$6*(1/365))</f>
        <v>0.960388397894675</v>
      </c>
    </row>
    <row r="838" spans="1:4">
      <c r="A838" s="4">
        <v>835</v>
      </c>
      <c r="B838" s="6">
        <f t="shared" si="13"/>
        <v>2.28767123287671</v>
      </c>
      <c r="C838" s="8">
        <f>'1_Inputs'!$H$6</f>
        <v>0.028212883587601</v>
      </c>
      <c r="D838" s="6">
        <f>D837*EXP(-'1_Inputs'!$H$6*(1/365))</f>
        <v>0.960314166993521</v>
      </c>
    </row>
    <row r="839" spans="1:4">
      <c r="A839" s="10">
        <v>836</v>
      </c>
      <c r="B839" s="12">
        <f t="shared" si="13"/>
        <v>2.29041095890411</v>
      </c>
      <c r="C839" s="14">
        <f>'1_Inputs'!$H$6</f>
        <v>0.028212883587601</v>
      </c>
      <c r="D839" s="12">
        <f>D838*EXP(-'1_Inputs'!$H$6*(1/365))</f>
        <v>0.960239941829864</v>
      </c>
    </row>
    <row r="840" spans="1:4">
      <c r="A840" s="4">
        <v>837</v>
      </c>
      <c r="B840" s="6">
        <f t="shared" si="13"/>
        <v>2.29315068493151</v>
      </c>
      <c r="C840" s="8">
        <f>'1_Inputs'!$H$6</f>
        <v>0.028212883587601</v>
      </c>
      <c r="D840" s="6">
        <f>D839*EXP(-'1_Inputs'!$H$6*(1/365))</f>
        <v>0.960165722403263</v>
      </c>
    </row>
    <row r="841" spans="1:4">
      <c r="A841" s="10">
        <v>838</v>
      </c>
      <c r="B841" s="12">
        <f t="shared" si="13"/>
        <v>2.2958904109589</v>
      </c>
      <c r="C841" s="14">
        <f>'1_Inputs'!$H$6</f>
        <v>0.028212883587601</v>
      </c>
      <c r="D841" s="12">
        <f>D840*EXP(-'1_Inputs'!$H$6*(1/365))</f>
        <v>0.960091508713273</v>
      </c>
    </row>
    <row r="842" spans="1:4">
      <c r="A842" s="4">
        <v>839</v>
      </c>
      <c r="B842" s="6">
        <f t="shared" si="13"/>
        <v>2.2986301369863</v>
      </c>
      <c r="C842" s="8">
        <f>'1_Inputs'!$H$6</f>
        <v>0.028212883587601</v>
      </c>
      <c r="D842" s="6">
        <f>D841*EXP(-'1_Inputs'!$H$6*(1/365))</f>
        <v>0.960017300759451</v>
      </c>
    </row>
    <row r="843" spans="1:4">
      <c r="A843" s="10">
        <v>840</v>
      </c>
      <c r="B843" s="12">
        <f t="shared" si="13"/>
        <v>2.3013698630137</v>
      </c>
      <c r="C843" s="14">
        <f>'1_Inputs'!$H$6</f>
        <v>0.028212883587601</v>
      </c>
      <c r="D843" s="12">
        <f>D842*EXP(-'1_Inputs'!$H$6*(1/365))</f>
        <v>0.959943098541353</v>
      </c>
    </row>
    <row r="844" spans="1:4">
      <c r="A844" s="4">
        <v>841</v>
      </c>
      <c r="B844" s="6">
        <f t="shared" si="13"/>
        <v>2.3041095890411</v>
      </c>
      <c r="C844" s="8">
        <f>'1_Inputs'!$H$6</f>
        <v>0.028212883587601</v>
      </c>
      <c r="D844" s="6">
        <f>D843*EXP(-'1_Inputs'!$H$6*(1/365))</f>
        <v>0.959868902058537</v>
      </c>
    </row>
    <row r="845" spans="1:4">
      <c r="A845" s="10">
        <v>842</v>
      </c>
      <c r="B845" s="12">
        <f t="shared" si="13"/>
        <v>2.30684931506849</v>
      </c>
      <c r="C845" s="14">
        <f>'1_Inputs'!$H$6</f>
        <v>0.028212883587601</v>
      </c>
      <c r="D845" s="12">
        <f>D844*EXP(-'1_Inputs'!$H$6*(1/365))</f>
        <v>0.959794711310558</v>
      </c>
    </row>
    <row r="846" spans="1:4">
      <c r="A846" s="4">
        <v>843</v>
      </c>
      <c r="B846" s="6">
        <f t="shared" si="13"/>
        <v>2.30958904109589</v>
      </c>
      <c r="C846" s="8">
        <f>'1_Inputs'!$H$6</f>
        <v>0.028212883587601</v>
      </c>
      <c r="D846" s="6">
        <f>D845*EXP(-'1_Inputs'!$H$6*(1/365))</f>
        <v>0.959720526296974</v>
      </c>
    </row>
    <row r="847" spans="1:4">
      <c r="A847" s="10">
        <v>844</v>
      </c>
      <c r="B847" s="12">
        <f t="shared" si="13"/>
        <v>2.31232876712329</v>
      </c>
      <c r="C847" s="14">
        <f>'1_Inputs'!$H$6</f>
        <v>0.028212883587601</v>
      </c>
      <c r="D847" s="12">
        <f>D846*EXP(-'1_Inputs'!$H$6*(1/365))</f>
        <v>0.959646347017342</v>
      </c>
    </row>
    <row r="848" spans="1:4">
      <c r="A848" s="4">
        <v>845</v>
      </c>
      <c r="B848" s="6">
        <f t="shared" si="13"/>
        <v>2.31506849315068</v>
      </c>
      <c r="C848" s="8">
        <f>'1_Inputs'!$H$6</f>
        <v>0.028212883587601</v>
      </c>
      <c r="D848" s="6">
        <f>D847*EXP(-'1_Inputs'!$H$6*(1/365))</f>
        <v>0.959572173471217</v>
      </c>
    </row>
    <row r="849" spans="1:4">
      <c r="A849" s="10">
        <v>846</v>
      </c>
      <c r="B849" s="12">
        <f t="shared" si="13"/>
        <v>2.31780821917808</v>
      </c>
      <c r="C849" s="14">
        <f>'1_Inputs'!$H$6</f>
        <v>0.028212883587601</v>
      </c>
      <c r="D849" s="12">
        <f>D848*EXP(-'1_Inputs'!$H$6*(1/365))</f>
        <v>0.959498005658158</v>
      </c>
    </row>
    <row r="850" spans="1:4">
      <c r="A850" s="4">
        <v>847</v>
      </c>
      <c r="B850" s="6">
        <f t="shared" si="13"/>
        <v>2.32054794520548</v>
      </c>
      <c r="C850" s="8">
        <f>'1_Inputs'!$H$6</f>
        <v>0.028212883587601</v>
      </c>
      <c r="D850" s="6">
        <f>D849*EXP(-'1_Inputs'!$H$6*(1/365))</f>
        <v>0.959423843577721</v>
      </c>
    </row>
    <row r="851" spans="1:4">
      <c r="A851" s="10">
        <v>848</v>
      </c>
      <c r="B851" s="12">
        <f t="shared" si="13"/>
        <v>2.32328767123288</v>
      </c>
      <c r="C851" s="14">
        <f>'1_Inputs'!$H$6</f>
        <v>0.028212883587601</v>
      </c>
      <c r="D851" s="12">
        <f>D850*EXP(-'1_Inputs'!$H$6*(1/365))</f>
        <v>0.959349687229462</v>
      </c>
    </row>
    <row r="852" spans="1:4">
      <c r="A852" s="4">
        <v>849</v>
      </c>
      <c r="B852" s="6">
        <f t="shared" si="13"/>
        <v>2.32602739726027</v>
      </c>
      <c r="C852" s="8">
        <f>'1_Inputs'!$H$6</f>
        <v>0.028212883587601</v>
      </c>
      <c r="D852" s="6">
        <f>D851*EXP(-'1_Inputs'!$H$6*(1/365))</f>
        <v>0.95927553661294</v>
      </c>
    </row>
    <row r="853" spans="1:4">
      <c r="A853" s="10">
        <v>850</v>
      </c>
      <c r="B853" s="12">
        <f t="shared" si="13"/>
        <v>2.32876712328767</v>
      </c>
      <c r="C853" s="14">
        <f>'1_Inputs'!$H$6</f>
        <v>0.028212883587601</v>
      </c>
      <c r="D853" s="12">
        <f>D852*EXP(-'1_Inputs'!$H$6*(1/365))</f>
        <v>0.95920139172771</v>
      </c>
    </row>
    <row r="854" spans="1:4">
      <c r="A854" s="4">
        <v>851</v>
      </c>
      <c r="B854" s="6">
        <f t="shared" si="13"/>
        <v>2.33150684931507</v>
      </c>
      <c r="C854" s="8">
        <f>'1_Inputs'!$H$6</f>
        <v>0.028212883587601</v>
      </c>
      <c r="D854" s="6">
        <f>D853*EXP(-'1_Inputs'!$H$6*(1/365))</f>
        <v>0.95912725257333</v>
      </c>
    </row>
    <row r="855" spans="1:4">
      <c r="A855" s="10">
        <v>852</v>
      </c>
      <c r="B855" s="12">
        <f t="shared" si="13"/>
        <v>2.33424657534247</v>
      </c>
      <c r="C855" s="14">
        <f>'1_Inputs'!$H$6</f>
        <v>0.028212883587601</v>
      </c>
      <c r="D855" s="12">
        <f>D854*EXP(-'1_Inputs'!$H$6*(1/365))</f>
        <v>0.959053119149356</v>
      </c>
    </row>
    <row r="856" spans="1:4">
      <c r="A856" s="4">
        <v>853</v>
      </c>
      <c r="B856" s="6">
        <f t="shared" si="13"/>
        <v>2.33698630136986</v>
      </c>
      <c r="C856" s="8">
        <f>'1_Inputs'!$H$6</f>
        <v>0.028212883587601</v>
      </c>
      <c r="D856" s="6">
        <f>D855*EXP(-'1_Inputs'!$H$6*(1/365))</f>
        <v>0.958978991455347</v>
      </c>
    </row>
    <row r="857" spans="1:4">
      <c r="A857" s="10">
        <v>854</v>
      </c>
      <c r="B857" s="12">
        <f t="shared" si="13"/>
        <v>2.33972602739726</v>
      </c>
      <c r="C857" s="14">
        <f>'1_Inputs'!$H$6</f>
        <v>0.028212883587601</v>
      </c>
      <c r="D857" s="12">
        <f>D856*EXP(-'1_Inputs'!$H$6*(1/365))</f>
        <v>0.958904869490859</v>
      </c>
    </row>
    <row r="858" spans="1:4">
      <c r="A858" s="4">
        <v>855</v>
      </c>
      <c r="B858" s="6">
        <f t="shared" si="13"/>
        <v>2.34246575342466</v>
      </c>
      <c r="C858" s="8">
        <f>'1_Inputs'!$H$6</f>
        <v>0.028212883587601</v>
      </c>
      <c r="D858" s="6">
        <f>D857*EXP(-'1_Inputs'!$H$6*(1/365))</f>
        <v>0.958830753255449</v>
      </c>
    </row>
    <row r="859" spans="1:4">
      <c r="A859" s="10">
        <v>856</v>
      </c>
      <c r="B859" s="12">
        <f t="shared" si="13"/>
        <v>2.34520547945205</v>
      </c>
      <c r="C859" s="14">
        <f>'1_Inputs'!$H$6</f>
        <v>0.028212883587601</v>
      </c>
      <c r="D859" s="12">
        <f>D858*EXP(-'1_Inputs'!$H$6*(1/365))</f>
        <v>0.958756642748674</v>
      </c>
    </row>
    <row r="860" spans="1:4">
      <c r="A860" s="4">
        <v>857</v>
      </c>
      <c r="B860" s="6">
        <f t="shared" si="13"/>
        <v>2.34794520547945</v>
      </c>
      <c r="C860" s="8">
        <f>'1_Inputs'!$H$6</f>
        <v>0.028212883587601</v>
      </c>
      <c r="D860" s="6">
        <f>D859*EXP(-'1_Inputs'!$H$6*(1/365))</f>
        <v>0.958682537970092</v>
      </c>
    </row>
    <row r="861" spans="1:4">
      <c r="A861" s="10">
        <v>858</v>
      </c>
      <c r="B861" s="12">
        <f t="shared" si="13"/>
        <v>2.35068493150685</v>
      </c>
      <c r="C861" s="14">
        <f>'1_Inputs'!$H$6</f>
        <v>0.028212883587601</v>
      </c>
      <c r="D861" s="12">
        <f>D860*EXP(-'1_Inputs'!$H$6*(1/365))</f>
        <v>0.958608438919259</v>
      </c>
    </row>
    <row r="862" spans="1:4">
      <c r="A862" s="4">
        <v>859</v>
      </c>
      <c r="B862" s="6">
        <f t="shared" si="13"/>
        <v>2.35342465753425</v>
      </c>
      <c r="C862" s="8">
        <f>'1_Inputs'!$H$6</f>
        <v>0.028212883587601</v>
      </c>
      <c r="D862" s="6">
        <f>D861*EXP(-'1_Inputs'!$H$6*(1/365))</f>
        <v>0.958534345595734</v>
      </c>
    </row>
    <row r="863" spans="1:4">
      <c r="A863" s="10">
        <v>860</v>
      </c>
      <c r="B863" s="12">
        <f t="shared" si="13"/>
        <v>2.35616438356164</v>
      </c>
      <c r="C863" s="14">
        <f>'1_Inputs'!$H$6</f>
        <v>0.028212883587601</v>
      </c>
      <c r="D863" s="12">
        <f>D862*EXP(-'1_Inputs'!$H$6*(1/365))</f>
        <v>0.958460257999074</v>
      </c>
    </row>
    <row r="864" spans="1:4">
      <c r="A864" s="4">
        <v>861</v>
      </c>
      <c r="B864" s="6">
        <f t="shared" si="13"/>
        <v>2.35890410958904</v>
      </c>
      <c r="C864" s="8">
        <f>'1_Inputs'!$H$6</f>
        <v>0.028212883587601</v>
      </c>
      <c r="D864" s="6">
        <f>D863*EXP(-'1_Inputs'!$H$6*(1/365))</f>
        <v>0.958386176128835</v>
      </c>
    </row>
    <row r="865" spans="1:4">
      <c r="A865" s="10">
        <v>862</v>
      </c>
      <c r="B865" s="12">
        <f t="shared" si="13"/>
        <v>2.36164383561644</v>
      </c>
      <c r="C865" s="14">
        <f>'1_Inputs'!$H$6</f>
        <v>0.028212883587601</v>
      </c>
      <c r="D865" s="12">
        <f>D864*EXP(-'1_Inputs'!$H$6*(1/365))</f>
        <v>0.958312099984575</v>
      </c>
    </row>
    <row r="866" spans="1:4">
      <c r="A866" s="4">
        <v>863</v>
      </c>
      <c r="B866" s="6">
        <f t="shared" si="13"/>
        <v>2.36438356164384</v>
      </c>
      <c r="C866" s="8">
        <f>'1_Inputs'!$H$6</f>
        <v>0.028212883587601</v>
      </c>
      <c r="D866" s="6">
        <f>D865*EXP(-'1_Inputs'!$H$6*(1/365))</f>
        <v>0.958238029565852</v>
      </c>
    </row>
    <row r="867" spans="1:4">
      <c r="A867" s="10">
        <v>864</v>
      </c>
      <c r="B867" s="12">
        <f t="shared" si="13"/>
        <v>2.36712328767123</v>
      </c>
      <c r="C867" s="14">
        <f>'1_Inputs'!$H$6</f>
        <v>0.028212883587601</v>
      </c>
      <c r="D867" s="12">
        <f>D866*EXP(-'1_Inputs'!$H$6*(1/365))</f>
        <v>0.958163964872223</v>
      </c>
    </row>
    <row r="868" spans="1:4">
      <c r="A868" s="4">
        <v>865</v>
      </c>
      <c r="B868" s="6">
        <f t="shared" si="13"/>
        <v>2.36986301369863</v>
      </c>
      <c r="C868" s="8">
        <f>'1_Inputs'!$H$6</f>
        <v>0.028212883587601</v>
      </c>
      <c r="D868" s="6">
        <f>D867*EXP(-'1_Inputs'!$H$6*(1/365))</f>
        <v>0.958089905903245</v>
      </c>
    </row>
    <row r="869" spans="1:4">
      <c r="A869" s="10">
        <v>866</v>
      </c>
      <c r="B869" s="12">
        <f t="shared" si="13"/>
        <v>2.37260273972603</v>
      </c>
      <c r="C869" s="14">
        <f>'1_Inputs'!$H$6</f>
        <v>0.028212883587601</v>
      </c>
      <c r="D869" s="12">
        <f>D868*EXP(-'1_Inputs'!$H$6*(1/365))</f>
        <v>0.958015852658477</v>
      </c>
    </row>
    <row r="870" spans="1:4">
      <c r="A870" s="4">
        <v>867</v>
      </c>
      <c r="B870" s="6">
        <f t="shared" si="13"/>
        <v>2.37534246575342</v>
      </c>
      <c r="C870" s="8">
        <f>'1_Inputs'!$H$6</f>
        <v>0.028212883587601</v>
      </c>
      <c r="D870" s="6">
        <f>D869*EXP(-'1_Inputs'!$H$6*(1/365))</f>
        <v>0.957941805137475</v>
      </c>
    </row>
    <row r="871" spans="1:4">
      <c r="A871" s="10">
        <v>868</v>
      </c>
      <c r="B871" s="12">
        <f t="shared" si="13"/>
        <v>2.37808219178082</v>
      </c>
      <c r="C871" s="14">
        <f>'1_Inputs'!$H$6</f>
        <v>0.028212883587601</v>
      </c>
      <c r="D871" s="12">
        <f>D870*EXP(-'1_Inputs'!$H$6*(1/365))</f>
        <v>0.957867763339798</v>
      </c>
    </row>
    <row r="872" spans="1:4">
      <c r="A872" s="4">
        <v>869</v>
      </c>
      <c r="B872" s="6">
        <f t="shared" si="13"/>
        <v>2.38082191780822</v>
      </c>
      <c r="C872" s="8">
        <f>'1_Inputs'!$H$6</f>
        <v>0.028212883587601</v>
      </c>
      <c r="D872" s="6">
        <f>D871*EXP(-'1_Inputs'!$H$6*(1/365))</f>
        <v>0.957793727265002</v>
      </c>
    </row>
    <row r="873" spans="1:4">
      <c r="A873" s="10">
        <v>870</v>
      </c>
      <c r="B873" s="12">
        <f t="shared" si="13"/>
        <v>2.38356164383562</v>
      </c>
      <c r="C873" s="14">
        <f>'1_Inputs'!$H$6</f>
        <v>0.028212883587601</v>
      </c>
      <c r="D873" s="12">
        <f>D872*EXP(-'1_Inputs'!$H$6*(1/365))</f>
        <v>0.957719696912646</v>
      </c>
    </row>
    <row r="874" spans="1:4">
      <c r="A874" s="4">
        <v>871</v>
      </c>
      <c r="B874" s="6">
        <f t="shared" si="13"/>
        <v>2.38630136986301</v>
      </c>
      <c r="C874" s="8">
        <f>'1_Inputs'!$H$6</f>
        <v>0.028212883587601</v>
      </c>
      <c r="D874" s="6">
        <f>D873*EXP(-'1_Inputs'!$H$6*(1/365))</f>
        <v>0.957645672282287</v>
      </c>
    </row>
    <row r="875" spans="1:4">
      <c r="A875" s="10">
        <v>872</v>
      </c>
      <c r="B875" s="12">
        <f t="shared" si="13"/>
        <v>2.38904109589041</v>
      </c>
      <c r="C875" s="14">
        <f>'1_Inputs'!$H$6</f>
        <v>0.028212883587601</v>
      </c>
      <c r="D875" s="12">
        <f>D874*EXP(-'1_Inputs'!$H$6*(1/365))</f>
        <v>0.957571653373484</v>
      </c>
    </row>
    <row r="876" spans="1:4">
      <c r="A876" s="4">
        <v>873</v>
      </c>
      <c r="B876" s="6">
        <f t="shared" si="13"/>
        <v>2.39178082191781</v>
      </c>
      <c r="C876" s="8">
        <f>'1_Inputs'!$H$6</f>
        <v>0.028212883587601</v>
      </c>
      <c r="D876" s="6">
        <f>D875*EXP(-'1_Inputs'!$H$6*(1/365))</f>
        <v>0.957497640185793</v>
      </c>
    </row>
    <row r="877" spans="1:4">
      <c r="A877" s="10">
        <v>874</v>
      </c>
      <c r="B877" s="12">
        <f t="shared" si="13"/>
        <v>2.39452054794521</v>
      </c>
      <c r="C877" s="14">
        <f>'1_Inputs'!$H$6</f>
        <v>0.028212883587601</v>
      </c>
      <c r="D877" s="12">
        <f>D876*EXP(-'1_Inputs'!$H$6*(1/365))</f>
        <v>0.957423632718772</v>
      </c>
    </row>
    <row r="878" spans="1:4">
      <c r="A878" s="4">
        <v>875</v>
      </c>
      <c r="B878" s="6">
        <f t="shared" si="13"/>
        <v>2.3972602739726</v>
      </c>
      <c r="C878" s="8">
        <f>'1_Inputs'!$H$6</f>
        <v>0.028212883587601</v>
      </c>
      <c r="D878" s="6">
        <f>D877*EXP(-'1_Inputs'!$H$6*(1/365))</f>
        <v>0.95734963097198</v>
      </c>
    </row>
    <row r="879" spans="1:4">
      <c r="A879" s="10">
        <v>876</v>
      </c>
      <c r="B879" s="12">
        <f t="shared" si="13"/>
        <v>2.4</v>
      </c>
      <c r="C879" s="14">
        <f>'1_Inputs'!$H$6</f>
        <v>0.028212883587601</v>
      </c>
      <c r="D879" s="12">
        <f>D878*EXP(-'1_Inputs'!$H$6*(1/365))</f>
        <v>0.957275634944974</v>
      </c>
    </row>
    <row r="880" spans="1:4">
      <c r="A880" s="4">
        <v>877</v>
      </c>
      <c r="B880" s="6">
        <f t="shared" si="13"/>
        <v>2.4027397260274</v>
      </c>
      <c r="C880" s="8">
        <f>'1_Inputs'!$H$6</f>
        <v>0.028212883587601</v>
      </c>
      <c r="D880" s="6">
        <f>D879*EXP(-'1_Inputs'!$H$6*(1/365))</f>
        <v>0.957201644637312</v>
      </c>
    </row>
    <row r="881" spans="1:4">
      <c r="A881" s="10">
        <v>878</v>
      </c>
      <c r="B881" s="12">
        <f t="shared" si="13"/>
        <v>2.40547945205479</v>
      </c>
      <c r="C881" s="14">
        <f>'1_Inputs'!$H$6</f>
        <v>0.028212883587601</v>
      </c>
      <c r="D881" s="12">
        <f>D880*EXP(-'1_Inputs'!$H$6*(1/365))</f>
        <v>0.957127660048553</v>
      </c>
    </row>
    <row r="882" spans="1:4">
      <c r="A882" s="4">
        <v>879</v>
      </c>
      <c r="B882" s="6">
        <f t="shared" si="13"/>
        <v>2.40821917808219</v>
      </c>
      <c r="C882" s="8">
        <f>'1_Inputs'!$H$6</f>
        <v>0.028212883587601</v>
      </c>
      <c r="D882" s="6">
        <f>D881*EXP(-'1_Inputs'!$H$6*(1/365))</f>
        <v>0.957053681178253</v>
      </c>
    </row>
    <row r="883" spans="1:4">
      <c r="A883" s="10">
        <v>880</v>
      </c>
      <c r="B883" s="12">
        <f t="shared" si="13"/>
        <v>2.41095890410959</v>
      </c>
      <c r="C883" s="14">
        <f>'1_Inputs'!$H$6</f>
        <v>0.028212883587601</v>
      </c>
      <c r="D883" s="12">
        <f>D882*EXP(-'1_Inputs'!$H$6*(1/365))</f>
        <v>0.956979708025972</v>
      </c>
    </row>
    <row r="884" spans="1:4">
      <c r="A884" s="4">
        <v>881</v>
      </c>
      <c r="B884" s="6">
        <f t="shared" si="13"/>
        <v>2.41369863013699</v>
      </c>
      <c r="C884" s="8">
        <f>'1_Inputs'!$H$6</f>
        <v>0.028212883587601</v>
      </c>
      <c r="D884" s="6">
        <f>D883*EXP(-'1_Inputs'!$H$6*(1/365))</f>
        <v>0.956905740591266</v>
      </c>
    </row>
    <row r="885" spans="1:4">
      <c r="A885" s="10">
        <v>882</v>
      </c>
      <c r="B885" s="12">
        <f t="shared" si="13"/>
        <v>2.41643835616438</v>
      </c>
      <c r="C885" s="14">
        <f>'1_Inputs'!$H$6</f>
        <v>0.028212883587601</v>
      </c>
      <c r="D885" s="12">
        <f>D884*EXP(-'1_Inputs'!$H$6*(1/365))</f>
        <v>0.956831778873695</v>
      </c>
    </row>
    <row r="886" spans="1:4">
      <c r="A886" s="4">
        <v>883</v>
      </c>
      <c r="B886" s="6">
        <f t="shared" si="13"/>
        <v>2.41917808219178</v>
      </c>
      <c r="C886" s="8">
        <f>'1_Inputs'!$H$6</f>
        <v>0.028212883587601</v>
      </c>
      <c r="D886" s="6">
        <f>D885*EXP(-'1_Inputs'!$H$6*(1/365))</f>
        <v>0.956757822872816</v>
      </c>
    </row>
    <row r="887" spans="1:4">
      <c r="A887" s="10">
        <v>884</v>
      </c>
      <c r="B887" s="12">
        <f t="shared" si="13"/>
        <v>2.42191780821918</v>
      </c>
      <c r="C887" s="14">
        <f>'1_Inputs'!$H$6</f>
        <v>0.028212883587601</v>
      </c>
      <c r="D887" s="12">
        <f>D886*EXP(-'1_Inputs'!$H$6*(1/365))</f>
        <v>0.956683872588187</v>
      </c>
    </row>
    <row r="888" spans="1:4">
      <c r="A888" s="4">
        <v>885</v>
      </c>
      <c r="B888" s="6">
        <f t="shared" si="13"/>
        <v>2.42465753424658</v>
      </c>
      <c r="C888" s="8">
        <f>'1_Inputs'!$H$6</f>
        <v>0.028212883587601</v>
      </c>
      <c r="D888" s="6">
        <f>D887*EXP(-'1_Inputs'!$H$6*(1/365))</f>
        <v>0.956609928019367</v>
      </c>
    </row>
    <row r="889" spans="1:4">
      <c r="A889" s="10">
        <v>886</v>
      </c>
      <c r="B889" s="12">
        <f t="shared" si="13"/>
        <v>2.42739726027397</v>
      </c>
      <c r="C889" s="14">
        <f>'1_Inputs'!$H$6</f>
        <v>0.028212883587601</v>
      </c>
      <c r="D889" s="12">
        <f>D888*EXP(-'1_Inputs'!$H$6*(1/365))</f>
        <v>0.956535989165914</v>
      </c>
    </row>
    <row r="890" spans="1:4">
      <c r="A890" s="4">
        <v>887</v>
      </c>
      <c r="B890" s="6">
        <f t="shared" si="13"/>
        <v>2.43013698630137</v>
      </c>
      <c r="C890" s="8">
        <f>'1_Inputs'!$H$6</f>
        <v>0.028212883587601</v>
      </c>
      <c r="D890" s="6">
        <f>D889*EXP(-'1_Inputs'!$H$6*(1/365))</f>
        <v>0.956462056027386</v>
      </c>
    </row>
    <row r="891" spans="1:4">
      <c r="A891" s="10">
        <v>888</v>
      </c>
      <c r="B891" s="12">
        <f t="shared" si="13"/>
        <v>2.43287671232877</v>
      </c>
      <c r="C891" s="14">
        <f>'1_Inputs'!$H$6</f>
        <v>0.028212883587601</v>
      </c>
      <c r="D891" s="12">
        <f>D890*EXP(-'1_Inputs'!$H$6*(1/365))</f>
        <v>0.956388128603342</v>
      </c>
    </row>
    <row r="892" spans="1:4">
      <c r="A892" s="4">
        <v>889</v>
      </c>
      <c r="B892" s="6">
        <f t="shared" si="13"/>
        <v>2.43561643835616</v>
      </c>
      <c r="C892" s="8">
        <f>'1_Inputs'!$H$6</f>
        <v>0.028212883587601</v>
      </c>
      <c r="D892" s="6">
        <f>D891*EXP(-'1_Inputs'!$H$6*(1/365))</f>
        <v>0.956314206893339</v>
      </c>
    </row>
    <row r="893" spans="1:4">
      <c r="A893" s="10">
        <v>890</v>
      </c>
      <c r="B893" s="12">
        <f t="shared" si="13"/>
        <v>2.43835616438356</v>
      </c>
      <c r="C893" s="14">
        <f>'1_Inputs'!$H$6</f>
        <v>0.028212883587601</v>
      </c>
      <c r="D893" s="12">
        <f>D892*EXP(-'1_Inputs'!$H$6*(1/365))</f>
        <v>0.956240290896936</v>
      </c>
    </row>
    <row r="894" spans="1:4">
      <c r="A894" s="4">
        <v>891</v>
      </c>
      <c r="B894" s="6">
        <f t="shared" si="13"/>
        <v>2.44109589041096</v>
      </c>
      <c r="C894" s="8">
        <f>'1_Inputs'!$H$6</f>
        <v>0.028212883587601</v>
      </c>
      <c r="D894" s="6">
        <f>D893*EXP(-'1_Inputs'!$H$6*(1/365))</f>
        <v>0.956166380613691</v>
      </c>
    </row>
    <row r="895" spans="1:4">
      <c r="A895" s="10">
        <v>892</v>
      </c>
      <c r="B895" s="12">
        <f t="shared" si="13"/>
        <v>2.44383561643836</v>
      </c>
      <c r="C895" s="14">
        <f>'1_Inputs'!$H$6</f>
        <v>0.028212883587601</v>
      </c>
      <c r="D895" s="12">
        <f>D894*EXP(-'1_Inputs'!$H$6*(1/365))</f>
        <v>0.956092476043163</v>
      </c>
    </row>
    <row r="896" spans="1:4">
      <c r="A896" s="4">
        <v>893</v>
      </c>
      <c r="B896" s="6">
        <f t="shared" si="13"/>
        <v>2.44657534246575</v>
      </c>
      <c r="C896" s="8">
        <f>'1_Inputs'!$H$6</f>
        <v>0.028212883587601</v>
      </c>
      <c r="D896" s="6">
        <f>D895*EXP(-'1_Inputs'!$H$6*(1/365))</f>
        <v>0.95601857718491</v>
      </c>
    </row>
    <row r="897" spans="1:4">
      <c r="A897" s="10">
        <v>894</v>
      </c>
      <c r="B897" s="12">
        <f t="shared" si="13"/>
        <v>2.44931506849315</v>
      </c>
      <c r="C897" s="14">
        <f>'1_Inputs'!$H$6</f>
        <v>0.028212883587601</v>
      </c>
      <c r="D897" s="12">
        <f>D896*EXP(-'1_Inputs'!$H$6*(1/365))</f>
        <v>0.955944684038491</v>
      </c>
    </row>
    <row r="898" spans="1:4">
      <c r="A898" s="4">
        <v>895</v>
      </c>
      <c r="B898" s="6">
        <f t="shared" si="13"/>
        <v>2.45205479452055</v>
      </c>
      <c r="C898" s="8">
        <f>'1_Inputs'!$H$6</f>
        <v>0.028212883587601</v>
      </c>
      <c r="D898" s="6">
        <f>D897*EXP(-'1_Inputs'!$H$6*(1/365))</f>
        <v>0.955870796603465</v>
      </c>
    </row>
    <row r="899" spans="1:4">
      <c r="A899" s="10">
        <v>896</v>
      </c>
      <c r="B899" s="12">
        <f t="shared" ref="B899:B962" si="14">A899/365</f>
        <v>2.45479452054795</v>
      </c>
      <c r="C899" s="14">
        <f>'1_Inputs'!$H$6</f>
        <v>0.028212883587601</v>
      </c>
      <c r="D899" s="12">
        <f>D898*EXP(-'1_Inputs'!$H$6*(1/365))</f>
        <v>0.955796914879389</v>
      </c>
    </row>
    <row r="900" spans="1:4">
      <c r="A900" s="4">
        <v>897</v>
      </c>
      <c r="B900" s="6">
        <f t="shared" si="14"/>
        <v>2.45753424657534</v>
      </c>
      <c r="C900" s="8">
        <f>'1_Inputs'!$H$6</f>
        <v>0.028212883587601</v>
      </c>
      <c r="D900" s="6">
        <f>D899*EXP(-'1_Inputs'!$H$6*(1/365))</f>
        <v>0.955723038865822</v>
      </c>
    </row>
    <row r="901" spans="1:4">
      <c r="A901" s="10">
        <v>898</v>
      </c>
      <c r="B901" s="12">
        <f t="shared" si="14"/>
        <v>2.46027397260274</v>
      </c>
      <c r="C901" s="14">
        <f>'1_Inputs'!$H$6</f>
        <v>0.028212883587601</v>
      </c>
      <c r="D901" s="12">
        <f>D900*EXP(-'1_Inputs'!$H$6*(1/365))</f>
        <v>0.955649168562324</v>
      </c>
    </row>
    <row r="902" spans="1:4">
      <c r="A902" s="4">
        <v>899</v>
      </c>
      <c r="B902" s="6">
        <f t="shared" si="14"/>
        <v>2.46301369863014</v>
      </c>
      <c r="C902" s="8">
        <f>'1_Inputs'!$H$6</f>
        <v>0.028212883587601</v>
      </c>
      <c r="D902" s="6">
        <f>D901*EXP(-'1_Inputs'!$H$6*(1/365))</f>
        <v>0.955575303968452</v>
      </c>
    </row>
    <row r="903" spans="1:4">
      <c r="A903" s="10">
        <v>900</v>
      </c>
      <c r="B903" s="12">
        <f t="shared" si="14"/>
        <v>2.46575342465753</v>
      </c>
      <c r="C903" s="14">
        <f>'1_Inputs'!$H$6</f>
        <v>0.028212883587601</v>
      </c>
      <c r="D903" s="12">
        <f>D902*EXP(-'1_Inputs'!$H$6*(1/365))</f>
        <v>0.955501445083766</v>
      </c>
    </row>
    <row r="904" spans="1:4">
      <c r="A904" s="4">
        <v>901</v>
      </c>
      <c r="B904" s="6">
        <f t="shared" si="14"/>
        <v>2.46849315068493</v>
      </c>
      <c r="C904" s="8">
        <f>'1_Inputs'!$H$6</f>
        <v>0.028212883587601</v>
      </c>
      <c r="D904" s="6">
        <f>D903*EXP(-'1_Inputs'!$H$6*(1/365))</f>
        <v>0.955427591907823</v>
      </c>
    </row>
    <row r="905" spans="1:4">
      <c r="A905" s="10">
        <v>902</v>
      </c>
      <c r="B905" s="12">
        <f t="shared" si="14"/>
        <v>2.47123287671233</v>
      </c>
      <c r="C905" s="14">
        <f>'1_Inputs'!$H$6</f>
        <v>0.028212883587601</v>
      </c>
      <c r="D905" s="12">
        <f>D904*EXP(-'1_Inputs'!$H$6*(1/365))</f>
        <v>0.955353744440184</v>
      </c>
    </row>
    <row r="906" spans="1:4">
      <c r="A906" s="4">
        <v>903</v>
      </c>
      <c r="B906" s="6">
        <f t="shared" si="14"/>
        <v>2.47397260273973</v>
      </c>
      <c r="C906" s="8">
        <f>'1_Inputs'!$H$6</f>
        <v>0.028212883587601</v>
      </c>
      <c r="D906" s="6">
        <f>D905*EXP(-'1_Inputs'!$H$6*(1/365))</f>
        <v>0.955279902680406</v>
      </c>
    </row>
    <row r="907" spans="1:4">
      <c r="A907" s="10">
        <v>904</v>
      </c>
      <c r="B907" s="12">
        <f t="shared" si="14"/>
        <v>2.47671232876712</v>
      </c>
      <c r="C907" s="14">
        <f>'1_Inputs'!$H$6</f>
        <v>0.028212883587601</v>
      </c>
      <c r="D907" s="12">
        <f>D906*EXP(-'1_Inputs'!$H$6*(1/365))</f>
        <v>0.955206066628048</v>
      </c>
    </row>
    <row r="908" spans="1:4">
      <c r="A908" s="4">
        <v>905</v>
      </c>
      <c r="B908" s="6">
        <f t="shared" si="14"/>
        <v>2.47945205479452</v>
      </c>
      <c r="C908" s="8">
        <f>'1_Inputs'!$H$6</f>
        <v>0.028212883587601</v>
      </c>
      <c r="D908" s="6">
        <f>D907*EXP(-'1_Inputs'!$H$6*(1/365))</f>
        <v>0.95513223628267</v>
      </c>
    </row>
    <row r="909" spans="1:4">
      <c r="A909" s="10">
        <v>906</v>
      </c>
      <c r="B909" s="12">
        <f t="shared" si="14"/>
        <v>2.48219178082192</v>
      </c>
      <c r="C909" s="14">
        <f>'1_Inputs'!$H$6</f>
        <v>0.028212883587601</v>
      </c>
      <c r="D909" s="12">
        <f>D908*EXP(-'1_Inputs'!$H$6*(1/365))</f>
        <v>0.95505841164383</v>
      </c>
    </row>
    <row r="910" spans="1:4">
      <c r="A910" s="4">
        <v>907</v>
      </c>
      <c r="B910" s="6">
        <f t="shared" si="14"/>
        <v>2.48493150684931</v>
      </c>
      <c r="C910" s="8">
        <f>'1_Inputs'!$H$6</f>
        <v>0.028212883587601</v>
      </c>
      <c r="D910" s="6">
        <f>D909*EXP(-'1_Inputs'!$H$6*(1/365))</f>
        <v>0.954984592711087</v>
      </c>
    </row>
    <row r="911" spans="1:4">
      <c r="A911" s="10">
        <v>908</v>
      </c>
      <c r="B911" s="12">
        <f t="shared" si="14"/>
        <v>2.48767123287671</v>
      </c>
      <c r="C911" s="14">
        <f>'1_Inputs'!$H$6</f>
        <v>0.028212883587601</v>
      </c>
      <c r="D911" s="12">
        <f>D910*EXP(-'1_Inputs'!$H$6*(1/365))</f>
        <v>0.954910779484</v>
      </c>
    </row>
    <row r="912" spans="1:4">
      <c r="A912" s="4">
        <v>909</v>
      </c>
      <c r="B912" s="6">
        <f t="shared" si="14"/>
        <v>2.49041095890411</v>
      </c>
      <c r="C912" s="8">
        <f>'1_Inputs'!$H$6</f>
        <v>0.028212883587601</v>
      </c>
      <c r="D912" s="6">
        <f>D911*EXP(-'1_Inputs'!$H$6*(1/365))</f>
        <v>0.954836971962128</v>
      </c>
    </row>
    <row r="913" spans="1:5">
      <c r="A913" s="10">
        <v>910</v>
      </c>
      <c r="B913" s="12">
        <f t="shared" si="14"/>
        <v>2.49315068493151</v>
      </c>
      <c r="C913" s="14">
        <f>'1_Inputs'!$H$6</f>
        <v>0.028212883587601</v>
      </c>
      <c r="D913" s="12">
        <f>D912*EXP(-'1_Inputs'!$H$6*(1/365))</f>
        <v>0.95476317014503</v>
      </c>
    </row>
    <row r="914" spans="1:5">
      <c r="A914" s="4">
        <v>911</v>
      </c>
      <c r="B914" s="6">
        <f t="shared" si="14"/>
        <v>2.4958904109589</v>
      </c>
      <c r="C914" s="8">
        <f>'1_Inputs'!$H$6</f>
        <v>0.028212883587601</v>
      </c>
      <c r="D914" s="6">
        <f>D913*EXP(-'1_Inputs'!$H$6*(1/365))</f>
        <v>0.954689374032266</v>
      </c>
    </row>
    <row r="915" spans="1:5">
      <c r="A915" s="10">
        <v>912</v>
      </c>
      <c r="B915" s="12">
        <f t="shared" si="14"/>
        <v>2.4986301369863</v>
      </c>
      <c r="C915" s="14">
        <f>'1_Inputs'!$H$6</f>
        <v>0.028212883587601</v>
      </c>
      <c r="D915" s="12">
        <f>D914*EXP(-'1_Inputs'!$H$6*(1/365))</f>
        <v>0.954615583623394</v>
      </c>
      <c r="E915" s="43" t="s">
        <v>59</v>
      </c>
    </row>
    <row r="916" spans="1:5">
      <c r="A916" s="4">
        <v>913</v>
      </c>
      <c r="B916" s="6">
        <f t="shared" si="14"/>
        <v>2.5013698630137</v>
      </c>
      <c r="C916" s="8">
        <f>'1_Inputs'!$H$6</f>
        <v>0.028212883587601</v>
      </c>
      <c r="D916" s="6">
        <f>D915*EXP(-'1_Inputs'!$H$6*(1/365))</f>
        <v>0.954541798917973</v>
      </c>
    </row>
    <row r="917" spans="1:5">
      <c r="A917" s="10">
        <v>914</v>
      </c>
      <c r="B917" s="12">
        <f t="shared" si="14"/>
        <v>2.5041095890411</v>
      </c>
      <c r="C917" s="14">
        <f>'1_Inputs'!$H$6</f>
        <v>0.028212883587601</v>
      </c>
      <c r="D917" s="12">
        <f>D916*EXP(-'1_Inputs'!$H$6*(1/365))</f>
        <v>0.954468019915563</v>
      </c>
    </row>
    <row r="918" spans="1:5">
      <c r="A918" s="4">
        <v>915</v>
      </c>
      <c r="B918" s="6">
        <f t="shared" si="14"/>
        <v>2.50684931506849</v>
      </c>
      <c r="C918" s="8">
        <f>'1_Inputs'!$H$6</f>
        <v>0.028212883587601</v>
      </c>
      <c r="D918" s="6">
        <f>D917*EXP(-'1_Inputs'!$H$6*(1/365))</f>
        <v>0.954394246615722</v>
      </c>
    </row>
    <row r="919" spans="1:5">
      <c r="A919" s="10">
        <v>916</v>
      </c>
      <c r="B919" s="12">
        <f t="shared" si="14"/>
        <v>2.50958904109589</v>
      </c>
      <c r="C919" s="14">
        <f>'1_Inputs'!$H$6</f>
        <v>0.028212883587601</v>
      </c>
      <c r="D919" s="12">
        <f>D918*EXP(-'1_Inputs'!$H$6*(1/365))</f>
        <v>0.95432047901801</v>
      </c>
    </row>
    <row r="920" spans="1:5">
      <c r="A920" s="4">
        <v>917</v>
      </c>
      <c r="B920" s="6">
        <f t="shared" si="14"/>
        <v>2.51232876712329</v>
      </c>
      <c r="C920" s="8">
        <f>'1_Inputs'!$H$6</f>
        <v>0.028212883587601</v>
      </c>
      <c r="D920" s="6">
        <f>D919*EXP(-'1_Inputs'!$H$6*(1/365))</f>
        <v>0.954246717121987</v>
      </c>
    </row>
    <row r="921" spans="1:5">
      <c r="A921" s="10">
        <v>918</v>
      </c>
      <c r="B921" s="12">
        <f t="shared" si="14"/>
        <v>2.51506849315068</v>
      </c>
      <c r="C921" s="14">
        <f>'1_Inputs'!$H$6</f>
        <v>0.028212883587601</v>
      </c>
      <c r="D921" s="12">
        <f>D920*EXP(-'1_Inputs'!$H$6*(1/365))</f>
        <v>0.954172960927211</v>
      </c>
    </row>
    <row r="922" spans="1:5">
      <c r="A922" s="4">
        <v>919</v>
      </c>
      <c r="B922" s="6">
        <f t="shared" si="14"/>
        <v>2.51780821917808</v>
      </c>
      <c r="C922" s="8">
        <f>'1_Inputs'!$H$6</f>
        <v>0.028212883587601</v>
      </c>
      <c r="D922" s="6">
        <f>D921*EXP(-'1_Inputs'!$H$6*(1/365))</f>
        <v>0.954099210433243</v>
      </c>
    </row>
    <row r="923" spans="1:5">
      <c r="A923" s="10">
        <v>920</v>
      </c>
      <c r="B923" s="12">
        <f t="shared" si="14"/>
        <v>2.52054794520548</v>
      </c>
      <c r="C923" s="14">
        <f>'1_Inputs'!$H$6</f>
        <v>0.028212883587601</v>
      </c>
      <c r="D923" s="12">
        <f>D922*EXP(-'1_Inputs'!$H$6*(1/365))</f>
        <v>0.95402546563964</v>
      </c>
    </row>
    <row r="924" spans="1:5">
      <c r="A924" s="4">
        <v>921</v>
      </c>
      <c r="B924" s="6">
        <f t="shared" si="14"/>
        <v>2.52328767123288</v>
      </c>
      <c r="C924" s="8">
        <f>'1_Inputs'!$H$6</f>
        <v>0.028212883587601</v>
      </c>
      <c r="D924" s="6">
        <f>D923*EXP(-'1_Inputs'!$H$6*(1/365))</f>
        <v>0.953951726545963</v>
      </c>
    </row>
    <row r="925" spans="1:5">
      <c r="A925" s="10">
        <v>922</v>
      </c>
      <c r="B925" s="12">
        <f t="shared" si="14"/>
        <v>2.52602739726027</v>
      </c>
      <c r="C925" s="14">
        <f>'1_Inputs'!$H$6</f>
        <v>0.028212883587601</v>
      </c>
      <c r="D925" s="12">
        <f>D924*EXP(-'1_Inputs'!$H$6*(1/365))</f>
        <v>0.953877993151771</v>
      </c>
    </row>
    <row r="926" spans="1:5">
      <c r="A926" s="4">
        <v>923</v>
      </c>
      <c r="B926" s="6">
        <f t="shared" si="14"/>
        <v>2.52876712328767</v>
      </c>
      <c r="C926" s="8">
        <f>'1_Inputs'!$H$6</f>
        <v>0.028212883587601</v>
      </c>
      <c r="D926" s="6">
        <f>D925*EXP(-'1_Inputs'!$H$6*(1/365))</f>
        <v>0.953804265456624</v>
      </c>
    </row>
    <row r="927" spans="1:5">
      <c r="A927" s="10">
        <v>924</v>
      </c>
      <c r="B927" s="12">
        <f t="shared" si="14"/>
        <v>2.53150684931507</v>
      </c>
      <c r="C927" s="14">
        <f>'1_Inputs'!$H$6</f>
        <v>0.028212883587601</v>
      </c>
      <c r="D927" s="12">
        <f>D926*EXP(-'1_Inputs'!$H$6*(1/365))</f>
        <v>0.953730543460081</v>
      </c>
    </row>
    <row r="928" spans="1:5">
      <c r="A928" s="4">
        <v>925</v>
      </c>
      <c r="B928" s="6">
        <f t="shared" si="14"/>
        <v>2.53424657534247</v>
      </c>
      <c r="C928" s="8">
        <f>'1_Inputs'!$H$6</f>
        <v>0.028212883587601</v>
      </c>
      <c r="D928" s="6">
        <f>D927*EXP(-'1_Inputs'!$H$6*(1/365))</f>
        <v>0.953656827161702</v>
      </c>
    </row>
    <row r="929" spans="1:4">
      <c r="A929" s="10">
        <v>926</v>
      </c>
      <c r="B929" s="12">
        <f t="shared" si="14"/>
        <v>2.53698630136986</v>
      </c>
      <c r="C929" s="14">
        <f>'1_Inputs'!$H$6</f>
        <v>0.028212883587601</v>
      </c>
      <c r="D929" s="12">
        <f>D928*EXP(-'1_Inputs'!$H$6*(1/365))</f>
        <v>0.953583116561045</v>
      </c>
    </row>
    <row r="930" spans="1:4">
      <c r="A930" s="4">
        <v>927</v>
      </c>
      <c r="B930" s="6">
        <f t="shared" si="14"/>
        <v>2.53972602739726</v>
      </c>
      <c r="C930" s="8">
        <f>'1_Inputs'!$H$6</f>
        <v>0.028212883587601</v>
      </c>
      <c r="D930" s="6">
        <f>D929*EXP(-'1_Inputs'!$H$6*(1/365))</f>
        <v>0.953509411657672</v>
      </c>
    </row>
    <row r="931" spans="1:4">
      <c r="A931" s="10">
        <v>928</v>
      </c>
      <c r="B931" s="12">
        <f t="shared" si="14"/>
        <v>2.54246575342466</v>
      </c>
      <c r="C931" s="14">
        <f>'1_Inputs'!$H$6</f>
        <v>0.028212883587601</v>
      </c>
      <c r="D931" s="12">
        <f>D930*EXP(-'1_Inputs'!$H$6*(1/365))</f>
        <v>0.953435712451141</v>
      </c>
    </row>
    <row r="932" spans="1:4">
      <c r="A932" s="4">
        <v>929</v>
      </c>
      <c r="B932" s="6">
        <f t="shared" si="14"/>
        <v>2.54520547945205</v>
      </c>
      <c r="C932" s="8">
        <f>'1_Inputs'!$H$6</f>
        <v>0.028212883587601</v>
      </c>
      <c r="D932" s="6">
        <f>D931*EXP(-'1_Inputs'!$H$6*(1/365))</f>
        <v>0.953362018941012</v>
      </c>
    </row>
    <row r="933" spans="1:4">
      <c r="A933" s="10">
        <v>930</v>
      </c>
      <c r="B933" s="12">
        <f t="shared" si="14"/>
        <v>2.54794520547945</v>
      </c>
      <c r="C933" s="14">
        <f>'1_Inputs'!$H$6</f>
        <v>0.028212883587601</v>
      </c>
      <c r="D933" s="12">
        <f>D932*EXP(-'1_Inputs'!$H$6*(1/365))</f>
        <v>0.953288331126845</v>
      </c>
    </row>
    <row r="934" spans="1:4">
      <c r="A934" s="4">
        <v>931</v>
      </c>
      <c r="B934" s="6">
        <f t="shared" si="14"/>
        <v>2.55068493150685</v>
      </c>
      <c r="C934" s="8">
        <f>'1_Inputs'!$H$6</f>
        <v>0.028212883587601</v>
      </c>
      <c r="D934" s="6">
        <f>D933*EXP(-'1_Inputs'!$H$6*(1/365))</f>
        <v>0.953214649008199</v>
      </c>
    </row>
    <row r="935" spans="1:4">
      <c r="A935" s="10">
        <v>932</v>
      </c>
      <c r="B935" s="12">
        <f t="shared" si="14"/>
        <v>2.55342465753425</v>
      </c>
      <c r="C935" s="14">
        <f>'1_Inputs'!$H$6</f>
        <v>0.028212883587601</v>
      </c>
      <c r="D935" s="12">
        <f>D934*EXP(-'1_Inputs'!$H$6*(1/365))</f>
        <v>0.953140972584635</v>
      </c>
    </row>
    <row r="936" spans="1:4">
      <c r="A936" s="4">
        <v>933</v>
      </c>
      <c r="B936" s="6">
        <f t="shared" si="14"/>
        <v>2.55616438356164</v>
      </c>
      <c r="C936" s="8">
        <f>'1_Inputs'!$H$6</f>
        <v>0.028212883587601</v>
      </c>
      <c r="D936" s="6">
        <f>D935*EXP(-'1_Inputs'!$H$6*(1/365))</f>
        <v>0.953067301855712</v>
      </c>
    </row>
    <row r="937" spans="1:4">
      <c r="A937" s="10">
        <v>934</v>
      </c>
      <c r="B937" s="12">
        <f t="shared" si="14"/>
        <v>2.55890410958904</v>
      </c>
      <c r="C937" s="14">
        <f>'1_Inputs'!$H$6</f>
        <v>0.028212883587601</v>
      </c>
      <c r="D937" s="12">
        <f>D936*EXP(-'1_Inputs'!$H$6*(1/365))</f>
        <v>0.95299363682099</v>
      </c>
    </row>
    <row r="938" spans="1:4">
      <c r="A938" s="4">
        <v>935</v>
      </c>
      <c r="B938" s="6">
        <f t="shared" si="14"/>
        <v>2.56164383561644</v>
      </c>
      <c r="C938" s="8">
        <f>'1_Inputs'!$H$6</f>
        <v>0.028212883587601</v>
      </c>
      <c r="D938" s="6">
        <f>D937*EXP(-'1_Inputs'!$H$6*(1/365))</f>
        <v>0.952919977480029</v>
      </c>
    </row>
    <row r="939" spans="1:4">
      <c r="A939" s="10">
        <v>936</v>
      </c>
      <c r="B939" s="12">
        <f t="shared" si="14"/>
        <v>2.56438356164384</v>
      </c>
      <c r="C939" s="14">
        <f>'1_Inputs'!$H$6</f>
        <v>0.028212883587601</v>
      </c>
      <c r="D939" s="12">
        <f>D938*EXP(-'1_Inputs'!$H$6*(1/365))</f>
        <v>0.952846323832389</v>
      </c>
    </row>
    <row r="940" spans="1:4">
      <c r="A940" s="4">
        <v>937</v>
      </c>
      <c r="B940" s="6">
        <f t="shared" si="14"/>
        <v>2.56712328767123</v>
      </c>
      <c r="C940" s="8">
        <f>'1_Inputs'!$H$6</f>
        <v>0.028212883587601</v>
      </c>
      <c r="D940" s="6">
        <f>D939*EXP(-'1_Inputs'!$H$6*(1/365))</f>
        <v>0.95277267587763</v>
      </c>
    </row>
    <row r="941" spans="1:4">
      <c r="A941" s="10">
        <v>938</v>
      </c>
      <c r="B941" s="12">
        <f t="shared" si="14"/>
        <v>2.56986301369863</v>
      </c>
      <c r="C941" s="14">
        <f>'1_Inputs'!$H$6</f>
        <v>0.028212883587601</v>
      </c>
      <c r="D941" s="12">
        <f>D940*EXP(-'1_Inputs'!$H$6*(1/365))</f>
        <v>0.952699033615311</v>
      </c>
    </row>
    <row r="942" spans="1:4">
      <c r="A942" s="4">
        <v>939</v>
      </c>
      <c r="B942" s="6">
        <f t="shared" si="14"/>
        <v>2.57260273972603</v>
      </c>
      <c r="C942" s="8">
        <f>'1_Inputs'!$H$6</f>
        <v>0.028212883587601</v>
      </c>
      <c r="D942" s="6">
        <f>D941*EXP(-'1_Inputs'!$H$6*(1/365))</f>
        <v>0.952625397044993</v>
      </c>
    </row>
    <row r="943" spans="1:4">
      <c r="A943" s="10">
        <v>940</v>
      </c>
      <c r="B943" s="12">
        <f t="shared" si="14"/>
        <v>2.57534246575342</v>
      </c>
      <c r="C943" s="14">
        <f>'1_Inputs'!$H$6</f>
        <v>0.028212883587601</v>
      </c>
      <c r="D943" s="12">
        <f>D942*EXP(-'1_Inputs'!$H$6*(1/365))</f>
        <v>0.952551766166236</v>
      </c>
    </row>
    <row r="944" spans="1:4">
      <c r="A944" s="4">
        <v>941</v>
      </c>
      <c r="B944" s="6">
        <f t="shared" si="14"/>
        <v>2.57808219178082</v>
      </c>
      <c r="C944" s="8">
        <f>'1_Inputs'!$H$6</f>
        <v>0.028212883587601</v>
      </c>
      <c r="D944" s="6">
        <f>D943*EXP(-'1_Inputs'!$H$6*(1/365))</f>
        <v>0.9524781409786</v>
      </c>
    </row>
    <row r="945" spans="1:4">
      <c r="A945" s="10">
        <v>942</v>
      </c>
      <c r="B945" s="12">
        <f t="shared" si="14"/>
        <v>2.58082191780822</v>
      </c>
      <c r="C945" s="14">
        <f>'1_Inputs'!$H$6</f>
        <v>0.028212883587601</v>
      </c>
      <c r="D945" s="12">
        <f>D944*EXP(-'1_Inputs'!$H$6*(1/365))</f>
        <v>0.952404521481645</v>
      </c>
    </row>
    <row r="946" spans="1:4">
      <c r="A946" s="4">
        <v>943</v>
      </c>
      <c r="B946" s="6">
        <f t="shared" si="14"/>
        <v>2.58356164383562</v>
      </c>
      <c r="C946" s="8">
        <f>'1_Inputs'!$H$6</f>
        <v>0.028212883587601</v>
      </c>
      <c r="D946" s="6">
        <f>D945*EXP(-'1_Inputs'!$H$6*(1/365))</f>
        <v>0.952330907674931</v>
      </c>
    </row>
    <row r="947" spans="1:4">
      <c r="A947" s="10">
        <v>944</v>
      </c>
      <c r="B947" s="12">
        <f t="shared" si="14"/>
        <v>2.58630136986301</v>
      </c>
      <c r="C947" s="14">
        <f>'1_Inputs'!$H$6</f>
        <v>0.028212883587601</v>
      </c>
      <c r="D947" s="12">
        <f>D946*EXP(-'1_Inputs'!$H$6*(1/365))</f>
        <v>0.952257299558018</v>
      </c>
    </row>
    <row r="948" spans="1:4">
      <c r="A948" s="4">
        <v>945</v>
      </c>
      <c r="B948" s="6">
        <f t="shared" si="14"/>
        <v>2.58904109589041</v>
      </c>
      <c r="C948" s="8">
        <f>'1_Inputs'!$H$6</f>
        <v>0.028212883587601</v>
      </c>
      <c r="D948" s="6">
        <f>D947*EXP(-'1_Inputs'!$H$6*(1/365))</f>
        <v>0.952183697130467</v>
      </c>
    </row>
    <row r="949" spans="1:4">
      <c r="A949" s="10">
        <v>946</v>
      </c>
      <c r="B949" s="12">
        <f t="shared" si="14"/>
        <v>2.59178082191781</v>
      </c>
      <c r="C949" s="14">
        <f>'1_Inputs'!$H$6</f>
        <v>0.028212883587601</v>
      </c>
      <c r="D949" s="12">
        <f>D948*EXP(-'1_Inputs'!$H$6*(1/365))</f>
        <v>0.952110100391838</v>
      </c>
    </row>
    <row r="950" spans="1:4">
      <c r="A950" s="4">
        <v>947</v>
      </c>
      <c r="B950" s="6">
        <f t="shared" si="14"/>
        <v>2.59452054794521</v>
      </c>
      <c r="C950" s="8">
        <f>'1_Inputs'!$H$6</f>
        <v>0.028212883587601</v>
      </c>
      <c r="D950" s="6">
        <f>D949*EXP(-'1_Inputs'!$H$6*(1/365))</f>
        <v>0.952036509341691</v>
      </c>
    </row>
    <row r="951" spans="1:4">
      <c r="A951" s="10">
        <v>948</v>
      </c>
      <c r="B951" s="12">
        <f t="shared" si="14"/>
        <v>2.5972602739726</v>
      </c>
      <c r="C951" s="14">
        <f>'1_Inputs'!$H$6</f>
        <v>0.028212883587601</v>
      </c>
      <c r="D951" s="12">
        <f>D950*EXP(-'1_Inputs'!$H$6*(1/365))</f>
        <v>0.951962923979586</v>
      </c>
    </row>
    <row r="952" spans="1:4">
      <c r="A952" s="4">
        <v>949</v>
      </c>
      <c r="B952" s="6">
        <f t="shared" si="14"/>
        <v>2.6</v>
      </c>
      <c r="C952" s="8">
        <f>'1_Inputs'!$H$6</f>
        <v>0.028212883587601</v>
      </c>
      <c r="D952" s="6">
        <f>D951*EXP(-'1_Inputs'!$H$6*(1/365))</f>
        <v>0.951889344305084</v>
      </c>
    </row>
    <row r="953" spans="1:4">
      <c r="A953" s="10">
        <v>950</v>
      </c>
      <c r="B953" s="12">
        <f t="shared" si="14"/>
        <v>2.6027397260274</v>
      </c>
      <c r="C953" s="14">
        <f>'1_Inputs'!$H$6</f>
        <v>0.028212883587601</v>
      </c>
      <c r="D953" s="12">
        <f>D952*EXP(-'1_Inputs'!$H$6*(1/365))</f>
        <v>0.951815770317746</v>
      </c>
    </row>
    <row r="954" spans="1:4">
      <c r="A954" s="4">
        <v>951</v>
      </c>
      <c r="B954" s="6">
        <f t="shared" si="14"/>
        <v>2.60547945205479</v>
      </c>
      <c r="C954" s="8">
        <f>'1_Inputs'!$H$6</f>
        <v>0.028212883587601</v>
      </c>
      <c r="D954" s="6">
        <f>D953*EXP(-'1_Inputs'!$H$6*(1/365))</f>
        <v>0.95174220201713</v>
      </c>
    </row>
    <row r="955" spans="1:4">
      <c r="A955" s="10">
        <v>952</v>
      </c>
      <c r="B955" s="12">
        <f t="shared" si="14"/>
        <v>2.60821917808219</v>
      </c>
      <c r="C955" s="14">
        <f>'1_Inputs'!$H$6</f>
        <v>0.028212883587601</v>
      </c>
      <c r="D955" s="12">
        <f>D954*EXP(-'1_Inputs'!$H$6*(1/365))</f>
        <v>0.951668639402799</v>
      </c>
    </row>
    <row r="956" spans="1:4">
      <c r="A956" s="4">
        <v>953</v>
      </c>
      <c r="B956" s="6">
        <f t="shared" si="14"/>
        <v>2.61095890410959</v>
      </c>
      <c r="C956" s="8">
        <f>'1_Inputs'!$H$6</f>
        <v>0.028212883587601</v>
      </c>
      <c r="D956" s="6">
        <f>D955*EXP(-'1_Inputs'!$H$6*(1/365))</f>
        <v>0.951595082474313</v>
      </c>
    </row>
    <row r="957" spans="1:4">
      <c r="A957" s="10">
        <v>954</v>
      </c>
      <c r="B957" s="12">
        <f t="shared" si="14"/>
        <v>2.61369863013699</v>
      </c>
      <c r="C957" s="14">
        <f>'1_Inputs'!$H$6</f>
        <v>0.028212883587601</v>
      </c>
      <c r="D957" s="12">
        <f>D956*EXP(-'1_Inputs'!$H$6*(1/365))</f>
        <v>0.951521531231232</v>
      </c>
    </row>
    <row r="958" spans="1:4">
      <c r="A958" s="4">
        <v>955</v>
      </c>
      <c r="B958" s="6">
        <f t="shared" si="14"/>
        <v>2.61643835616438</v>
      </c>
      <c r="C958" s="8">
        <f>'1_Inputs'!$H$6</f>
        <v>0.028212883587601</v>
      </c>
      <c r="D958" s="6">
        <f>D957*EXP(-'1_Inputs'!$H$6*(1/365))</f>
        <v>0.951447985673116</v>
      </c>
    </row>
    <row r="959" spans="1:4">
      <c r="A959" s="10">
        <v>956</v>
      </c>
      <c r="B959" s="12">
        <f t="shared" si="14"/>
        <v>2.61917808219178</v>
      </c>
      <c r="C959" s="14">
        <f>'1_Inputs'!$H$6</f>
        <v>0.028212883587601</v>
      </c>
      <c r="D959" s="12">
        <f>D958*EXP(-'1_Inputs'!$H$6*(1/365))</f>
        <v>0.951374445799527</v>
      </c>
    </row>
    <row r="960" spans="1:4">
      <c r="A960" s="4">
        <v>957</v>
      </c>
      <c r="B960" s="6">
        <f t="shared" si="14"/>
        <v>2.62191780821918</v>
      </c>
      <c r="C960" s="8">
        <f>'1_Inputs'!$H$6</f>
        <v>0.028212883587601</v>
      </c>
      <c r="D960" s="6">
        <f>D959*EXP(-'1_Inputs'!$H$6*(1/365))</f>
        <v>0.951300911610024</v>
      </c>
    </row>
    <row r="961" spans="1:4">
      <c r="A961" s="10">
        <v>958</v>
      </c>
      <c r="B961" s="12">
        <f t="shared" si="14"/>
        <v>2.62465753424658</v>
      </c>
      <c r="C961" s="14">
        <f>'1_Inputs'!$H$6</f>
        <v>0.028212883587601</v>
      </c>
      <c r="D961" s="12">
        <f>D960*EXP(-'1_Inputs'!$H$6*(1/365))</f>
        <v>0.951227383104169</v>
      </c>
    </row>
    <row r="962" spans="1:4">
      <c r="A962" s="4">
        <v>959</v>
      </c>
      <c r="B962" s="6">
        <f t="shared" si="14"/>
        <v>2.62739726027397</v>
      </c>
      <c r="C962" s="8">
        <f>'1_Inputs'!$H$6</f>
        <v>0.028212883587601</v>
      </c>
      <c r="D962" s="6">
        <f>D961*EXP(-'1_Inputs'!$H$6*(1/365))</f>
        <v>0.951153860281522</v>
      </c>
    </row>
    <row r="963" spans="1:4">
      <c r="A963" s="10">
        <v>960</v>
      </c>
      <c r="B963" s="12">
        <f t="shared" ref="B963:B1026" si="15">A963/365</f>
        <v>2.63013698630137</v>
      </c>
      <c r="C963" s="14">
        <f>'1_Inputs'!$H$6</f>
        <v>0.028212883587601</v>
      </c>
      <c r="D963" s="12">
        <f>D962*EXP(-'1_Inputs'!$H$6*(1/365))</f>
        <v>0.951080343141644</v>
      </c>
    </row>
    <row r="964" spans="1:4">
      <c r="A964" s="4">
        <v>961</v>
      </c>
      <c r="B964" s="6">
        <f t="shared" si="15"/>
        <v>2.63287671232877</v>
      </c>
      <c r="C964" s="8">
        <f>'1_Inputs'!$H$6</f>
        <v>0.028212883587601</v>
      </c>
      <c r="D964" s="6">
        <f>D963*EXP(-'1_Inputs'!$H$6*(1/365))</f>
        <v>0.951006831684096</v>
      </c>
    </row>
    <row r="965" spans="1:4">
      <c r="A965" s="10">
        <v>962</v>
      </c>
      <c r="B965" s="12">
        <f t="shared" si="15"/>
        <v>2.63561643835616</v>
      </c>
      <c r="C965" s="14">
        <f>'1_Inputs'!$H$6</f>
        <v>0.028212883587601</v>
      </c>
      <c r="D965" s="12">
        <f>D964*EXP(-'1_Inputs'!$H$6*(1/365))</f>
        <v>0.950933325908439</v>
      </c>
    </row>
    <row r="966" spans="1:4">
      <c r="A966" s="4">
        <v>963</v>
      </c>
      <c r="B966" s="6">
        <f t="shared" si="15"/>
        <v>2.63835616438356</v>
      </c>
      <c r="C966" s="8">
        <f>'1_Inputs'!$H$6</f>
        <v>0.028212883587601</v>
      </c>
      <c r="D966" s="6">
        <f>D965*EXP(-'1_Inputs'!$H$6*(1/365))</f>
        <v>0.950859825814233</v>
      </c>
    </row>
    <row r="967" spans="1:4">
      <c r="A967" s="10">
        <v>964</v>
      </c>
      <c r="B967" s="12">
        <f t="shared" si="15"/>
        <v>2.64109589041096</v>
      </c>
      <c r="C967" s="14">
        <f>'1_Inputs'!$H$6</f>
        <v>0.028212883587601</v>
      </c>
      <c r="D967" s="12">
        <f>D966*EXP(-'1_Inputs'!$H$6*(1/365))</f>
        <v>0.950786331401039</v>
      </c>
    </row>
    <row r="968" spans="1:4">
      <c r="A968" s="4">
        <v>965</v>
      </c>
      <c r="B968" s="6">
        <f t="shared" si="15"/>
        <v>2.64383561643836</v>
      </c>
      <c r="C968" s="8">
        <f>'1_Inputs'!$H$6</f>
        <v>0.028212883587601</v>
      </c>
      <c r="D968" s="6">
        <f>D967*EXP(-'1_Inputs'!$H$6*(1/365))</f>
        <v>0.950712842668418</v>
      </c>
    </row>
    <row r="969" spans="1:4">
      <c r="A969" s="10">
        <v>966</v>
      </c>
      <c r="B969" s="12">
        <f t="shared" si="15"/>
        <v>2.64657534246575</v>
      </c>
      <c r="C969" s="14">
        <f>'1_Inputs'!$H$6</f>
        <v>0.028212883587601</v>
      </c>
      <c r="D969" s="12">
        <f>D968*EXP(-'1_Inputs'!$H$6*(1/365))</f>
        <v>0.950639359615931</v>
      </c>
    </row>
    <row r="970" spans="1:4">
      <c r="A970" s="4">
        <v>967</v>
      </c>
      <c r="B970" s="6">
        <f t="shared" si="15"/>
        <v>2.64931506849315</v>
      </c>
      <c r="C970" s="8">
        <f>'1_Inputs'!$H$6</f>
        <v>0.028212883587601</v>
      </c>
      <c r="D970" s="6">
        <f>D969*EXP(-'1_Inputs'!$H$6*(1/365))</f>
        <v>0.950565882243139</v>
      </c>
    </row>
    <row r="971" spans="1:4">
      <c r="A971" s="10">
        <v>968</v>
      </c>
      <c r="B971" s="12">
        <f t="shared" si="15"/>
        <v>2.65205479452055</v>
      </c>
      <c r="C971" s="14">
        <f>'1_Inputs'!$H$6</f>
        <v>0.028212883587601</v>
      </c>
      <c r="D971" s="12">
        <f>D970*EXP(-'1_Inputs'!$H$6*(1/365))</f>
        <v>0.950492410549604</v>
      </c>
    </row>
    <row r="972" spans="1:4">
      <c r="A972" s="4">
        <v>969</v>
      </c>
      <c r="B972" s="6">
        <f t="shared" si="15"/>
        <v>2.65479452054794</v>
      </c>
      <c r="C972" s="8">
        <f>'1_Inputs'!$H$6</f>
        <v>0.028212883587601</v>
      </c>
      <c r="D972" s="6">
        <f>D971*EXP(-'1_Inputs'!$H$6*(1/365))</f>
        <v>0.950418944534885</v>
      </c>
    </row>
    <row r="973" spans="1:4">
      <c r="A973" s="10">
        <v>970</v>
      </c>
      <c r="B973" s="12">
        <f t="shared" si="15"/>
        <v>2.65753424657534</v>
      </c>
      <c r="C973" s="14">
        <f>'1_Inputs'!$H$6</f>
        <v>0.028212883587601</v>
      </c>
      <c r="D973" s="12">
        <f>D972*EXP(-'1_Inputs'!$H$6*(1/365))</f>
        <v>0.950345484198544</v>
      </c>
    </row>
    <row r="974" spans="1:4">
      <c r="A974" s="4">
        <v>971</v>
      </c>
      <c r="B974" s="6">
        <f t="shared" si="15"/>
        <v>2.66027397260274</v>
      </c>
      <c r="C974" s="8">
        <f>'1_Inputs'!$H$6</f>
        <v>0.028212883587601</v>
      </c>
      <c r="D974" s="6">
        <f>D973*EXP(-'1_Inputs'!$H$6*(1/365))</f>
        <v>0.950272029540143</v>
      </c>
    </row>
    <row r="975" spans="1:4">
      <c r="A975" s="10">
        <v>972</v>
      </c>
      <c r="B975" s="12">
        <f t="shared" si="15"/>
        <v>2.66301369863014</v>
      </c>
      <c r="C975" s="14">
        <f>'1_Inputs'!$H$6</f>
        <v>0.028212883587601</v>
      </c>
      <c r="D975" s="12">
        <f>D974*EXP(-'1_Inputs'!$H$6*(1/365))</f>
        <v>0.950198580559242</v>
      </c>
    </row>
    <row r="976" spans="1:4">
      <c r="A976" s="4">
        <v>973</v>
      </c>
      <c r="B976" s="6">
        <f t="shared" si="15"/>
        <v>2.66575342465753</v>
      </c>
      <c r="C976" s="8">
        <f>'1_Inputs'!$H$6</f>
        <v>0.028212883587601</v>
      </c>
      <c r="D976" s="6">
        <f>D975*EXP(-'1_Inputs'!$H$6*(1/365))</f>
        <v>0.950125137255402</v>
      </c>
    </row>
    <row r="977" spans="1:4">
      <c r="A977" s="10">
        <v>974</v>
      </c>
      <c r="B977" s="12">
        <f t="shared" si="15"/>
        <v>2.66849315068493</v>
      </c>
      <c r="C977" s="14">
        <f>'1_Inputs'!$H$6</f>
        <v>0.028212883587601</v>
      </c>
      <c r="D977" s="12">
        <f>D976*EXP(-'1_Inputs'!$H$6*(1/365))</f>
        <v>0.950051699628186</v>
      </c>
    </row>
    <row r="978" spans="1:4">
      <c r="A978" s="4">
        <v>975</v>
      </c>
      <c r="B978" s="6">
        <f t="shared" si="15"/>
        <v>2.67123287671233</v>
      </c>
      <c r="C978" s="8">
        <f>'1_Inputs'!$H$6</f>
        <v>0.028212883587601</v>
      </c>
      <c r="D978" s="6">
        <f>D977*EXP(-'1_Inputs'!$H$6*(1/365))</f>
        <v>0.949978267677153</v>
      </c>
    </row>
    <row r="979" spans="1:4">
      <c r="A979" s="10">
        <v>976</v>
      </c>
      <c r="B979" s="12">
        <f t="shared" si="15"/>
        <v>2.67397260273973</v>
      </c>
      <c r="C979" s="14">
        <f>'1_Inputs'!$H$6</f>
        <v>0.028212883587601</v>
      </c>
      <c r="D979" s="12">
        <f>D978*EXP(-'1_Inputs'!$H$6*(1/365))</f>
        <v>0.949904841401866</v>
      </c>
    </row>
    <row r="980" spans="1:4">
      <c r="A980" s="4">
        <v>977</v>
      </c>
      <c r="B980" s="6">
        <f t="shared" si="15"/>
        <v>2.67671232876712</v>
      </c>
      <c r="C980" s="8">
        <f>'1_Inputs'!$H$6</f>
        <v>0.028212883587601</v>
      </c>
      <c r="D980" s="6">
        <f>D979*EXP(-'1_Inputs'!$H$6*(1/365))</f>
        <v>0.949831420801885</v>
      </c>
    </row>
    <row r="981" spans="1:4">
      <c r="A981" s="10">
        <v>978</v>
      </c>
      <c r="B981" s="12">
        <f t="shared" si="15"/>
        <v>2.67945205479452</v>
      </c>
      <c r="C981" s="14">
        <f>'1_Inputs'!$H$6</f>
        <v>0.028212883587601</v>
      </c>
      <c r="D981" s="12">
        <f>D980*EXP(-'1_Inputs'!$H$6*(1/365))</f>
        <v>0.949758005876772</v>
      </c>
    </row>
    <row r="982" spans="1:4">
      <c r="A982" s="4">
        <v>979</v>
      </c>
      <c r="B982" s="6">
        <f t="shared" si="15"/>
        <v>2.68219178082192</v>
      </c>
      <c r="C982" s="8">
        <f>'1_Inputs'!$H$6</f>
        <v>0.028212883587601</v>
      </c>
      <c r="D982" s="6">
        <f>D981*EXP(-'1_Inputs'!$H$6*(1/365))</f>
        <v>0.949684596626088</v>
      </c>
    </row>
    <row r="983" spans="1:4">
      <c r="A983" s="10">
        <v>980</v>
      </c>
      <c r="B983" s="12">
        <f t="shared" si="15"/>
        <v>2.68493150684931</v>
      </c>
      <c r="C983" s="14">
        <f>'1_Inputs'!$H$6</f>
        <v>0.028212883587601</v>
      </c>
      <c r="D983" s="12">
        <f>D982*EXP(-'1_Inputs'!$H$6*(1/365))</f>
        <v>0.949611193049395</v>
      </c>
    </row>
    <row r="984" spans="1:4">
      <c r="A984" s="4">
        <v>981</v>
      </c>
      <c r="B984" s="6">
        <f t="shared" si="15"/>
        <v>2.68767123287671</v>
      </c>
      <c r="C984" s="8">
        <f>'1_Inputs'!$H$6</f>
        <v>0.028212883587601</v>
      </c>
      <c r="D984" s="6">
        <f>D983*EXP(-'1_Inputs'!$H$6*(1/365))</f>
        <v>0.949537795146255</v>
      </c>
    </row>
    <row r="985" spans="1:4">
      <c r="A985" s="10">
        <v>982</v>
      </c>
      <c r="B985" s="12">
        <f t="shared" si="15"/>
        <v>2.69041095890411</v>
      </c>
      <c r="C985" s="14">
        <f>'1_Inputs'!$H$6</f>
        <v>0.028212883587601</v>
      </c>
      <c r="D985" s="12">
        <f>D984*EXP(-'1_Inputs'!$H$6*(1/365))</f>
        <v>0.949464402916227</v>
      </c>
    </row>
    <row r="986" spans="1:4">
      <c r="A986" s="4">
        <v>983</v>
      </c>
      <c r="B986" s="6">
        <f t="shared" si="15"/>
        <v>2.69315068493151</v>
      </c>
      <c r="C986" s="8">
        <f>'1_Inputs'!$H$6</f>
        <v>0.028212883587601</v>
      </c>
      <c r="D986" s="6">
        <f>D985*EXP(-'1_Inputs'!$H$6*(1/365))</f>
        <v>0.949391016358875</v>
      </c>
    </row>
    <row r="987" spans="1:4">
      <c r="A987" s="10">
        <v>984</v>
      </c>
      <c r="B987" s="12">
        <f t="shared" si="15"/>
        <v>2.6958904109589</v>
      </c>
      <c r="C987" s="14">
        <f>'1_Inputs'!$H$6</f>
        <v>0.028212883587601</v>
      </c>
      <c r="D987" s="12">
        <f>D986*EXP(-'1_Inputs'!$H$6*(1/365))</f>
        <v>0.94931763547376</v>
      </c>
    </row>
    <row r="988" spans="1:4">
      <c r="A988" s="4">
        <v>985</v>
      </c>
      <c r="B988" s="6">
        <f t="shared" si="15"/>
        <v>2.6986301369863</v>
      </c>
      <c r="C988" s="8">
        <f>'1_Inputs'!$H$6</f>
        <v>0.028212883587601</v>
      </c>
      <c r="D988" s="6">
        <f>D987*EXP(-'1_Inputs'!$H$6*(1/365))</f>
        <v>0.949244260260443</v>
      </c>
    </row>
    <row r="989" spans="1:4">
      <c r="A989" s="10">
        <v>986</v>
      </c>
      <c r="B989" s="12">
        <f t="shared" si="15"/>
        <v>2.7013698630137</v>
      </c>
      <c r="C989" s="14">
        <f>'1_Inputs'!$H$6</f>
        <v>0.028212883587601</v>
      </c>
      <c r="D989" s="12">
        <f>D988*EXP(-'1_Inputs'!$H$6*(1/365))</f>
        <v>0.949170890718485</v>
      </c>
    </row>
    <row r="990" spans="1:4">
      <c r="A990" s="4">
        <v>987</v>
      </c>
      <c r="B990" s="6">
        <f t="shared" si="15"/>
        <v>2.7041095890411</v>
      </c>
      <c r="C990" s="8">
        <f>'1_Inputs'!$H$6</f>
        <v>0.028212883587601</v>
      </c>
      <c r="D990" s="6">
        <f>D989*EXP(-'1_Inputs'!$H$6*(1/365))</f>
        <v>0.949097526847449</v>
      </c>
    </row>
    <row r="991" spans="1:4">
      <c r="A991" s="10">
        <v>988</v>
      </c>
      <c r="B991" s="12">
        <f t="shared" si="15"/>
        <v>2.70684931506849</v>
      </c>
      <c r="C991" s="14">
        <f>'1_Inputs'!$H$6</f>
        <v>0.028212883587601</v>
      </c>
      <c r="D991" s="12">
        <f>D990*EXP(-'1_Inputs'!$H$6*(1/365))</f>
        <v>0.949024168646897</v>
      </c>
    </row>
    <row r="992" spans="1:4">
      <c r="A992" s="4">
        <v>989</v>
      </c>
      <c r="B992" s="6">
        <f t="shared" si="15"/>
        <v>2.70958904109589</v>
      </c>
      <c r="C992" s="8">
        <f>'1_Inputs'!$H$6</f>
        <v>0.028212883587601</v>
      </c>
      <c r="D992" s="6">
        <f>D991*EXP(-'1_Inputs'!$H$6*(1/365))</f>
        <v>0.948950816116389</v>
      </c>
    </row>
    <row r="993" spans="1:5">
      <c r="A993" s="10">
        <v>990</v>
      </c>
      <c r="B993" s="12">
        <f t="shared" si="15"/>
        <v>2.71232876712329</v>
      </c>
      <c r="C993" s="14">
        <f>'1_Inputs'!$H$6</f>
        <v>0.028212883587601</v>
      </c>
      <c r="D993" s="12">
        <f>D992*EXP(-'1_Inputs'!$H$6*(1/365))</f>
        <v>0.948877469255488</v>
      </c>
    </row>
    <row r="994" spans="1:5">
      <c r="A994" s="4">
        <v>991</v>
      </c>
      <c r="B994" s="6">
        <f t="shared" si="15"/>
        <v>2.71506849315068</v>
      </c>
      <c r="C994" s="8">
        <f>'1_Inputs'!$H$6</f>
        <v>0.028212883587601</v>
      </c>
      <c r="D994" s="6">
        <f>D993*EXP(-'1_Inputs'!$H$6*(1/365))</f>
        <v>0.948804128063755</v>
      </c>
    </row>
    <row r="995" spans="1:5">
      <c r="A995" s="10">
        <v>992</v>
      </c>
      <c r="B995" s="12">
        <f t="shared" si="15"/>
        <v>2.71780821917808</v>
      </c>
      <c r="C995" s="14">
        <f>'1_Inputs'!$H$6</f>
        <v>0.028212883587601</v>
      </c>
      <c r="D995" s="12">
        <f>D994*EXP(-'1_Inputs'!$H$6*(1/365))</f>
        <v>0.948730792540753</v>
      </c>
    </row>
    <row r="996" spans="1:5">
      <c r="A996" s="4">
        <v>993</v>
      </c>
      <c r="B996" s="6">
        <f t="shared" si="15"/>
        <v>2.72054794520548</v>
      </c>
      <c r="C996" s="8">
        <f>'1_Inputs'!$H$6</f>
        <v>0.028212883587601</v>
      </c>
      <c r="D996" s="6">
        <f>D995*EXP(-'1_Inputs'!$H$6*(1/365))</f>
        <v>0.948657462686043</v>
      </c>
    </row>
    <row r="997" spans="1:5">
      <c r="A997" s="10">
        <v>994</v>
      </c>
      <c r="B997" s="12">
        <f t="shared" si="15"/>
        <v>2.72328767123288</v>
      </c>
      <c r="C997" s="14">
        <f>'1_Inputs'!$H$6</f>
        <v>0.028212883587601</v>
      </c>
      <c r="D997" s="12">
        <f>D996*EXP(-'1_Inputs'!$H$6*(1/365))</f>
        <v>0.948584138499186</v>
      </c>
    </row>
    <row r="998" spans="1:5">
      <c r="A998" s="4">
        <v>995</v>
      </c>
      <c r="B998" s="6">
        <f t="shared" si="15"/>
        <v>2.72602739726027</v>
      </c>
      <c r="C998" s="8">
        <f>'1_Inputs'!$H$6</f>
        <v>0.028212883587601</v>
      </c>
      <c r="D998" s="6">
        <f>D997*EXP(-'1_Inputs'!$H$6*(1/365))</f>
        <v>0.948510819979746</v>
      </c>
    </row>
    <row r="999" spans="1:5">
      <c r="A999" s="10">
        <v>996</v>
      </c>
      <c r="B999" s="12">
        <f t="shared" si="15"/>
        <v>2.72876712328767</v>
      </c>
      <c r="C999" s="14">
        <f>'1_Inputs'!$H$6</f>
        <v>0.028212883587601</v>
      </c>
      <c r="D999" s="12">
        <f>D998*EXP(-'1_Inputs'!$H$6*(1/365))</f>
        <v>0.948437507127283</v>
      </c>
    </row>
    <row r="1000" spans="1:5">
      <c r="A1000" s="4">
        <v>997</v>
      </c>
      <c r="B1000" s="6">
        <f t="shared" si="15"/>
        <v>2.73150684931507</v>
      </c>
      <c r="C1000" s="8">
        <f>'1_Inputs'!$H$6</f>
        <v>0.028212883587601</v>
      </c>
      <c r="D1000" s="6">
        <f>D999*EXP(-'1_Inputs'!$H$6*(1/365))</f>
        <v>0.94836419994136</v>
      </c>
    </row>
    <row r="1001" spans="1:5">
      <c r="A1001" s="10">
        <v>998</v>
      </c>
      <c r="B1001" s="12">
        <f t="shared" si="15"/>
        <v>2.73424657534247</v>
      </c>
      <c r="C1001" s="14">
        <f>'1_Inputs'!$H$6</f>
        <v>0.028212883587601</v>
      </c>
      <c r="D1001" s="12">
        <f>D1000*EXP(-'1_Inputs'!$H$6*(1/365))</f>
        <v>0.948290898421539</v>
      </c>
    </row>
    <row r="1002" spans="1:5">
      <c r="A1002" s="4">
        <v>999</v>
      </c>
      <c r="B1002" s="6">
        <f t="shared" si="15"/>
        <v>2.73698630136986</v>
      </c>
      <c r="C1002" s="8">
        <f>'1_Inputs'!$H$6</f>
        <v>0.028212883587601</v>
      </c>
      <c r="D1002" s="6">
        <f>D1001*EXP(-'1_Inputs'!$H$6*(1/365))</f>
        <v>0.948217602567382</v>
      </c>
    </row>
    <row r="1003" spans="1:5">
      <c r="A1003" s="10">
        <v>1000</v>
      </c>
      <c r="B1003" s="12">
        <f t="shared" si="15"/>
        <v>2.73972602739726</v>
      </c>
      <c r="C1003" s="14">
        <f>'1_Inputs'!$H$6</f>
        <v>0.028212883587601</v>
      </c>
      <c r="D1003" s="12">
        <f>D1002*EXP(-'1_Inputs'!$H$6*(1/365))</f>
        <v>0.948144312378451</v>
      </c>
    </row>
    <row r="1004" spans="1:5">
      <c r="A1004" s="4">
        <v>1001</v>
      </c>
      <c r="B1004" s="6">
        <f t="shared" si="15"/>
        <v>2.74246575342466</v>
      </c>
      <c r="C1004" s="8">
        <f>'1_Inputs'!$H$6</f>
        <v>0.028212883587601</v>
      </c>
      <c r="D1004" s="6">
        <f>D1003*EXP(-'1_Inputs'!$H$6*(1/365))</f>
        <v>0.948071027854308</v>
      </c>
    </row>
    <row r="1005" spans="1:5">
      <c r="A1005" s="10">
        <v>1002</v>
      </c>
      <c r="B1005" s="12">
        <f t="shared" si="15"/>
        <v>2.74520547945205</v>
      </c>
      <c r="C1005" s="14">
        <f>'1_Inputs'!$H$6</f>
        <v>0.028212883587601</v>
      </c>
      <c r="D1005" s="12">
        <f>D1004*EXP(-'1_Inputs'!$H$6*(1/365))</f>
        <v>0.947997748994515</v>
      </c>
    </row>
    <row r="1006" spans="1:5">
      <c r="A1006" s="4">
        <v>1003</v>
      </c>
      <c r="B1006" s="6">
        <f t="shared" si="15"/>
        <v>2.74794520547945</v>
      </c>
      <c r="C1006" s="8">
        <f>'1_Inputs'!$H$6</f>
        <v>0.028212883587601</v>
      </c>
      <c r="D1006" s="6">
        <f>D1005*EXP(-'1_Inputs'!$H$6*(1/365))</f>
        <v>0.947924475798635</v>
      </c>
      <c r="E1006" s="43" t="s">
        <v>59</v>
      </c>
    </row>
    <row r="1007" spans="1:5">
      <c r="A1007" s="10">
        <v>1004</v>
      </c>
      <c r="B1007" s="12">
        <f t="shared" si="15"/>
        <v>2.75068493150685</v>
      </c>
      <c r="C1007" s="14">
        <f>'1_Inputs'!$H$6</f>
        <v>0.028212883587601</v>
      </c>
      <c r="D1007" s="12">
        <f>D1006*EXP(-'1_Inputs'!$H$6*(1/365))</f>
        <v>0.94785120826623</v>
      </c>
    </row>
    <row r="1008" spans="1:5">
      <c r="A1008" s="4">
        <v>1005</v>
      </c>
      <c r="B1008" s="6">
        <f t="shared" si="15"/>
        <v>2.75342465753425</v>
      </c>
      <c r="C1008" s="8">
        <f>'1_Inputs'!$H$6</f>
        <v>0.028212883587601</v>
      </c>
      <c r="D1008" s="6">
        <f>D1007*EXP(-'1_Inputs'!$H$6*(1/365))</f>
        <v>0.947777946396861</v>
      </c>
    </row>
    <row r="1009" spans="1:4">
      <c r="A1009" s="10">
        <v>1006</v>
      </c>
      <c r="B1009" s="12">
        <f t="shared" si="15"/>
        <v>2.75616438356164</v>
      </c>
      <c r="C1009" s="14">
        <f>'1_Inputs'!$H$6</f>
        <v>0.028212883587601</v>
      </c>
      <c r="D1009" s="12">
        <f>D1008*EXP(-'1_Inputs'!$H$6*(1/365))</f>
        <v>0.947704690190091</v>
      </c>
    </row>
    <row r="1010" spans="1:4">
      <c r="A1010" s="4">
        <v>1007</v>
      </c>
      <c r="B1010" s="6">
        <f t="shared" si="15"/>
        <v>2.75890410958904</v>
      </c>
      <c r="C1010" s="8">
        <f>'1_Inputs'!$H$6</f>
        <v>0.028212883587601</v>
      </c>
      <c r="D1010" s="6">
        <f>D1009*EXP(-'1_Inputs'!$H$6*(1/365))</f>
        <v>0.947631439645483</v>
      </c>
    </row>
    <row r="1011" spans="1:4">
      <c r="A1011" s="10">
        <v>1008</v>
      </c>
      <c r="B1011" s="12">
        <f t="shared" si="15"/>
        <v>2.76164383561644</v>
      </c>
      <c r="C1011" s="14">
        <f>'1_Inputs'!$H$6</f>
        <v>0.028212883587601</v>
      </c>
      <c r="D1011" s="12">
        <f>D1010*EXP(-'1_Inputs'!$H$6*(1/365))</f>
        <v>0.947558194762599</v>
      </c>
    </row>
    <row r="1012" spans="1:4">
      <c r="A1012" s="4">
        <v>1009</v>
      </c>
      <c r="B1012" s="6">
        <f t="shared" si="15"/>
        <v>2.76438356164384</v>
      </c>
      <c r="C1012" s="8">
        <f>'1_Inputs'!$H$6</f>
        <v>0.028212883587601</v>
      </c>
      <c r="D1012" s="6">
        <f>D1011*EXP(-'1_Inputs'!$H$6*(1/365))</f>
        <v>0.947484955541002</v>
      </c>
    </row>
    <row r="1013" spans="1:4">
      <c r="A1013" s="10">
        <v>1010</v>
      </c>
      <c r="B1013" s="12">
        <f t="shared" si="15"/>
        <v>2.76712328767123</v>
      </c>
      <c r="C1013" s="14">
        <f>'1_Inputs'!$H$6</f>
        <v>0.028212883587601</v>
      </c>
      <c r="D1013" s="12">
        <f>D1012*EXP(-'1_Inputs'!$H$6*(1/365))</f>
        <v>0.947411721980253</v>
      </c>
    </row>
    <row r="1014" spans="1:4">
      <c r="A1014" s="4">
        <v>1011</v>
      </c>
      <c r="B1014" s="6">
        <f t="shared" si="15"/>
        <v>2.76986301369863</v>
      </c>
      <c r="C1014" s="8">
        <f>'1_Inputs'!$H$6</f>
        <v>0.028212883587601</v>
      </c>
      <c r="D1014" s="6">
        <f>D1013*EXP(-'1_Inputs'!$H$6*(1/365))</f>
        <v>0.947338494079915</v>
      </c>
    </row>
    <row r="1015" spans="1:4">
      <c r="A1015" s="10">
        <v>1012</v>
      </c>
      <c r="B1015" s="12">
        <f t="shared" si="15"/>
        <v>2.77260273972603</v>
      </c>
      <c r="C1015" s="14">
        <f>'1_Inputs'!$H$6</f>
        <v>0.028212883587601</v>
      </c>
      <c r="D1015" s="12">
        <f>D1014*EXP(-'1_Inputs'!$H$6*(1/365))</f>
        <v>0.94726527183955</v>
      </c>
    </row>
    <row r="1016" spans="1:4">
      <c r="A1016" s="4">
        <v>1013</v>
      </c>
      <c r="B1016" s="6">
        <f t="shared" si="15"/>
        <v>2.77534246575342</v>
      </c>
      <c r="C1016" s="8">
        <f>'1_Inputs'!$H$6</f>
        <v>0.028212883587601</v>
      </c>
      <c r="D1016" s="6">
        <f>D1015*EXP(-'1_Inputs'!$H$6*(1/365))</f>
        <v>0.947192055258722</v>
      </c>
    </row>
    <row r="1017" spans="1:4">
      <c r="A1017" s="10">
        <v>1014</v>
      </c>
      <c r="B1017" s="12">
        <f t="shared" si="15"/>
        <v>2.77808219178082</v>
      </c>
      <c r="C1017" s="14">
        <f>'1_Inputs'!$H$6</f>
        <v>0.028212883587601</v>
      </c>
      <c r="D1017" s="12">
        <f>D1016*EXP(-'1_Inputs'!$H$6*(1/365))</f>
        <v>0.947118844336993</v>
      </c>
    </row>
    <row r="1018" spans="1:4">
      <c r="A1018" s="4">
        <v>1015</v>
      </c>
      <c r="B1018" s="6">
        <f t="shared" si="15"/>
        <v>2.78082191780822</v>
      </c>
      <c r="C1018" s="8">
        <f>'1_Inputs'!$H$6</f>
        <v>0.028212883587601</v>
      </c>
      <c r="D1018" s="6">
        <f>D1017*EXP(-'1_Inputs'!$H$6*(1/365))</f>
        <v>0.947045639073925</v>
      </c>
    </row>
    <row r="1019" spans="1:4">
      <c r="A1019" s="10">
        <v>1016</v>
      </c>
      <c r="B1019" s="12">
        <f t="shared" si="15"/>
        <v>2.78356164383562</v>
      </c>
      <c r="C1019" s="14">
        <f>'1_Inputs'!$H$6</f>
        <v>0.028212883587601</v>
      </c>
      <c r="D1019" s="12">
        <f>D1018*EXP(-'1_Inputs'!$H$6*(1/365))</f>
        <v>0.946972439469081</v>
      </c>
    </row>
    <row r="1020" spans="1:4">
      <c r="A1020" s="4">
        <v>1017</v>
      </c>
      <c r="B1020" s="6">
        <f t="shared" si="15"/>
        <v>2.78630136986301</v>
      </c>
      <c r="C1020" s="8">
        <f>'1_Inputs'!$H$6</f>
        <v>0.028212883587601</v>
      </c>
      <c r="D1020" s="6">
        <f>D1019*EXP(-'1_Inputs'!$H$6*(1/365))</f>
        <v>0.946899245522024</v>
      </c>
    </row>
    <row r="1021" spans="1:4">
      <c r="A1021" s="10">
        <v>1018</v>
      </c>
      <c r="B1021" s="12">
        <f t="shared" si="15"/>
        <v>2.78904109589041</v>
      </c>
      <c r="C1021" s="14">
        <f>'1_Inputs'!$H$6</f>
        <v>0.028212883587601</v>
      </c>
      <c r="D1021" s="12">
        <f>D1020*EXP(-'1_Inputs'!$H$6*(1/365))</f>
        <v>0.946826057232316</v>
      </c>
    </row>
    <row r="1022" spans="1:4">
      <c r="A1022" s="4">
        <v>1019</v>
      </c>
      <c r="B1022" s="6">
        <f t="shared" si="15"/>
        <v>2.79178082191781</v>
      </c>
      <c r="C1022" s="8">
        <f>'1_Inputs'!$H$6</f>
        <v>0.028212883587601</v>
      </c>
      <c r="D1022" s="6">
        <f>D1021*EXP(-'1_Inputs'!$H$6*(1/365))</f>
        <v>0.94675287459952</v>
      </c>
    </row>
    <row r="1023" spans="1:4">
      <c r="A1023" s="10">
        <v>1020</v>
      </c>
      <c r="B1023" s="12">
        <f t="shared" si="15"/>
        <v>2.79452054794521</v>
      </c>
      <c r="C1023" s="14">
        <f>'1_Inputs'!$H$6</f>
        <v>0.028212883587601</v>
      </c>
      <c r="D1023" s="12">
        <f>D1022*EXP(-'1_Inputs'!$H$6*(1/365))</f>
        <v>0.946679697623198</v>
      </c>
    </row>
    <row r="1024" spans="1:4">
      <c r="A1024" s="4">
        <v>1021</v>
      </c>
      <c r="B1024" s="6">
        <f t="shared" si="15"/>
        <v>2.7972602739726</v>
      </c>
      <c r="C1024" s="8">
        <f>'1_Inputs'!$H$6</f>
        <v>0.028212883587601</v>
      </c>
      <c r="D1024" s="6">
        <f>D1023*EXP(-'1_Inputs'!$H$6*(1/365))</f>
        <v>0.946606526302915</v>
      </c>
    </row>
    <row r="1025" spans="1:4">
      <c r="A1025" s="10">
        <v>1022</v>
      </c>
      <c r="B1025" s="12">
        <f t="shared" si="15"/>
        <v>2.8</v>
      </c>
      <c r="C1025" s="14">
        <f>'1_Inputs'!$H$6</f>
        <v>0.028212883587601</v>
      </c>
      <c r="D1025" s="12">
        <f>D1024*EXP(-'1_Inputs'!$H$6*(1/365))</f>
        <v>0.946533360638232</v>
      </c>
    </row>
    <row r="1026" spans="1:4">
      <c r="A1026" s="4">
        <v>1023</v>
      </c>
      <c r="B1026" s="6">
        <f t="shared" si="15"/>
        <v>2.8027397260274</v>
      </c>
      <c r="C1026" s="8">
        <f>'1_Inputs'!$H$6</f>
        <v>0.028212883587601</v>
      </c>
      <c r="D1026" s="6">
        <f>D1025*EXP(-'1_Inputs'!$H$6*(1/365))</f>
        <v>0.946460200628712</v>
      </c>
    </row>
    <row r="1027" spans="1:4">
      <c r="A1027" s="10">
        <v>1024</v>
      </c>
      <c r="B1027" s="12">
        <f t="shared" ref="B1027:B1090" si="16">A1027/365</f>
        <v>2.80547945205479</v>
      </c>
      <c r="C1027" s="14">
        <f>'1_Inputs'!$H$6</f>
        <v>0.028212883587601</v>
      </c>
      <c r="D1027" s="12">
        <f>D1026*EXP(-'1_Inputs'!$H$6*(1/365))</f>
        <v>0.946387046273918</v>
      </c>
    </row>
    <row r="1028" spans="1:4">
      <c r="A1028" s="4">
        <v>1025</v>
      </c>
      <c r="B1028" s="6">
        <f t="shared" si="16"/>
        <v>2.80821917808219</v>
      </c>
      <c r="C1028" s="8">
        <f>'1_Inputs'!$H$6</f>
        <v>0.028212883587601</v>
      </c>
      <c r="D1028" s="6">
        <f>D1027*EXP(-'1_Inputs'!$H$6*(1/365))</f>
        <v>0.946313897573414</v>
      </c>
    </row>
    <row r="1029" spans="1:4">
      <c r="A1029" s="10">
        <v>1026</v>
      </c>
      <c r="B1029" s="12">
        <f t="shared" si="16"/>
        <v>2.81095890410959</v>
      </c>
      <c r="C1029" s="14">
        <f>'1_Inputs'!$H$6</f>
        <v>0.028212883587601</v>
      </c>
      <c r="D1029" s="12">
        <f>D1028*EXP(-'1_Inputs'!$H$6*(1/365))</f>
        <v>0.946240754526761</v>
      </c>
    </row>
    <row r="1030" spans="1:4">
      <c r="A1030" s="4">
        <v>1027</v>
      </c>
      <c r="B1030" s="6">
        <f t="shared" si="16"/>
        <v>2.81369863013699</v>
      </c>
      <c r="C1030" s="8">
        <f>'1_Inputs'!$H$6</f>
        <v>0.028212883587601</v>
      </c>
      <c r="D1030" s="6">
        <f>D1029*EXP(-'1_Inputs'!$H$6*(1/365))</f>
        <v>0.946167617133524</v>
      </c>
    </row>
    <row r="1031" spans="1:4">
      <c r="A1031" s="10">
        <v>1028</v>
      </c>
      <c r="B1031" s="12">
        <f t="shared" si="16"/>
        <v>2.81643835616438</v>
      </c>
      <c r="C1031" s="14">
        <f>'1_Inputs'!$H$6</f>
        <v>0.028212883587601</v>
      </c>
      <c r="D1031" s="12">
        <f>D1030*EXP(-'1_Inputs'!$H$6*(1/365))</f>
        <v>0.946094485393265</v>
      </c>
    </row>
    <row r="1032" spans="1:4">
      <c r="A1032" s="4">
        <v>1029</v>
      </c>
      <c r="B1032" s="6">
        <f t="shared" si="16"/>
        <v>2.81917808219178</v>
      </c>
      <c r="C1032" s="8">
        <f>'1_Inputs'!$H$6</f>
        <v>0.028212883587601</v>
      </c>
      <c r="D1032" s="6">
        <f>D1031*EXP(-'1_Inputs'!$H$6*(1/365))</f>
        <v>0.946021359305547</v>
      </c>
    </row>
    <row r="1033" spans="1:4">
      <c r="A1033" s="10">
        <v>1030</v>
      </c>
      <c r="B1033" s="12">
        <f t="shared" si="16"/>
        <v>2.82191780821918</v>
      </c>
      <c r="C1033" s="14">
        <f>'1_Inputs'!$H$6</f>
        <v>0.028212883587601</v>
      </c>
      <c r="D1033" s="12">
        <f>D1032*EXP(-'1_Inputs'!$H$6*(1/365))</f>
        <v>0.945948238869933</v>
      </c>
    </row>
    <row r="1034" spans="1:4">
      <c r="A1034" s="4">
        <v>1031</v>
      </c>
      <c r="B1034" s="6">
        <f t="shared" si="16"/>
        <v>2.82465753424658</v>
      </c>
      <c r="C1034" s="8">
        <f>'1_Inputs'!$H$6</f>
        <v>0.028212883587601</v>
      </c>
      <c r="D1034" s="6">
        <f>D1033*EXP(-'1_Inputs'!$H$6*(1/365))</f>
        <v>0.945875124085987</v>
      </c>
    </row>
    <row r="1035" spans="1:4">
      <c r="A1035" s="10">
        <v>1032</v>
      </c>
      <c r="B1035" s="12">
        <f t="shared" si="16"/>
        <v>2.82739726027397</v>
      </c>
      <c r="C1035" s="14">
        <f>'1_Inputs'!$H$6</f>
        <v>0.028212883587601</v>
      </c>
      <c r="D1035" s="12">
        <f>D1034*EXP(-'1_Inputs'!$H$6*(1/365))</f>
        <v>0.945802014953271</v>
      </c>
    </row>
    <row r="1036" spans="1:4">
      <c r="A1036" s="4">
        <v>1033</v>
      </c>
      <c r="B1036" s="6">
        <f t="shared" si="16"/>
        <v>2.83013698630137</v>
      </c>
      <c r="C1036" s="8">
        <f>'1_Inputs'!$H$6</f>
        <v>0.028212883587601</v>
      </c>
      <c r="D1036" s="6">
        <f>D1035*EXP(-'1_Inputs'!$H$6*(1/365))</f>
        <v>0.945728911471349</v>
      </c>
    </row>
    <row r="1037" spans="1:4">
      <c r="A1037" s="10">
        <v>1034</v>
      </c>
      <c r="B1037" s="12">
        <f t="shared" si="16"/>
        <v>2.83287671232877</v>
      </c>
      <c r="C1037" s="14">
        <f>'1_Inputs'!$H$6</f>
        <v>0.028212883587601</v>
      </c>
      <c r="D1037" s="12">
        <f>D1036*EXP(-'1_Inputs'!$H$6*(1/365))</f>
        <v>0.945655813639784</v>
      </c>
    </row>
    <row r="1038" spans="1:4">
      <c r="A1038" s="4">
        <v>1035</v>
      </c>
      <c r="B1038" s="6">
        <f t="shared" si="16"/>
        <v>2.83561643835616</v>
      </c>
      <c r="C1038" s="8">
        <f>'1_Inputs'!$H$6</f>
        <v>0.028212883587601</v>
      </c>
      <c r="D1038" s="6">
        <f>D1037*EXP(-'1_Inputs'!$H$6*(1/365))</f>
        <v>0.945582721458139</v>
      </c>
    </row>
    <row r="1039" spans="1:4">
      <c r="A1039" s="10">
        <v>1036</v>
      </c>
      <c r="B1039" s="12">
        <f t="shared" si="16"/>
        <v>2.83835616438356</v>
      </c>
      <c r="C1039" s="14">
        <f>'1_Inputs'!$H$6</f>
        <v>0.028212883587601</v>
      </c>
      <c r="D1039" s="12">
        <f>D1038*EXP(-'1_Inputs'!$H$6*(1/365))</f>
        <v>0.945509634925979</v>
      </c>
    </row>
    <row r="1040" spans="1:4">
      <c r="A1040" s="4">
        <v>1037</v>
      </c>
      <c r="B1040" s="6">
        <f t="shared" si="16"/>
        <v>2.84109589041096</v>
      </c>
      <c r="C1040" s="8">
        <f>'1_Inputs'!$H$6</f>
        <v>0.028212883587601</v>
      </c>
      <c r="D1040" s="6">
        <f>D1039*EXP(-'1_Inputs'!$H$6*(1/365))</f>
        <v>0.945436554042865</v>
      </c>
    </row>
    <row r="1041" spans="1:4">
      <c r="A1041" s="10">
        <v>1038</v>
      </c>
      <c r="B1041" s="12">
        <f t="shared" si="16"/>
        <v>2.84383561643836</v>
      </c>
      <c r="C1041" s="14">
        <f>'1_Inputs'!$H$6</f>
        <v>0.028212883587601</v>
      </c>
      <c r="D1041" s="12">
        <f>D1040*EXP(-'1_Inputs'!$H$6*(1/365))</f>
        <v>0.945363478808361</v>
      </c>
    </row>
    <row r="1042" spans="1:4">
      <c r="A1042" s="4">
        <v>1039</v>
      </c>
      <c r="B1042" s="6">
        <f t="shared" si="16"/>
        <v>2.84657534246575</v>
      </c>
      <c r="C1042" s="8">
        <f>'1_Inputs'!$H$6</f>
        <v>0.028212883587601</v>
      </c>
      <c r="D1042" s="6">
        <f>D1041*EXP(-'1_Inputs'!$H$6*(1/365))</f>
        <v>0.945290409222031</v>
      </c>
    </row>
    <row r="1043" spans="1:4">
      <c r="A1043" s="10">
        <v>1040</v>
      </c>
      <c r="B1043" s="12">
        <f t="shared" si="16"/>
        <v>2.84931506849315</v>
      </c>
      <c r="C1043" s="14">
        <f>'1_Inputs'!$H$6</f>
        <v>0.028212883587601</v>
      </c>
      <c r="D1043" s="12">
        <f>D1042*EXP(-'1_Inputs'!$H$6*(1/365))</f>
        <v>0.945217345283438</v>
      </c>
    </row>
    <row r="1044" spans="1:4">
      <c r="A1044" s="4">
        <v>1041</v>
      </c>
      <c r="B1044" s="6">
        <f t="shared" si="16"/>
        <v>2.85205479452055</v>
      </c>
      <c r="C1044" s="8">
        <f>'1_Inputs'!$H$6</f>
        <v>0.028212883587601</v>
      </c>
      <c r="D1044" s="6">
        <f>D1043*EXP(-'1_Inputs'!$H$6*(1/365))</f>
        <v>0.945144286992146</v>
      </c>
    </row>
    <row r="1045" spans="1:4">
      <c r="A1045" s="10">
        <v>1042</v>
      </c>
      <c r="B1045" s="12">
        <f t="shared" si="16"/>
        <v>2.85479452054795</v>
      </c>
      <c r="C1045" s="14">
        <f>'1_Inputs'!$H$6</f>
        <v>0.028212883587601</v>
      </c>
      <c r="D1045" s="12">
        <f>D1044*EXP(-'1_Inputs'!$H$6*(1/365))</f>
        <v>0.945071234347718</v>
      </c>
    </row>
    <row r="1046" spans="1:4">
      <c r="A1046" s="4">
        <v>1043</v>
      </c>
      <c r="B1046" s="6">
        <f t="shared" si="16"/>
        <v>2.85753424657534</v>
      </c>
      <c r="C1046" s="8">
        <f>'1_Inputs'!$H$6</f>
        <v>0.028212883587601</v>
      </c>
      <c r="D1046" s="6">
        <f>D1045*EXP(-'1_Inputs'!$H$6*(1/365))</f>
        <v>0.944998187349717</v>
      </c>
    </row>
    <row r="1047" spans="1:4">
      <c r="A1047" s="10">
        <v>1044</v>
      </c>
      <c r="B1047" s="12">
        <f t="shared" si="16"/>
        <v>2.86027397260274</v>
      </c>
      <c r="C1047" s="14">
        <f>'1_Inputs'!$H$6</f>
        <v>0.028212883587601</v>
      </c>
      <c r="D1047" s="12">
        <f>D1046*EXP(-'1_Inputs'!$H$6*(1/365))</f>
        <v>0.944925145997708</v>
      </c>
    </row>
    <row r="1048" spans="1:4">
      <c r="A1048" s="4">
        <v>1045</v>
      </c>
      <c r="B1048" s="6">
        <f t="shared" si="16"/>
        <v>2.86301369863014</v>
      </c>
      <c r="C1048" s="8">
        <f>'1_Inputs'!$H$6</f>
        <v>0.028212883587601</v>
      </c>
      <c r="D1048" s="6">
        <f>D1047*EXP(-'1_Inputs'!$H$6*(1/365))</f>
        <v>0.944852110291254</v>
      </c>
    </row>
    <row r="1049" spans="1:4">
      <c r="A1049" s="10">
        <v>1046</v>
      </c>
      <c r="B1049" s="12">
        <f t="shared" si="16"/>
        <v>2.86575342465753</v>
      </c>
      <c r="C1049" s="14">
        <f>'1_Inputs'!$H$6</f>
        <v>0.028212883587601</v>
      </c>
      <c r="D1049" s="12">
        <f>D1048*EXP(-'1_Inputs'!$H$6*(1/365))</f>
        <v>0.944779080229918</v>
      </c>
    </row>
    <row r="1050" spans="1:4">
      <c r="A1050" s="4">
        <v>1047</v>
      </c>
      <c r="B1050" s="6">
        <f t="shared" si="16"/>
        <v>2.86849315068493</v>
      </c>
      <c r="C1050" s="8">
        <f>'1_Inputs'!$H$6</f>
        <v>0.028212883587601</v>
      </c>
      <c r="D1050" s="6">
        <f>D1049*EXP(-'1_Inputs'!$H$6*(1/365))</f>
        <v>0.944706055813264</v>
      </c>
    </row>
    <row r="1051" spans="1:4">
      <c r="A1051" s="10">
        <v>1048</v>
      </c>
      <c r="B1051" s="12">
        <f t="shared" si="16"/>
        <v>2.87123287671233</v>
      </c>
      <c r="C1051" s="14">
        <f>'1_Inputs'!$H$6</f>
        <v>0.028212883587601</v>
      </c>
      <c r="D1051" s="12">
        <f>D1050*EXP(-'1_Inputs'!$H$6*(1/365))</f>
        <v>0.944633037040857</v>
      </c>
    </row>
    <row r="1052" spans="1:4">
      <c r="A1052" s="4">
        <v>1049</v>
      </c>
      <c r="B1052" s="6">
        <f t="shared" si="16"/>
        <v>2.87397260273973</v>
      </c>
      <c r="C1052" s="8">
        <f>'1_Inputs'!$H$6</f>
        <v>0.028212883587601</v>
      </c>
      <c r="D1052" s="6">
        <f>D1051*EXP(-'1_Inputs'!$H$6*(1/365))</f>
        <v>0.944560023912259</v>
      </c>
    </row>
    <row r="1053" spans="1:4">
      <c r="A1053" s="10">
        <v>1050</v>
      </c>
      <c r="B1053" s="12">
        <f t="shared" si="16"/>
        <v>2.87671232876712</v>
      </c>
      <c r="C1053" s="14">
        <f>'1_Inputs'!$H$6</f>
        <v>0.028212883587601</v>
      </c>
      <c r="D1053" s="12">
        <f>D1052*EXP(-'1_Inputs'!$H$6*(1/365))</f>
        <v>0.944487016427034</v>
      </c>
    </row>
    <row r="1054" spans="1:4">
      <c r="A1054" s="4">
        <v>1051</v>
      </c>
      <c r="B1054" s="6">
        <f t="shared" si="16"/>
        <v>2.87945205479452</v>
      </c>
      <c r="C1054" s="8">
        <f>'1_Inputs'!$H$6</f>
        <v>0.028212883587601</v>
      </c>
      <c r="D1054" s="6">
        <f>D1053*EXP(-'1_Inputs'!$H$6*(1/365))</f>
        <v>0.944414014584746</v>
      </c>
    </row>
    <row r="1055" spans="1:4">
      <c r="A1055" s="10">
        <v>1052</v>
      </c>
      <c r="B1055" s="12">
        <f t="shared" si="16"/>
        <v>2.88219178082192</v>
      </c>
      <c r="C1055" s="14">
        <f>'1_Inputs'!$H$6</f>
        <v>0.028212883587601</v>
      </c>
      <c r="D1055" s="12">
        <f>D1054*EXP(-'1_Inputs'!$H$6*(1/365))</f>
        <v>0.94434101838496</v>
      </c>
    </row>
    <row r="1056" spans="1:4">
      <c r="A1056" s="4">
        <v>1053</v>
      </c>
      <c r="B1056" s="6">
        <f t="shared" si="16"/>
        <v>2.88493150684931</v>
      </c>
      <c r="C1056" s="8">
        <f>'1_Inputs'!$H$6</f>
        <v>0.028212883587601</v>
      </c>
      <c r="D1056" s="6">
        <f>D1055*EXP(-'1_Inputs'!$H$6*(1/365))</f>
        <v>0.944268027827238</v>
      </c>
    </row>
    <row r="1057" spans="1:4">
      <c r="A1057" s="10">
        <v>1054</v>
      </c>
      <c r="B1057" s="12">
        <f t="shared" si="16"/>
        <v>2.88767123287671</v>
      </c>
      <c r="C1057" s="14">
        <f>'1_Inputs'!$H$6</f>
        <v>0.028212883587601</v>
      </c>
      <c r="D1057" s="12">
        <f>D1056*EXP(-'1_Inputs'!$H$6*(1/365))</f>
        <v>0.944195042911146</v>
      </c>
    </row>
    <row r="1058" spans="1:4">
      <c r="A1058" s="4">
        <v>1055</v>
      </c>
      <c r="B1058" s="6">
        <f t="shared" si="16"/>
        <v>2.89041095890411</v>
      </c>
      <c r="C1058" s="8">
        <f>'1_Inputs'!$H$6</f>
        <v>0.028212883587601</v>
      </c>
      <c r="D1058" s="6">
        <f>D1057*EXP(-'1_Inputs'!$H$6*(1/365))</f>
        <v>0.944122063636246</v>
      </c>
    </row>
    <row r="1059" spans="1:4">
      <c r="A1059" s="10">
        <v>1056</v>
      </c>
      <c r="B1059" s="12">
        <f t="shared" si="16"/>
        <v>2.89315068493151</v>
      </c>
      <c r="C1059" s="14">
        <f>'1_Inputs'!$H$6</f>
        <v>0.028212883587601</v>
      </c>
      <c r="D1059" s="12">
        <f>D1058*EXP(-'1_Inputs'!$H$6*(1/365))</f>
        <v>0.944049090002102</v>
      </c>
    </row>
    <row r="1060" spans="1:4">
      <c r="A1060" s="4">
        <v>1057</v>
      </c>
      <c r="B1060" s="6">
        <f t="shared" si="16"/>
        <v>2.8958904109589</v>
      </c>
      <c r="C1060" s="8">
        <f>'1_Inputs'!$H$6</f>
        <v>0.028212883587601</v>
      </c>
      <c r="D1060" s="6">
        <f>D1059*EXP(-'1_Inputs'!$H$6*(1/365))</f>
        <v>0.94397612200828</v>
      </c>
    </row>
    <row r="1061" spans="1:4">
      <c r="A1061" s="10">
        <v>1058</v>
      </c>
      <c r="B1061" s="12">
        <f t="shared" si="16"/>
        <v>2.8986301369863</v>
      </c>
      <c r="C1061" s="14">
        <f>'1_Inputs'!$H$6</f>
        <v>0.028212883587601</v>
      </c>
      <c r="D1061" s="12">
        <f>D1060*EXP(-'1_Inputs'!$H$6*(1/365))</f>
        <v>0.943903159654342</v>
      </c>
    </row>
    <row r="1062" spans="1:4">
      <c r="A1062" s="4">
        <v>1059</v>
      </c>
      <c r="B1062" s="6">
        <f t="shared" si="16"/>
        <v>2.9013698630137</v>
      </c>
      <c r="C1062" s="8">
        <f>'1_Inputs'!$H$6</f>
        <v>0.028212883587601</v>
      </c>
      <c r="D1062" s="6">
        <f>D1061*EXP(-'1_Inputs'!$H$6*(1/365))</f>
        <v>0.943830202939854</v>
      </c>
    </row>
    <row r="1063" spans="1:4">
      <c r="A1063" s="10">
        <v>1060</v>
      </c>
      <c r="B1063" s="12">
        <f t="shared" si="16"/>
        <v>2.9041095890411</v>
      </c>
      <c r="C1063" s="14">
        <f>'1_Inputs'!$H$6</f>
        <v>0.028212883587601</v>
      </c>
      <c r="D1063" s="12">
        <f>D1062*EXP(-'1_Inputs'!$H$6*(1/365))</f>
        <v>0.943757251864378</v>
      </c>
    </row>
    <row r="1064" spans="1:4">
      <c r="A1064" s="4">
        <v>1061</v>
      </c>
      <c r="B1064" s="6">
        <f t="shared" si="16"/>
        <v>2.90684931506849</v>
      </c>
      <c r="C1064" s="8">
        <f>'1_Inputs'!$H$6</f>
        <v>0.028212883587601</v>
      </c>
      <c r="D1064" s="6">
        <f>D1063*EXP(-'1_Inputs'!$H$6*(1/365))</f>
        <v>0.943684306427479</v>
      </c>
    </row>
    <row r="1065" spans="1:4">
      <c r="A1065" s="10">
        <v>1062</v>
      </c>
      <c r="B1065" s="12">
        <f t="shared" si="16"/>
        <v>2.90958904109589</v>
      </c>
      <c r="C1065" s="14">
        <f>'1_Inputs'!$H$6</f>
        <v>0.028212883587601</v>
      </c>
      <c r="D1065" s="12">
        <f>D1064*EXP(-'1_Inputs'!$H$6*(1/365))</f>
        <v>0.943611366628722</v>
      </c>
    </row>
    <row r="1066" spans="1:4">
      <c r="A1066" s="4">
        <v>1063</v>
      </c>
      <c r="B1066" s="6">
        <f t="shared" si="16"/>
        <v>2.91232876712329</v>
      </c>
      <c r="C1066" s="8">
        <f>'1_Inputs'!$H$6</f>
        <v>0.028212883587601</v>
      </c>
      <c r="D1066" s="6">
        <f>D1065*EXP(-'1_Inputs'!$H$6*(1/365))</f>
        <v>0.94353843246767</v>
      </c>
    </row>
    <row r="1067" spans="1:4">
      <c r="A1067" s="10">
        <v>1064</v>
      </c>
      <c r="B1067" s="12">
        <f t="shared" si="16"/>
        <v>2.91506849315068</v>
      </c>
      <c r="C1067" s="14">
        <f>'1_Inputs'!$H$6</f>
        <v>0.028212883587601</v>
      </c>
      <c r="D1067" s="12">
        <f>D1066*EXP(-'1_Inputs'!$H$6*(1/365))</f>
        <v>0.943465503943889</v>
      </c>
    </row>
    <row r="1068" spans="1:4">
      <c r="A1068" s="4">
        <v>1065</v>
      </c>
      <c r="B1068" s="6">
        <f t="shared" si="16"/>
        <v>2.91780821917808</v>
      </c>
      <c r="C1068" s="8">
        <f>'1_Inputs'!$H$6</f>
        <v>0.028212883587601</v>
      </c>
      <c r="D1068" s="6">
        <f>D1067*EXP(-'1_Inputs'!$H$6*(1/365))</f>
        <v>0.943392581056941</v>
      </c>
    </row>
    <row r="1069" spans="1:4">
      <c r="A1069" s="10">
        <v>1066</v>
      </c>
      <c r="B1069" s="12">
        <f t="shared" si="16"/>
        <v>2.92054794520548</v>
      </c>
      <c r="C1069" s="14">
        <f>'1_Inputs'!$H$6</f>
        <v>0.028212883587601</v>
      </c>
      <c r="D1069" s="12">
        <f>D1068*EXP(-'1_Inputs'!$H$6*(1/365))</f>
        <v>0.943319663806391</v>
      </c>
    </row>
    <row r="1070" spans="1:4">
      <c r="A1070" s="4">
        <v>1067</v>
      </c>
      <c r="B1070" s="6">
        <f t="shared" si="16"/>
        <v>2.92328767123288</v>
      </c>
      <c r="C1070" s="8">
        <f>'1_Inputs'!$H$6</f>
        <v>0.028212883587601</v>
      </c>
      <c r="D1070" s="6">
        <f>D1069*EXP(-'1_Inputs'!$H$6*(1/365))</f>
        <v>0.943246752191804</v>
      </c>
    </row>
    <row r="1071" spans="1:4">
      <c r="A1071" s="10">
        <v>1068</v>
      </c>
      <c r="B1071" s="12">
        <f t="shared" si="16"/>
        <v>2.92602739726027</v>
      </c>
      <c r="C1071" s="14">
        <f>'1_Inputs'!$H$6</f>
        <v>0.028212883587601</v>
      </c>
      <c r="D1071" s="12">
        <f>D1070*EXP(-'1_Inputs'!$H$6*(1/365))</f>
        <v>0.943173846212745</v>
      </c>
    </row>
    <row r="1072" spans="1:4">
      <c r="A1072" s="4">
        <v>1069</v>
      </c>
      <c r="B1072" s="6">
        <f t="shared" si="16"/>
        <v>2.92876712328767</v>
      </c>
      <c r="C1072" s="8">
        <f>'1_Inputs'!$H$6</f>
        <v>0.028212883587601</v>
      </c>
      <c r="D1072" s="6">
        <f>D1071*EXP(-'1_Inputs'!$H$6*(1/365))</f>
        <v>0.943100945868777</v>
      </c>
    </row>
    <row r="1073" spans="1:4">
      <c r="A1073" s="10">
        <v>1070</v>
      </c>
      <c r="B1073" s="12">
        <f t="shared" si="16"/>
        <v>2.93150684931507</v>
      </c>
      <c r="C1073" s="14">
        <f>'1_Inputs'!$H$6</f>
        <v>0.028212883587601</v>
      </c>
      <c r="D1073" s="12">
        <f>D1072*EXP(-'1_Inputs'!$H$6*(1/365))</f>
        <v>0.943028051159465</v>
      </c>
    </row>
    <row r="1074" spans="1:4">
      <c r="A1074" s="4">
        <v>1071</v>
      </c>
      <c r="B1074" s="6">
        <f t="shared" si="16"/>
        <v>2.93424657534247</v>
      </c>
      <c r="C1074" s="8">
        <f>'1_Inputs'!$H$6</f>
        <v>0.028212883587601</v>
      </c>
      <c r="D1074" s="6">
        <f>D1073*EXP(-'1_Inputs'!$H$6*(1/365))</f>
        <v>0.942955162084373</v>
      </c>
    </row>
    <row r="1075" spans="1:4">
      <c r="A1075" s="10">
        <v>1072</v>
      </c>
      <c r="B1075" s="12">
        <f t="shared" si="16"/>
        <v>2.93698630136986</v>
      </c>
      <c r="C1075" s="14">
        <f>'1_Inputs'!$H$6</f>
        <v>0.028212883587601</v>
      </c>
      <c r="D1075" s="12">
        <f>D1074*EXP(-'1_Inputs'!$H$6*(1/365))</f>
        <v>0.942882278643066</v>
      </c>
    </row>
    <row r="1076" spans="1:4">
      <c r="A1076" s="4">
        <v>1073</v>
      </c>
      <c r="B1076" s="6">
        <f t="shared" si="16"/>
        <v>2.93972602739726</v>
      </c>
      <c r="C1076" s="8">
        <f>'1_Inputs'!$H$6</f>
        <v>0.028212883587601</v>
      </c>
      <c r="D1076" s="6">
        <f>D1075*EXP(-'1_Inputs'!$H$6*(1/365))</f>
        <v>0.942809400835109</v>
      </c>
    </row>
    <row r="1077" spans="1:4">
      <c r="A1077" s="10">
        <v>1074</v>
      </c>
      <c r="B1077" s="12">
        <f t="shared" si="16"/>
        <v>2.94246575342466</v>
      </c>
      <c r="C1077" s="14">
        <f>'1_Inputs'!$H$6</f>
        <v>0.028212883587601</v>
      </c>
      <c r="D1077" s="12">
        <f>D1076*EXP(-'1_Inputs'!$H$6*(1/365))</f>
        <v>0.942736528660066</v>
      </c>
    </row>
    <row r="1078" spans="1:4">
      <c r="A1078" s="4">
        <v>1075</v>
      </c>
      <c r="B1078" s="6">
        <f t="shared" si="16"/>
        <v>2.94520547945205</v>
      </c>
      <c r="C1078" s="8">
        <f>'1_Inputs'!$H$6</f>
        <v>0.028212883587601</v>
      </c>
      <c r="D1078" s="6">
        <f>D1077*EXP(-'1_Inputs'!$H$6*(1/365))</f>
        <v>0.942663662117502</v>
      </c>
    </row>
    <row r="1079" spans="1:4">
      <c r="A1079" s="10">
        <v>1076</v>
      </c>
      <c r="B1079" s="12">
        <f t="shared" si="16"/>
        <v>2.94794520547945</v>
      </c>
      <c r="C1079" s="14">
        <f>'1_Inputs'!$H$6</f>
        <v>0.028212883587601</v>
      </c>
      <c r="D1079" s="12">
        <f>D1078*EXP(-'1_Inputs'!$H$6*(1/365))</f>
        <v>0.942590801206981</v>
      </c>
    </row>
    <row r="1080" spans="1:4">
      <c r="A1080" s="4">
        <v>1077</v>
      </c>
      <c r="B1080" s="6">
        <f t="shared" si="16"/>
        <v>2.95068493150685</v>
      </c>
      <c r="C1080" s="8">
        <f>'1_Inputs'!$H$6</f>
        <v>0.028212883587601</v>
      </c>
      <c r="D1080" s="6">
        <f>D1079*EXP(-'1_Inputs'!$H$6*(1/365))</f>
        <v>0.942517945928068</v>
      </c>
    </row>
    <row r="1081" spans="1:4">
      <c r="A1081" s="10">
        <v>1078</v>
      </c>
      <c r="B1081" s="12">
        <f t="shared" si="16"/>
        <v>2.95342465753425</v>
      </c>
      <c r="C1081" s="14">
        <f>'1_Inputs'!$H$6</f>
        <v>0.028212883587601</v>
      </c>
      <c r="D1081" s="12">
        <f>D1080*EXP(-'1_Inputs'!$H$6*(1/365))</f>
        <v>0.942445096280328</v>
      </c>
    </row>
    <row r="1082" spans="1:4">
      <c r="A1082" s="4">
        <v>1079</v>
      </c>
      <c r="B1082" s="6">
        <f t="shared" si="16"/>
        <v>2.95616438356164</v>
      </c>
      <c r="C1082" s="8">
        <f>'1_Inputs'!$H$6</f>
        <v>0.028212883587601</v>
      </c>
      <c r="D1082" s="6">
        <f>D1081*EXP(-'1_Inputs'!$H$6*(1/365))</f>
        <v>0.942372252263325</v>
      </c>
    </row>
    <row r="1083" spans="1:4">
      <c r="A1083" s="10">
        <v>1080</v>
      </c>
      <c r="B1083" s="12">
        <f t="shared" si="16"/>
        <v>2.95890410958904</v>
      </c>
      <c r="C1083" s="14">
        <f>'1_Inputs'!$H$6</f>
        <v>0.028212883587601</v>
      </c>
      <c r="D1083" s="12">
        <f>D1082*EXP(-'1_Inputs'!$H$6*(1/365))</f>
        <v>0.942299413876625</v>
      </c>
    </row>
    <row r="1084" spans="1:4">
      <c r="A1084" s="4">
        <v>1081</v>
      </c>
      <c r="B1084" s="6">
        <f t="shared" si="16"/>
        <v>2.96164383561644</v>
      </c>
      <c r="C1084" s="8">
        <f>'1_Inputs'!$H$6</f>
        <v>0.028212883587601</v>
      </c>
      <c r="D1084" s="6">
        <f>D1083*EXP(-'1_Inputs'!$H$6*(1/365))</f>
        <v>0.942226581119792</v>
      </c>
    </row>
    <row r="1085" spans="1:4">
      <c r="A1085" s="10">
        <v>1082</v>
      </c>
      <c r="B1085" s="12">
        <f t="shared" si="16"/>
        <v>2.96438356164384</v>
      </c>
      <c r="C1085" s="14">
        <f>'1_Inputs'!$H$6</f>
        <v>0.028212883587601</v>
      </c>
      <c r="D1085" s="12">
        <f>D1084*EXP(-'1_Inputs'!$H$6*(1/365))</f>
        <v>0.942153753992391</v>
      </c>
    </row>
    <row r="1086" spans="1:4">
      <c r="A1086" s="4">
        <v>1083</v>
      </c>
      <c r="B1086" s="6">
        <f t="shared" si="16"/>
        <v>2.96712328767123</v>
      </c>
      <c r="C1086" s="8">
        <f>'1_Inputs'!$H$6</f>
        <v>0.028212883587601</v>
      </c>
      <c r="D1086" s="6">
        <f>D1085*EXP(-'1_Inputs'!$H$6*(1/365))</f>
        <v>0.942080932493986</v>
      </c>
    </row>
    <row r="1087" spans="1:4">
      <c r="A1087" s="10">
        <v>1084</v>
      </c>
      <c r="B1087" s="12">
        <f t="shared" si="16"/>
        <v>2.96986301369863</v>
      </c>
      <c r="C1087" s="14">
        <f>'1_Inputs'!$H$6</f>
        <v>0.028212883587601</v>
      </c>
      <c r="D1087" s="12">
        <f>D1086*EXP(-'1_Inputs'!$H$6*(1/365))</f>
        <v>0.942008116624144</v>
      </c>
    </row>
    <row r="1088" spans="1:4">
      <c r="A1088" s="4">
        <v>1085</v>
      </c>
      <c r="B1088" s="6">
        <f t="shared" si="16"/>
        <v>2.97260273972603</v>
      </c>
      <c r="C1088" s="8">
        <f>'1_Inputs'!$H$6</f>
        <v>0.028212883587601</v>
      </c>
      <c r="D1088" s="6">
        <f>D1087*EXP(-'1_Inputs'!$H$6*(1/365))</f>
        <v>0.941935306382428</v>
      </c>
    </row>
    <row r="1089" spans="1:5">
      <c r="A1089" s="10">
        <v>1086</v>
      </c>
      <c r="B1089" s="12">
        <f t="shared" si="16"/>
        <v>2.97534246575342</v>
      </c>
      <c r="C1089" s="14">
        <f>'1_Inputs'!$H$6</f>
        <v>0.028212883587601</v>
      </c>
      <c r="D1089" s="12">
        <f>D1088*EXP(-'1_Inputs'!$H$6*(1/365))</f>
        <v>0.941862501768404</v>
      </c>
    </row>
    <row r="1090" spans="1:5">
      <c r="A1090" s="4">
        <v>1087</v>
      </c>
      <c r="B1090" s="6">
        <f t="shared" si="16"/>
        <v>2.97808219178082</v>
      </c>
      <c r="C1090" s="8">
        <f>'1_Inputs'!$H$6</f>
        <v>0.028212883587601</v>
      </c>
      <c r="D1090" s="6">
        <f>D1089*EXP(-'1_Inputs'!$H$6*(1/365))</f>
        <v>0.941789702781637</v>
      </c>
    </row>
    <row r="1091" spans="1:5">
      <c r="A1091" s="10">
        <v>1088</v>
      </c>
      <c r="B1091" s="12">
        <f t="shared" ref="B1091:B1154" si="17">A1091/365</f>
        <v>2.98082191780822</v>
      </c>
      <c r="C1091" s="14">
        <f>'1_Inputs'!$H$6</f>
        <v>0.028212883587601</v>
      </c>
      <c r="D1091" s="12">
        <f>D1090*EXP(-'1_Inputs'!$H$6*(1/365))</f>
        <v>0.941716909421692</v>
      </c>
    </row>
    <row r="1092" spans="1:5">
      <c r="A1092" s="4">
        <v>1089</v>
      </c>
      <c r="B1092" s="6">
        <f t="shared" si="17"/>
        <v>2.98356164383562</v>
      </c>
      <c r="C1092" s="8">
        <f>'1_Inputs'!$H$6</f>
        <v>0.028212883587601</v>
      </c>
      <c r="D1092" s="6">
        <f>D1091*EXP(-'1_Inputs'!$H$6*(1/365))</f>
        <v>0.941644121688133</v>
      </c>
    </row>
    <row r="1093" spans="1:5">
      <c r="A1093" s="10">
        <v>1090</v>
      </c>
      <c r="B1093" s="12">
        <f t="shared" si="17"/>
        <v>2.98630136986301</v>
      </c>
      <c r="C1093" s="14">
        <f>'1_Inputs'!$H$6</f>
        <v>0.028212883587601</v>
      </c>
      <c r="D1093" s="12">
        <f>D1092*EXP(-'1_Inputs'!$H$6*(1/365))</f>
        <v>0.941571339580527</v>
      </c>
    </row>
    <row r="1094" spans="1:5">
      <c r="A1094" s="4">
        <v>1091</v>
      </c>
      <c r="B1094" s="6">
        <f t="shared" si="17"/>
        <v>2.98904109589041</v>
      </c>
      <c r="C1094" s="8">
        <f>'1_Inputs'!$H$6</f>
        <v>0.028212883587601</v>
      </c>
      <c r="D1094" s="6">
        <f>D1093*EXP(-'1_Inputs'!$H$6*(1/365))</f>
        <v>0.941498563098438</v>
      </c>
    </row>
    <row r="1095" spans="1:5">
      <c r="A1095" s="10">
        <v>1092</v>
      </c>
      <c r="B1095" s="12">
        <f t="shared" si="17"/>
        <v>2.99178082191781</v>
      </c>
      <c r="C1095" s="14">
        <f>'1_Inputs'!$H$6</f>
        <v>0.028212883587601</v>
      </c>
      <c r="D1095" s="12">
        <f>D1094*EXP(-'1_Inputs'!$H$6*(1/365))</f>
        <v>0.941425792241431</v>
      </c>
    </row>
    <row r="1096" spans="1:5">
      <c r="A1096" s="4">
        <v>1093</v>
      </c>
      <c r="B1096" s="6">
        <f t="shared" si="17"/>
        <v>2.99452054794521</v>
      </c>
      <c r="C1096" s="8">
        <f>'1_Inputs'!$H$6</f>
        <v>0.028212883587601</v>
      </c>
      <c r="D1096" s="6">
        <f>D1095*EXP(-'1_Inputs'!$H$6*(1/365))</f>
        <v>0.941353027009072</v>
      </c>
    </row>
    <row r="1097" spans="1:5">
      <c r="A1097" s="10">
        <v>1094</v>
      </c>
      <c r="B1097" s="12">
        <f t="shared" si="17"/>
        <v>2.9972602739726</v>
      </c>
      <c r="C1097" s="14">
        <f>'1_Inputs'!$H$6</f>
        <v>0.028212883587601</v>
      </c>
      <c r="D1097" s="12">
        <f>D1096*EXP(-'1_Inputs'!$H$6*(1/365))</f>
        <v>0.941280267400925</v>
      </c>
    </row>
    <row r="1098" spans="1:5">
      <c r="A1098" s="4">
        <v>1095</v>
      </c>
      <c r="B1098" s="6">
        <f t="shared" si="17"/>
        <v>3</v>
      </c>
      <c r="C1098" s="8">
        <f>'1_Inputs'!$H$6</f>
        <v>0.028212883587601</v>
      </c>
      <c r="D1098" s="6">
        <f>D1097*EXP(-'1_Inputs'!$H$6*(1/365))</f>
        <v>0.941207513416557</v>
      </c>
      <c r="E1098" s="44" t="s">
        <v>63</v>
      </c>
    </row>
    <row r="1099" spans="1:5">
      <c r="A1099" s="10">
        <v>1096</v>
      </c>
      <c r="B1099" s="12">
        <f t="shared" si="17"/>
        <v>3.0027397260274</v>
      </c>
      <c r="C1099" s="14">
        <f>'1_Inputs'!$H$7</f>
        <v>0.0305712824819807</v>
      </c>
      <c r="D1099" s="12">
        <f>D1098*EXP(-'1_Inputs'!$H$7*(1/365))</f>
        <v>0.941128684058221</v>
      </c>
    </row>
    <row r="1100" spans="1:5">
      <c r="A1100" s="4">
        <v>1097</v>
      </c>
      <c r="B1100" s="6">
        <f t="shared" si="17"/>
        <v>3.00547945205479</v>
      </c>
      <c r="C1100" s="8">
        <f>'1_Inputs'!$H$7</f>
        <v>0.0305712824819807</v>
      </c>
      <c r="D1100" s="6">
        <f>D1099*EXP(-'1_Inputs'!$H$7*(1/365))</f>
        <v>0.941049861302114</v>
      </c>
    </row>
    <row r="1101" spans="1:5">
      <c r="A1101" s="10">
        <v>1098</v>
      </c>
      <c r="B1101" s="12">
        <f t="shared" si="17"/>
        <v>3.00821917808219</v>
      </c>
      <c r="C1101" s="14">
        <f>'1_Inputs'!$H$7</f>
        <v>0.0305712824819807</v>
      </c>
      <c r="D1101" s="12">
        <f>D1100*EXP(-'1_Inputs'!$H$7*(1/365))</f>
        <v>0.940971045147683</v>
      </c>
    </row>
    <row r="1102" spans="1:5">
      <c r="A1102" s="4">
        <v>1099</v>
      </c>
      <c r="B1102" s="6">
        <f t="shared" si="17"/>
        <v>3.01095890410959</v>
      </c>
      <c r="C1102" s="8">
        <f>'1_Inputs'!$H$7</f>
        <v>0.0305712824819807</v>
      </c>
      <c r="D1102" s="6">
        <f>D1101*EXP(-'1_Inputs'!$H$7*(1/365))</f>
        <v>0.940892235594376</v>
      </c>
    </row>
    <row r="1103" spans="1:5">
      <c r="A1103" s="10">
        <v>1100</v>
      </c>
      <c r="B1103" s="12">
        <f t="shared" si="17"/>
        <v>3.01369863013699</v>
      </c>
      <c r="C1103" s="14">
        <f>'1_Inputs'!$H$7</f>
        <v>0.0305712824819807</v>
      </c>
      <c r="D1103" s="12">
        <f>D1102*EXP(-'1_Inputs'!$H$7*(1/365))</f>
        <v>0.940813432641639</v>
      </c>
    </row>
    <row r="1104" spans="1:5">
      <c r="A1104" s="4">
        <v>1101</v>
      </c>
      <c r="B1104" s="6">
        <f t="shared" si="17"/>
        <v>3.01643835616438</v>
      </c>
      <c r="C1104" s="8">
        <f>'1_Inputs'!$H$7</f>
        <v>0.0305712824819807</v>
      </c>
      <c r="D1104" s="6">
        <f>D1103*EXP(-'1_Inputs'!$H$7*(1/365))</f>
        <v>0.94073463628892</v>
      </c>
    </row>
    <row r="1105" spans="1:4">
      <c r="A1105" s="10">
        <v>1102</v>
      </c>
      <c r="B1105" s="12">
        <f t="shared" si="17"/>
        <v>3.01917808219178</v>
      </c>
      <c r="C1105" s="14">
        <f>'1_Inputs'!$H$7</f>
        <v>0.0305712824819807</v>
      </c>
      <c r="D1105" s="12">
        <f>D1104*EXP(-'1_Inputs'!$H$7*(1/365))</f>
        <v>0.940655846535665</v>
      </c>
    </row>
    <row r="1106" spans="1:4">
      <c r="A1106" s="4">
        <v>1103</v>
      </c>
      <c r="B1106" s="6">
        <f t="shared" si="17"/>
        <v>3.02191780821918</v>
      </c>
      <c r="C1106" s="8">
        <f>'1_Inputs'!$H$7</f>
        <v>0.0305712824819807</v>
      </c>
      <c r="D1106" s="6">
        <f>D1105*EXP(-'1_Inputs'!$H$7*(1/365))</f>
        <v>0.940577063381323</v>
      </c>
    </row>
    <row r="1107" spans="1:4">
      <c r="A1107" s="10">
        <v>1104</v>
      </c>
      <c r="B1107" s="12">
        <f t="shared" si="17"/>
        <v>3.02465753424658</v>
      </c>
      <c r="C1107" s="14">
        <f>'1_Inputs'!$H$7</f>
        <v>0.0305712824819807</v>
      </c>
      <c r="D1107" s="12">
        <f>D1106*EXP(-'1_Inputs'!$H$7*(1/365))</f>
        <v>0.94049828682534</v>
      </c>
    </row>
    <row r="1108" spans="1:4">
      <c r="A1108" s="4">
        <v>1105</v>
      </c>
      <c r="B1108" s="6">
        <f t="shared" si="17"/>
        <v>3.02739726027397</v>
      </c>
      <c r="C1108" s="8">
        <f>'1_Inputs'!$H$7</f>
        <v>0.0305712824819807</v>
      </c>
      <c r="D1108" s="6">
        <f>D1107*EXP(-'1_Inputs'!$H$7*(1/365))</f>
        <v>0.940419516867164</v>
      </c>
    </row>
    <row r="1109" spans="1:4">
      <c r="A1109" s="10">
        <v>1106</v>
      </c>
      <c r="B1109" s="12">
        <f t="shared" si="17"/>
        <v>3.03013698630137</v>
      </c>
      <c r="C1109" s="14">
        <f>'1_Inputs'!$H$7</f>
        <v>0.0305712824819807</v>
      </c>
      <c r="D1109" s="12">
        <f>D1108*EXP(-'1_Inputs'!$H$7*(1/365))</f>
        <v>0.940340753506242</v>
      </c>
    </row>
    <row r="1110" spans="1:4">
      <c r="A1110" s="4">
        <v>1107</v>
      </c>
      <c r="B1110" s="6">
        <f t="shared" si="17"/>
        <v>3.03287671232877</v>
      </c>
      <c r="C1110" s="8">
        <f>'1_Inputs'!$H$7</f>
        <v>0.0305712824819807</v>
      </c>
      <c r="D1110" s="6">
        <f>D1109*EXP(-'1_Inputs'!$H$7*(1/365))</f>
        <v>0.940261996742022</v>
      </c>
    </row>
    <row r="1111" spans="1:4">
      <c r="A1111" s="10">
        <v>1108</v>
      </c>
      <c r="B1111" s="12">
        <f t="shared" si="17"/>
        <v>3.03561643835616</v>
      </c>
      <c r="C1111" s="14">
        <f>'1_Inputs'!$H$7</f>
        <v>0.0305712824819807</v>
      </c>
      <c r="D1111" s="12">
        <f>D1110*EXP(-'1_Inputs'!$H$7*(1/365))</f>
        <v>0.940183246573952</v>
      </c>
    </row>
    <row r="1112" spans="1:4">
      <c r="A1112" s="4">
        <v>1109</v>
      </c>
      <c r="B1112" s="6">
        <f t="shared" si="17"/>
        <v>3.03835616438356</v>
      </c>
      <c r="C1112" s="8">
        <f>'1_Inputs'!$H$7</f>
        <v>0.0305712824819807</v>
      </c>
      <c r="D1112" s="6">
        <f>D1111*EXP(-'1_Inputs'!$H$7*(1/365))</f>
        <v>0.940104503001478</v>
      </c>
    </row>
    <row r="1113" spans="1:4">
      <c r="A1113" s="10">
        <v>1110</v>
      </c>
      <c r="B1113" s="12">
        <f t="shared" si="17"/>
        <v>3.04109589041096</v>
      </c>
      <c r="C1113" s="14">
        <f>'1_Inputs'!$H$7</f>
        <v>0.0305712824819807</v>
      </c>
      <c r="D1113" s="12">
        <f>D1112*EXP(-'1_Inputs'!$H$7*(1/365))</f>
        <v>0.940025766024048</v>
      </c>
    </row>
    <row r="1114" spans="1:4">
      <c r="A1114" s="4">
        <v>1111</v>
      </c>
      <c r="B1114" s="6">
        <f t="shared" si="17"/>
        <v>3.04383561643836</v>
      </c>
      <c r="C1114" s="8">
        <f>'1_Inputs'!$H$7</f>
        <v>0.0305712824819807</v>
      </c>
      <c r="D1114" s="6">
        <f>D1113*EXP(-'1_Inputs'!$H$7*(1/365))</f>
        <v>0.93994703564111</v>
      </c>
    </row>
    <row r="1115" spans="1:4">
      <c r="A1115" s="10">
        <v>1112</v>
      </c>
      <c r="B1115" s="12">
        <f t="shared" si="17"/>
        <v>3.04657534246575</v>
      </c>
      <c r="C1115" s="14">
        <f>'1_Inputs'!$H$7</f>
        <v>0.0305712824819807</v>
      </c>
      <c r="D1115" s="12">
        <f>D1114*EXP(-'1_Inputs'!$H$7*(1/365))</f>
        <v>0.939868311852112</v>
      </c>
    </row>
    <row r="1116" spans="1:4">
      <c r="A1116" s="4">
        <v>1113</v>
      </c>
      <c r="B1116" s="6">
        <f t="shared" si="17"/>
        <v>3.04931506849315</v>
      </c>
      <c r="C1116" s="8">
        <f>'1_Inputs'!$H$7</f>
        <v>0.0305712824819807</v>
      </c>
      <c r="D1116" s="6">
        <f>D1115*EXP(-'1_Inputs'!$H$7*(1/365))</f>
        <v>0.939789594656501</v>
      </c>
    </row>
    <row r="1117" spans="1:4">
      <c r="A1117" s="10">
        <v>1114</v>
      </c>
      <c r="B1117" s="12">
        <f t="shared" si="17"/>
        <v>3.05205479452055</v>
      </c>
      <c r="C1117" s="14">
        <f>'1_Inputs'!$H$7</f>
        <v>0.0305712824819807</v>
      </c>
      <c r="D1117" s="12">
        <f>D1116*EXP(-'1_Inputs'!$H$7*(1/365))</f>
        <v>0.939710884053726</v>
      </c>
    </row>
    <row r="1118" spans="1:4">
      <c r="A1118" s="4">
        <v>1115</v>
      </c>
      <c r="B1118" s="6">
        <f t="shared" si="17"/>
        <v>3.05479452054795</v>
      </c>
      <c r="C1118" s="8">
        <f>'1_Inputs'!$H$7</f>
        <v>0.0305712824819807</v>
      </c>
      <c r="D1118" s="6">
        <f>D1117*EXP(-'1_Inputs'!$H$7*(1/365))</f>
        <v>0.939632180043234</v>
      </c>
    </row>
    <row r="1119" spans="1:4">
      <c r="A1119" s="10">
        <v>1116</v>
      </c>
      <c r="B1119" s="12">
        <f t="shared" si="17"/>
        <v>3.05753424657534</v>
      </c>
      <c r="C1119" s="14">
        <f>'1_Inputs'!$H$7</f>
        <v>0.0305712824819807</v>
      </c>
      <c r="D1119" s="12">
        <f>D1118*EXP(-'1_Inputs'!$H$7*(1/365))</f>
        <v>0.939553482624472</v>
      </c>
    </row>
    <row r="1120" spans="1:4">
      <c r="A1120" s="4">
        <v>1117</v>
      </c>
      <c r="B1120" s="6">
        <f t="shared" si="17"/>
        <v>3.06027397260274</v>
      </c>
      <c r="C1120" s="8">
        <f>'1_Inputs'!$H$7</f>
        <v>0.0305712824819807</v>
      </c>
      <c r="D1120" s="6">
        <f>D1119*EXP(-'1_Inputs'!$H$7*(1/365))</f>
        <v>0.939474791796889</v>
      </c>
    </row>
    <row r="1121" spans="1:4">
      <c r="A1121" s="10">
        <v>1118</v>
      </c>
      <c r="B1121" s="12">
        <f t="shared" si="17"/>
        <v>3.06301369863014</v>
      </c>
      <c r="C1121" s="14">
        <f>'1_Inputs'!$H$7</f>
        <v>0.0305712824819807</v>
      </c>
      <c r="D1121" s="12">
        <f>D1120*EXP(-'1_Inputs'!$H$7*(1/365))</f>
        <v>0.939396107559933</v>
      </c>
    </row>
    <row r="1122" spans="1:4">
      <c r="A1122" s="4">
        <v>1119</v>
      </c>
      <c r="B1122" s="6">
        <f t="shared" si="17"/>
        <v>3.06575342465753</v>
      </c>
      <c r="C1122" s="8">
        <f>'1_Inputs'!$H$7</f>
        <v>0.0305712824819807</v>
      </c>
      <c r="D1122" s="6">
        <f>D1121*EXP(-'1_Inputs'!$H$7*(1/365))</f>
        <v>0.939317429913052</v>
      </c>
    </row>
    <row r="1123" spans="1:4">
      <c r="A1123" s="10">
        <v>1120</v>
      </c>
      <c r="B1123" s="12">
        <f t="shared" si="17"/>
        <v>3.06849315068493</v>
      </c>
      <c r="C1123" s="14">
        <f>'1_Inputs'!$H$7</f>
        <v>0.0305712824819807</v>
      </c>
      <c r="D1123" s="12">
        <f>D1122*EXP(-'1_Inputs'!$H$7*(1/365))</f>
        <v>0.939238758855694</v>
      </c>
    </row>
    <row r="1124" spans="1:4">
      <c r="A1124" s="4">
        <v>1121</v>
      </c>
      <c r="B1124" s="6">
        <f t="shared" si="17"/>
        <v>3.07123287671233</v>
      </c>
      <c r="C1124" s="8">
        <f>'1_Inputs'!$H$7</f>
        <v>0.0305712824819807</v>
      </c>
      <c r="D1124" s="6">
        <f>D1123*EXP(-'1_Inputs'!$H$7*(1/365))</f>
        <v>0.939160094387307</v>
      </c>
    </row>
    <row r="1125" spans="1:4">
      <c r="A1125" s="10">
        <v>1122</v>
      </c>
      <c r="B1125" s="12">
        <f t="shared" si="17"/>
        <v>3.07397260273973</v>
      </c>
      <c r="C1125" s="14">
        <f>'1_Inputs'!$H$7</f>
        <v>0.0305712824819807</v>
      </c>
      <c r="D1125" s="12">
        <f>D1124*EXP(-'1_Inputs'!$H$7*(1/365))</f>
        <v>0.939081436507338</v>
      </c>
    </row>
    <row r="1126" spans="1:4">
      <c r="A1126" s="4">
        <v>1123</v>
      </c>
      <c r="B1126" s="6">
        <f t="shared" si="17"/>
        <v>3.07671232876712</v>
      </c>
      <c r="C1126" s="8">
        <f>'1_Inputs'!$H$7</f>
        <v>0.0305712824819807</v>
      </c>
      <c r="D1126" s="6">
        <f>D1125*EXP(-'1_Inputs'!$H$7*(1/365))</f>
        <v>0.939002785215238</v>
      </c>
    </row>
    <row r="1127" spans="1:4">
      <c r="A1127" s="10">
        <v>1124</v>
      </c>
      <c r="B1127" s="12">
        <f t="shared" si="17"/>
        <v>3.07945205479452</v>
      </c>
      <c r="C1127" s="14">
        <f>'1_Inputs'!$H$7</f>
        <v>0.0305712824819807</v>
      </c>
      <c r="D1127" s="12">
        <f>D1126*EXP(-'1_Inputs'!$H$7*(1/365))</f>
        <v>0.938924140510452</v>
      </c>
    </row>
    <row r="1128" spans="1:4">
      <c r="A1128" s="4">
        <v>1125</v>
      </c>
      <c r="B1128" s="6">
        <f t="shared" si="17"/>
        <v>3.08219178082192</v>
      </c>
      <c r="C1128" s="8">
        <f>'1_Inputs'!$H$7</f>
        <v>0.0305712824819807</v>
      </c>
      <c r="D1128" s="6">
        <f>D1127*EXP(-'1_Inputs'!$H$7*(1/365))</f>
        <v>0.938845502392431</v>
      </c>
    </row>
    <row r="1129" spans="1:4">
      <c r="A1129" s="10">
        <v>1126</v>
      </c>
      <c r="B1129" s="12">
        <f t="shared" si="17"/>
        <v>3.08493150684931</v>
      </c>
      <c r="C1129" s="14">
        <f>'1_Inputs'!$H$7</f>
        <v>0.0305712824819807</v>
      </c>
      <c r="D1129" s="12">
        <f>D1128*EXP(-'1_Inputs'!$H$7*(1/365))</f>
        <v>0.938766870860621</v>
      </c>
    </row>
    <row r="1130" spans="1:4">
      <c r="A1130" s="4">
        <v>1127</v>
      </c>
      <c r="B1130" s="6">
        <f t="shared" si="17"/>
        <v>3.08767123287671</v>
      </c>
      <c r="C1130" s="8">
        <f>'1_Inputs'!$H$7</f>
        <v>0.0305712824819807</v>
      </c>
      <c r="D1130" s="6">
        <f>D1129*EXP(-'1_Inputs'!$H$7*(1/365))</f>
        <v>0.938688245914473</v>
      </c>
    </row>
    <row r="1131" spans="1:4">
      <c r="A1131" s="10">
        <v>1128</v>
      </c>
      <c r="B1131" s="12">
        <f t="shared" si="17"/>
        <v>3.09041095890411</v>
      </c>
      <c r="C1131" s="14">
        <f>'1_Inputs'!$H$7</f>
        <v>0.0305712824819807</v>
      </c>
      <c r="D1131" s="12">
        <f>D1130*EXP(-'1_Inputs'!$H$7*(1/365))</f>
        <v>0.938609627553433</v>
      </c>
    </row>
    <row r="1132" spans="1:4">
      <c r="A1132" s="4">
        <v>1129</v>
      </c>
      <c r="B1132" s="6">
        <f t="shared" si="17"/>
        <v>3.09315068493151</v>
      </c>
      <c r="C1132" s="8">
        <f>'1_Inputs'!$H$7</f>
        <v>0.0305712824819807</v>
      </c>
      <c r="D1132" s="6">
        <f>D1131*EXP(-'1_Inputs'!$H$7*(1/365))</f>
        <v>0.93853101577695</v>
      </c>
    </row>
    <row r="1133" spans="1:4">
      <c r="A1133" s="10">
        <v>1130</v>
      </c>
      <c r="B1133" s="12">
        <f t="shared" si="17"/>
        <v>3.0958904109589</v>
      </c>
      <c r="C1133" s="14">
        <f>'1_Inputs'!$H$7</f>
        <v>0.0305712824819807</v>
      </c>
      <c r="D1133" s="12">
        <f>D1132*EXP(-'1_Inputs'!$H$7*(1/365))</f>
        <v>0.938452410584474</v>
      </c>
    </row>
    <row r="1134" spans="1:4">
      <c r="A1134" s="4">
        <v>1131</v>
      </c>
      <c r="B1134" s="6">
        <f t="shared" si="17"/>
        <v>3.0986301369863</v>
      </c>
      <c r="C1134" s="8">
        <f>'1_Inputs'!$H$7</f>
        <v>0.0305712824819807</v>
      </c>
      <c r="D1134" s="6">
        <f>D1133*EXP(-'1_Inputs'!$H$7*(1/365))</f>
        <v>0.938373811975452</v>
      </c>
    </row>
    <row r="1135" spans="1:4">
      <c r="A1135" s="10">
        <v>1132</v>
      </c>
      <c r="B1135" s="12">
        <f t="shared" si="17"/>
        <v>3.1013698630137</v>
      </c>
      <c r="C1135" s="14">
        <f>'1_Inputs'!$H$7</f>
        <v>0.0305712824819807</v>
      </c>
      <c r="D1135" s="12">
        <f>D1134*EXP(-'1_Inputs'!$H$7*(1/365))</f>
        <v>0.938295219949333</v>
      </c>
    </row>
    <row r="1136" spans="1:4">
      <c r="A1136" s="4">
        <v>1133</v>
      </c>
      <c r="B1136" s="6">
        <f t="shared" si="17"/>
        <v>3.1041095890411</v>
      </c>
      <c r="C1136" s="8">
        <f>'1_Inputs'!$H$7</f>
        <v>0.0305712824819807</v>
      </c>
      <c r="D1136" s="6">
        <f>D1135*EXP(-'1_Inputs'!$H$7*(1/365))</f>
        <v>0.938216634505567</v>
      </c>
    </row>
    <row r="1137" spans="1:4">
      <c r="A1137" s="10">
        <v>1134</v>
      </c>
      <c r="B1137" s="12">
        <f t="shared" si="17"/>
        <v>3.10684931506849</v>
      </c>
      <c r="C1137" s="14">
        <f>'1_Inputs'!$H$7</f>
        <v>0.0305712824819807</v>
      </c>
      <c r="D1137" s="12">
        <f>D1136*EXP(-'1_Inputs'!$H$7*(1/365))</f>
        <v>0.9381380556436</v>
      </c>
    </row>
    <row r="1138" spans="1:4">
      <c r="A1138" s="4">
        <v>1135</v>
      </c>
      <c r="B1138" s="6">
        <f t="shared" si="17"/>
        <v>3.10958904109589</v>
      </c>
      <c r="C1138" s="8">
        <f>'1_Inputs'!$H$7</f>
        <v>0.0305712824819807</v>
      </c>
      <c r="D1138" s="6">
        <f>D1137*EXP(-'1_Inputs'!$H$7*(1/365))</f>
        <v>0.938059483362883</v>
      </c>
    </row>
    <row r="1139" spans="1:4">
      <c r="A1139" s="10">
        <v>1136</v>
      </c>
      <c r="B1139" s="12">
        <f t="shared" si="17"/>
        <v>3.11232876712329</v>
      </c>
      <c r="C1139" s="14">
        <f>'1_Inputs'!$H$7</f>
        <v>0.0305712824819807</v>
      </c>
      <c r="D1139" s="12">
        <f>D1138*EXP(-'1_Inputs'!$H$7*(1/365))</f>
        <v>0.937980917662864</v>
      </c>
    </row>
    <row r="1140" spans="1:4">
      <c r="A1140" s="4">
        <v>1137</v>
      </c>
      <c r="B1140" s="6">
        <f t="shared" si="17"/>
        <v>3.11506849315068</v>
      </c>
      <c r="C1140" s="8">
        <f>'1_Inputs'!$H$7</f>
        <v>0.0305712824819807</v>
      </c>
      <c r="D1140" s="6">
        <f>D1139*EXP(-'1_Inputs'!$H$7*(1/365))</f>
        <v>0.937902358542992</v>
      </c>
    </row>
    <row r="1141" spans="1:4">
      <c r="A1141" s="10">
        <v>1138</v>
      </c>
      <c r="B1141" s="12">
        <f t="shared" si="17"/>
        <v>3.11780821917808</v>
      </c>
      <c r="C1141" s="14">
        <f>'1_Inputs'!$H$7</f>
        <v>0.0305712824819807</v>
      </c>
      <c r="D1141" s="12">
        <f>D1140*EXP(-'1_Inputs'!$H$7*(1/365))</f>
        <v>0.937823806002716</v>
      </c>
    </row>
    <row r="1142" spans="1:4">
      <c r="A1142" s="4">
        <v>1139</v>
      </c>
      <c r="B1142" s="6">
        <f t="shared" si="17"/>
        <v>3.12054794520548</v>
      </c>
      <c r="C1142" s="8">
        <f>'1_Inputs'!$H$7</f>
        <v>0.0305712824819807</v>
      </c>
      <c r="D1142" s="6">
        <f>D1141*EXP(-'1_Inputs'!$H$7*(1/365))</f>
        <v>0.937745260041485</v>
      </c>
    </row>
    <row r="1143" spans="1:4">
      <c r="A1143" s="10">
        <v>1140</v>
      </c>
      <c r="B1143" s="12">
        <f t="shared" si="17"/>
        <v>3.12328767123288</v>
      </c>
      <c r="C1143" s="14">
        <f>'1_Inputs'!$H$7</f>
        <v>0.0305712824819807</v>
      </c>
      <c r="D1143" s="12">
        <f>D1142*EXP(-'1_Inputs'!$H$7*(1/365))</f>
        <v>0.937666720658747</v>
      </c>
    </row>
    <row r="1144" spans="1:4">
      <c r="A1144" s="4">
        <v>1141</v>
      </c>
      <c r="B1144" s="6">
        <f t="shared" si="17"/>
        <v>3.12602739726027</v>
      </c>
      <c r="C1144" s="8">
        <f>'1_Inputs'!$H$7</f>
        <v>0.0305712824819807</v>
      </c>
      <c r="D1144" s="6">
        <f>D1143*EXP(-'1_Inputs'!$H$7*(1/365))</f>
        <v>0.937588187853952</v>
      </c>
    </row>
    <row r="1145" spans="1:4">
      <c r="A1145" s="10">
        <v>1142</v>
      </c>
      <c r="B1145" s="12">
        <f t="shared" si="17"/>
        <v>3.12876712328767</v>
      </c>
      <c r="C1145" s="14">
        <f>'1_Inputs'!$H$7</f>
        <v>0.0305712824819807</v>
      </c>
      <c r="D1145" s="12">
        <f>D1144*EXP(-'1_Inputs'!$H$7*(1/365))</f>
        <v>0.937509661626549</v>
      </c>
    </row>
    <row r="1146" spans="1:4">
      <c r="A1146" s="4">
        <v>1143</v>
      </c>
      <c r="B1146" s="6">
        <f t="shared" si="17"/>
        <v>3.13150684931507</v>
      </c>
      <c r="C1146" s="8">
        <f>'1_Inputs'!$H$7</f>
        <v>0.0305712824819807</v>
      </c>
      <c r="D1146" s="6">
        <f>D1145*EXP(-'1_Inputs'!$H$7*(1/365))</f>
        <v>0.937431141975987</v>
      </c>
    </row>
    <row r="1147" spans="1:4">
      <c r="A1147" s="10">
        <v>1144</v>
      </c>
      <c r="B1147" s="12">
        <f t="shared" si="17"/>
        <v>3.13424657534247</v>
      </c>
      <c r="C1147" s="14">
        <f>'1_Inputs'!$H$7</f>
        <v>0.0305712824819807</v>
      </c>
      <c r="D1147" s="12">
        <f>D1146*EXP(-'1_Inputs'!$H$7*(1/365))</f>
        <v>0.937352628901714</v>
      </c>
    </row>
    <row r="1148" spans="1:4">
      <c r="A1148" s="4">
        <v>1145</v>
      </c>
      <c r="B1148" s="6">
        <f t="shared" si="17"/>
        <v>3.13698630136986</v>
      </c>
      <c r="C1148" s="8">
        <f>'1_Inputs'!$H$7</f>
        <v>0.0305712824819807</v>
      </c>
      <c r="D1148" s="6">
        <f>D1147*EXP(-'1_Inputs'!$H$7*(1/365))</f>
        <v>0.937274122403182</v>
      </c>
    </row>
    <row r="1149" spans="1:4">
      <c r="A1149" s="10">
        <v>1146</v>
      </c>
      <c r="B1149" s="12">
        <f t="shared" si="17"/>
        <v>3.13972602739726</v>
      </c>
      <c r="C1149" s="14">
        <f>'1_Inputs'!$H$7</f>
        <v>0.0305712824819807</v>
      </c>
      <c r="D1149" s="12">
        <f>D1148*EXP(-'1_Inputs'!$H$7*(1/365))</f>
        <v>0.937195622479837</v>
      </c>
    </row>
    <row r="1150" spans="1:4">
      <c r="A1150" s="4">
        <v>1147</v>
      </c>
      <c r="B1150" s="6">
        <f t="shared" si="17"/>
        <v>3.14246575342466</v>
      </c>
      <c r="C1150" s="8">
        <f>'1_Inputs'!$H$7</f>
        <v>0.0305712824819807</v>
      </c>
      <c r="D1150" s="6">
        <f>D1149*EXP(-'1_Inputs'!$H$7*(1/365))</f>
        <v>0.937117129131131</v>
      </c>
    </row>
    <row r="1151" spans="1:4">
      <c r="A1151" s="10">
        <v>1148</v>
      </c>
      <c r="B1151" s="12">
        <f t="shared" si="17"/>
        <v>3.14520547945205</v>
      </c>
      <c r="C1151" s="14">
        <f>'1_Inputs'!$H$7</f>
        <v>0.0305712824819807</v>
      </c>
      <c r="D1151" s="12">
        <f>D1150*EXP(-'1_Inputs'!$H$7*(1/365))</f>
        <v>0.937038642356512</v>
      </c>
    </row>
    <row r="1152" spans="1:4">
      <c r="A1152" s="4">
        <v>1149</v>
      </c>
      <c r="B1152" s="6">
        <f t="shared" si="17"/>
        <v>3.14794520547945</v>
      </c>
      <c r="C1152" s="8">
        <f>'1_Inputs'!$H$7</f>
        <v>0.0305712824819807</v>
      </c>
      <c r="D1152" s="6">
        <f>D1151*EXP(-'1_Inputs'!$H$7*(1/365))</f>
        <v>0.93696016215543</v>
      </c>
    </row>
    <row r="1153" spans="1:4">
      <c r="A1153" s="10">
        <v>1150</v>
      </c>
      <c r="B1153" s="12">
        <f t="shared" si="17"/>
        <v>3.15068493150685</v>
      </c>
      <c r="C1153" s="14">
        <f>'1_Inputs'!$H$7</f>
        <v>0.0305712824819807</v>
      </c>
      <c r="D1153" s="12">
        <f>D1152*EXP(-'1_Inputs'!$H$7*(1/365))</f>
        <v>0.936881688527333</v>
      </c>
    </row>
    <row r="1154" spans="1:4">
      <c r="A1154" s="4">
        <v>1151</v>
      </c>
      <c r="B1154" s="6">
        <f t="shared" si="17"/>
        <v>3.15342465753425</v>
      </c>
      <c r="C1154" s="8">
        <f>'1_Inputs'!$H$7</f>
        <v>0.0305712824819807</v>
      </c>
      <c r="D1154" s="6">
        <f>D1153*EXP(-'1_Inputs'!$H$7*(1/365))</f>
        <v>0.936803221471673</v>
      </c>
    </row>
    <row r="1155" spans="1:4">
      <c r="A1155" s="10">
        <v>1152</v>
      </c>
      <c r="B1155" s="12">
        <f t="shared" ref="B1155:B1218" si="18">A1155/365</f>
        <v>3.15616438356164</v>
      </c>
      <c r="C1155" s="14">
        <f>'1_Inputs'!$H$7</f>
        <v>0.0305712824819807</v>
      </c>
      <c r="D1155" s="12">
        <f>D1154*EXP(-'1_Inputs'!$H$7*(1/365))</f>
        <v>0.936724760987897</v>
      </c>
    </row>
    <row r="1156" spans="1:4">
      <c r="A1156" s="4">
        <v>1153</v>
      </c>
      <c r="B1156" s="6">
        <f t="shared" si="18"/>
        <v>3.15890410958904</v>
      </c>
      <c r="C1156" s="8">
        <f>'1_Inputs'!$H$7</f>
        <v>0.0305712824819807</v>
      </c>
      <c r="D1156" s="6">
        <f>D1155*EXP(-'1_Inputs'!$H$7*(1/365))</f>
        <v>0.936646307075456</v>
      </c>
    </row>
    <row r="1157" spans="1:4">
      <c r="A1157" s="10">
        <v>1154</v>
      </c>
      <c r="B1157" s="12">
        <f t="shared" si="18"/>
        <v>3.16164383561644</v>
      </c>
      <c r="C1157" s="14">
        <f>'1_Inputs'!$H$7</f>
        <v>0.0305712824819807</v>
      </c>
      <c r="D1157" s="12">
        <f>D1156*EXP(-'1_Inputs'!$H$7*(1/365))</f>
        <v>0.9365678597338</v>
      </c>
    </row>
    <row r="1158" spans="1:4">
      <c r="A1158" s="4">
        <v>1155</v>
      </c>
      <c r="B1158" s="6">
        <f t="shared" si="18"/>
        <v>3.16438356164384</v>
      </c>
      <c r="C1158" s="8">
        <f>'1_Inputs'!$H$7</f>
        <v>0.0305712824819807</v>
      </c>
      <c r="D1158" s="6">
        <f>D1157*EXP(-'1_Inputs'!$H$7*(1/365))</f>
        <v>0.936489418962377</v>
      </c>
    </row>
    <row r="1159" spans="1:4">
      <c r="A1159" s="10">
        <v>1156</v>
      </c>
      <c r="B1159" s="12">
        <f t="shared" si="18"/>
        <v>3.16712328767123</v>
      </c>
      <c r="C1159" s="14">
        <f>'1_Inputs'!$H$7</f>
        <v>0.0305712824819807</v>
      </c>
      <c r="D1159" s="12">
        <f>D1158*EXP(-'1_Inputs'!$H$7*(1/365))</f>
        <v>0.936410984760638</v>
      </c>
    </row>
    <row r="1160" spans="1:4">
      <c r="A1160" s="4">
        <v>1157</v>
      </c>
      <c r="B1160" s="6">
        <f t="shared" si="18"/>
        <v>3.16986301369863</v>
      </c>
      <c r="C1160" s="8">
        <f>'1_Inputs'!$H$7</f>
        <v>0.0305712824819807</v>
      </c>
      <c r="D1160" s="6">
        <f>D1159*EXP(-'1_Inputs'!$H$7*(1/365))</f>
        <v>0.936332557128033</v>
      </c>
    </row>
    <row r="1161" spans="1:4">
      <c r="A1161" s="10">
        <v>1158</v>
      </c>
      <c r="B1161" s="12">
        <f t="shared" si="18"/>
        <v>3.17260273972603</v>
      </c>
      <c r="C1161" s="14">
        <f>'1_Inputs'!$H$7</f>
        <v>0.0305712824819807</v>
      </c>
      <c r="D1161" s="12">
        <f>D1160*EXP(-'1_Inputs'!$H$7*(1/365))</f>
        <v>0.936254136064011</v>
      </c>
    </row>
    <row r="1162" spans="1:4">
      <c r="A1162" s="4">
        <v>1159</v>
      </c>
      <c r="B1162" s="6">
        <f t="shared" si="18"/>
        <v>3.17534246575342</v>
      </c>
      <c r="C1162" s="8">
        <f>'1_Inputs'!$H$7</f>
        <v>0.0305712824819807</v>
      </c>
      <c r="D1162" s="6">
        <f>D1161*EXP(-'1_Inputs'!$H$7*(1/365))</f>
        <v>0.936175721568022</v>
      </c>
    </row>
    <row r="1163" spans="1:4">
      <c r="A1163" s="10">
        <v>1160</v>
      </c>
      <c r="B1163" s="12">
        <f t="shared" si="18"/>
        <v>3.17808219178082</v>
      </c>
      <c r="C1163" s="14">
        <f>'1_Inputs'!$H$7</f>
        <v>0.0305712824819807</v>
      </c>
      <c r="D1163" s="12">
        <f>D1162*EXP(-'1_Inputs'!$H$7*(1/365))</f>
        <v>0.936097313639516</v>
      </c>
    </row>
    <row r="1164" spans="1:4">
      <c r="A1164" s="4">
        <v>1161</v>
      </c>
      <c r="B1164" s="6">
        <f t="shared" si="18"/>
        <v>3.18082191780822</v>
      </c>
      <c r="C1164" s="8">
        <f>'1_Inputs'!$H$7</f>
        <v>0.0305712824819807</v>
      </c>
      <c r="D1164" s="6">
        <f>D1163*EXP(-'1_Inputs'!$H$7*(1/365))</f>
        <v>0.936018912277943</v>
      </c>
    </row>
    <row r="1165" spans="1:4">
      <c r="A1165" s="10">
        <v>1162</v>
      </c>
      <c r="B1165" s="12">
        <f t="shared" si="18"/>
        <v>3.18356164383562</v>
      </c>
      <c r="C1165" s="14">
        <f>'1_Inputs'!$H$7</f>
        <v>0.0305712824819807</v>
      </c>
      <c r="D1165" s="12">
        <f>D1164*EXP(-'1_Inputs'!$H$7*(1/365))</f>
        <v>0.935940517482754</v>
      </c>
    </row>
    <row r="1166" spans="1:4">
      <c r="A1166" s="4">
        <v>1163</v>
      </c>
      <c r="B1166" s="6">
        <f t="shared" si="18"/>
        <v>3.18630136986301</v>
      </c>
      <c r="C1166" s="8">
        <f>'1_Inputs'!$H$7</f>
        <v>0.0305712824819807</v>
      </c>
      <c r="D1166" s="6">
        <f>D1165*EXP(-'1_Inputs'!$H$7*(1/365))</f>
        <v>0.935862129253397</v>
      </c>
    </row>
    <row r="1167" spans="1:4">
      <c r="A1167" s="10">
        <v>1164</v>
      </c>
      <c r="B1167" s="12">
        <f t="shared" si="18"/>
        <v>3.18904109589041</v>
      </c>
      <c r="C1167" s="14">
        <f>'1_Inputs'!$H$7</f>
        <v>0.0305712824819807</v>
      </c>
      <c r="D1167" s="12">
        <f>D1166*EXP(-'1_Inputs'!$H$7*(1/365))</f>
        <v>0.935783747589323</v>
      </c>
    </row>
    <row r="1168" spans="1:4">
      <c r="A1168" s="4">
        <v>1165</v>
      </c>
      <c r="B1168" s="6">
        <f t="shared" si="18"/>
        <v>3.19178082191781</v>
      </c>
      <c r="C1168" s="8">
        <f>'1_Inputs'!$H$7</f>
        <v>0.0305712824819807</v>
      </c>
      <c r="D1168" s="6">
        <f>D1167*EXP(-'1_Inputs'!$H$7*(1/365))</f>
        <v>0.935705372489983</v>
      </c>
    </row>
    <row r="1169" spans="1:4">
      <c r="A1169" s="10">
        <v>1166</v>
      </c>
      <c r="B1169" s="12">
        <f t="shared" si="18"/>
        <v>3.19452054794521</v>
      </c>
      <c r="C1169" s="14">
        <f>'1_Inputs'!$H$7</f>
        <v>0.0305712824819807</v>
      </c>
      <c r="D1169" s="12">
        <f>D1168*EXP(-'1_Inputs'!$H$7*(1/365))</f>
        <v>0.935627003954826</v>
      </c>
    </row>
    <row r="1170" spans="1:4">
      <c r="A1170" s="4">
        <v>1167</v>
      </c>
      <c r="B1170" s="6">
        <f t="shared" si="18"/>
        <v>3.1972602739726</v>
      </c>
      <c r="C1170" s="8">
        <f>'1_Inputs'!$H$7</f>
        <v>0.0305712824819807</v>
      </c>
      <c r="D1170" s="6">
        <f>D1169*EXP(-'1_Inputs'!$H$7*(1/365))</f>
        <v>0.935548641983303</v>
      </c>
    </row>
    <row r="1171" spans="1:4">
      <c r="A1171" s="10">
        <v>1168</v>
      </c>
      <c r="B1171" s="12">
        <f t="shared" si="18"/>
        <v>3.2</v>
      </c>
      <c r="C1171" s="14">
        <f>'1_Inputs'!$H$7</f>
        <v>0.0305712824819807</v>
      </c>
      <c r="D1171" s="12">
        <f>D1170*EXP(-'1_Inputs'!$H$7*(1/365))</f>
        <v>0.935470286574863</v>
      </c>
    </row>
    <row r="1172" spans="1:4">
      <c r="A1172" s="4">
        <v>1169</v>
      </c>
      <c r="B1172" s="6">
        <f t="shared" si="18"/>
        <v>3.2027397260274</v>
      </c>
      <c r="C1172" s="8">
        <f>'1_Inputs'!$H$7</f>
        <v>0.0305712824819807</v>
      </c>
      <c r="D1172" s="6">
        <f>D1171*EXP(-'1_Inputs'!$H$7*(1/365))</f>
        <v>0.935391937728958</v>
      </c>
    </row>
    <row r="1173" spans="1:4">
      <c r="A1173" s="10">
        <v>1170</v>
      </c>
      <c r="B1173" s="12">
        <f t="shared" si="18"/>
        <v>3.20547945205479</v>
      </c>
      <c r="C1173" s="14">
        <f>'1_Inputs'!$H$7</f>
        <v>0.0305712824819807</v>
      </c>
      <c r="D1173" s="12">
        <f>D1172*EXP(-'1_Inputs'!$H$7*(1/365))</f>
        <v>0.935313595445038</v>
      </c>
    </row>
    <row r="1174" spans="1:4">
      <c r="A1174" s="4">
        <v>1171</v>
      </c>
      <c r="B1174" s="6">
        <f t="shared" si="18"/>
        <v>3.20821917808219</v>
      </c>
      <c r="C1174" s="8">
        <f>'1_Inputs'!$H$7</f>
        <v>0.0305712824819807</v>
      </c>
      <c r="D1174" s="6">
        <f>D1173*EXP(-'1_Inputs'!$H$7*(1/365))</f>
        <v>0.935235259722553</v>
      </c>
    </row>
    <row r="1175" spans="1:4">
      <c r="A1175" s="10">
        <v>1172</v>
      </c>
      <c r="B1175" s="12">
        <f t="shared" si="18"/>
        <v>3.21095890410959</v>
      </c>
      <c r="C1175" s="14">
        <f>'1_Inputs'!$H$7</f>
        <v>0.0305712824819807</v>
      </c>
      <c r="D1175" s="12">
        <f>D1174*EXP(-'1_Inputs'!$H$7*(1/365))</f>
        <v>0.935156930560953</v>
      </c>
    </row>
    <row r="1176" spans="1:4">
      <c r="A1176" s="4">
        <v>1173</v>
      </c>
      <c r="B1176" s="6">
        <f t="shared" si="18"/>
        <v>3.21369863013699</v>
      </c>
      <c r="C1176" s="8">
        <f>'1_Inputs'!$H$7</f>
        <v>0.0305712824819807</v>
      </c>
      <c r="D1176" s="6">
        <f>D1175*EXP(-'1_Inputs'!$H$7*(1/365))</f>
        <v>0.935078607959689</v>
      </c>
    </row>
    <row r="1177" spans="1:4">
      <c r="A1177" s="10">
        <v>1174</v>
      </c>
      <c r="B1177" s="12">
        <f t="shared" si="18"/>
        <v>3.21643835616438</v>
      </c>
      <c r="C1177" s="14">
        <f>'1_Inputs'!$H$7</f>
        <v>0.0305712824819807</v>
      </c>
      <c r="D1177" s="12">
        <f>D1176*EXP(-'1_Inputs'!$H$7*(1/365))</f>
        <v>0.935000291918212</v>
      </c>
    </row>
    <row r="1178" spans="1:4">
      <c r="A1178" s="4">
        <v>1175</v>
      </c>
      <c r="B1178" s="6">
        <f t="shared" si="18"/>
        <v>3.21917808219178</v>
      </c>
      <c r="C1178" s="8">
        <f>'1_Inputs'!$H$7</f>
        <v>0.0305712824819807</v>
      </c>
      <c r="D1178" s="6">
        <f>D1177*EXP(-'1_Inputs'!$H$7*(1/365))</f>
        <v>0.934921982435972</v>
      </c>
    </row>
    <row r="1179" spans="1:4">
      <c r="A1179" s="10">
        <v>1176</v>
      </c>
      <c r="B1179" s="12">
        <f t="shared" si="18"/>
        <v>3.22191780821918</v>
      </c>
      <c r="C1179" s="14">
        <f>'1_Inputs'!$H$7</f>
        <v>0.0305712824819807</v>
      </c>
      <c r="D1179" s="12">
        <f>D1178*EXP(-'1_Inputs'!$H$7*(1/365))</f>
        <v>0.93484367951242</v>
      </c>
    </row>
    <row r="1180" spans="1:4">
      <c r="A1180" s="4">
        <v>1177</v>
      </c>
      <c r="B1180" s="6">
        <f t="shared" si="18"/>
        <v>3.22465753424658</v>
      </c>
      <c r="C1180" s="8">
        <f>'1_Inputs'!$H$7</f>
        <v>0.0305712824819807</v>
      </c>
      <c r="D1180" s="6">
        <f>D1179*EXP(-'1_Inputs'!$H$7*(1/365))</f>
        <v>0.934765383147006</v>
      </c>
    </row>
    <row r="1181" spans="1:4">
      <c r="A1181" s="10">
        <v>1178</v>
      </c>
      <c r="B1181" s="12">
        <f t="shared" si="18"/>
        <v>3.22739726027397</v>
      </c>
      <c r="C1181" s="14">
        <f>'1_Inputs'!$H$7</f>
        <v>0.0305712824819807</v>
      </c>
      <c r="D1181" s="12">
        <f>D1180*EXP(-'1_Inputs'!$H$7*(1/365))</f>
        <v>0.934687093339182</v>
      </c>
    </row>
    <row r="1182" spans="1:4">
      <c r="A1182" s="4">
        <v>1179</v>
      </c>
      <c r="B1182" s="6">
        <f t="shared" si="18"/>
        <v>3.23013698630137</v>
      </c>
      <c r="C1182" s="8">
        <f>'1_Inputs'!$H$7</f>
        <v>0.0305712824819807</v>
      </c>
      <c r="D1182" s="6">
        <f>D1181*EXP(-'1_Inputs'!$H$7*(1/365))</f>
        <v>0.934608810088397</v>
      </c>
    </row>
    <row r="1183" spans="1:4">
      <c r="A1183" s="10">
        <v>1180</v>
      </c>
      <c r="B1183" s="12">
        <f t="shared" si="18"/>
        <v>3.23287671232877</v>
      </c>
      <c r="C1183" s="14">
        <f>'1_Inputs'!$H$7</f>
        <v>0.0305712824819807</v>
      </c>
      <c r="D1183" s="12">
        <f>D1182*EXP(-'1_Inputs'!$H$7*(1/365))</f>
        <v>0.934530533394104</v>
      </c>
    </row>
    <row r="1184" spans="1:4">
      <c r="A1184" s="4">
        <v>1181</v>
      </c>
      <c r="B1184" s="6">
        <f t="shared" si="18"/>
        <v>3.23561643835616</v>
      </c>
      <c r="C1184" s="8">
        <f>'1_Inputs'!$H$7</f>
        <v>0.0305712824819807</v>
      </c>
      <c r="D1184" s="6">
        <f>D1183*EXP(-'1_Inputs'!$H$7*(1/365))</f>
        <v>0.934452263255752</v>
      </c>
    </row>
    <row r="1185" spans="1:5">
      <c r="A1185" s="10">
        <v>1182</v>
      </c>
      <c r="B1185" s="12">
        <f t="shared" si="18"/>
        <v>3.23835616438356</v>
      </c>
      <c r="C1185" s="14">
        <f>'1_Inputs'!$H$7</f>
        <v>0.0305712824819807</v>
      </c>
      <c r="D1185" s="12">
        <f>D1184*EXP(-'1_Inputs'!$H$7*(1/365))</f>
        <v>0.934373999672792</v>
      </c>
    </row>
    <row r="1186" spans="1:5">
      <c r="A1186" s="4">
        <v>1183</v>
      </c>
      <c r="B1186" s="6">
        <f t="shared" si="18"/>
        <v>3.24109589041096</v>
      </c>
      <c r="C1186" s="8">
        <f>'1_Inputs'!$H$7</f>
        <v>0.0305712824819807</v>
      </c>
      <c r="D1186" s="6">
        <f>D1185*EXP(-'1_Inputs'!$H$7*(1/365))</f>
        <v>0.934295742644676</v>
      </c>
    </row>
    <row r="1187" spans="1:5">
      <c r="A1187" s="10">
        <v>1184</v>
      </c>
      <c r="B1187" s="12">
        <f t="shared" si="18"/>
        <v>3.24383561643836</v>
      </c>
      <c r="C1187" s="14">
        <f>'1_Inputs'!$H$7</f>
        <v>0.0305712824819807</v>
      </c>
      <c r="D1187" s="12">
        <f>D1186*EXP(-'1_Inputs'!$H$7*(1/365))</f>
        <v>0.934217492170855</v>
      </c>
    </row>
    <row r="1188" spans="1:5">
      <c r="A1188" s="4">
        <v>1185</v>
      </c>
      <c r="B1188" s="6">
        <f t="shared" si="18"/>
        <v>3.24657534246575</v>
      </c>
      <c r="C1188" s="8">
        <f>'1_Inputs'!$H$7</f>
        <v>0.0305712824819807</v>
      </c>
      <c r="D1188" s="6">
        <f>D1187*EXP(-'1_Inputs'!$H$7*(1/365))</f>
        <v>0.93413924825078</v>
      </c>
    </row>
    <row r="1189" spans="1:5">
      <c r="A1189" s="10">
        <v>1186</v>
      </c>
      <c r="B1189" s="12">
        <f t="shared" si="18"/>
        <v>3.24931506849315</v>
      </c>
      <c r="C1189" s="14">
        <f>'1_Inputs'!$H$7</f>
        <v>0.0305712824819807</v>
      </c>
      <c r="D1189" s="12">
        <f>D1188*EXP(-'1_Inputs'!$H$7*(1/365))</f>
        <v>0.934061010883901</v>
      </c>
      <c r="E1189" s="43" t="s">
        <v>59</v>
      </c>
    </row>
    <row r="1190" spans="1:5">
      <c r="A1190" s="4">
        <v>1187</v>
      </c>
      <c r="B1190" s="6">
        <f t="shared" si="18"/>
        <v>3.25205479452055</v>
      </c>
      <c r="C1190" s="8">
        <f>'1_Inputs'!$H$7</f>
        <v>0.0305712824819807</v>
      </c>
      <c r="D1190" s="6">
        <f>D1189*EXP(-'1_Inputs'!$H$7*(1/365))</f>
        <v>0.93398278006967</v>
      </c>
    </row>
    <row r="1191" spans="1:5">
      <c r="A1191" s="10">
        <v>1188</v>
      </c>
      <c r="B1191" s="12">
        <f t="shared" si="18"/>
        <v>3.25479452054794</v>
      </c>
      <c r="C1191" s="14">
        <f>'1_Inputs'!$H$7</f>
        <v>0.0305712824819807</v>
      </c>
      <c r="D1191" s="12">
        <f>D1190*EXP(-'1_Inputs'!$H$7*(1/365))</f>
        <v>0.933904555807538</v>
      </c>
    </row>
    <row r="1192" spans="1:5">
      <c r="A1192" s="4">
        <v>1189</v>
      </c>
      <c r="B1192" s="6">
        <f t="shared" si="18"/>
        <v>3.25753424657534</v>
      </c>
      <c r="C1192" s="8">
        <f>'1_Inputs'!$H$7</f>
        <v>0.0305712824819807</v>
      </c>
      <c r="D1192" s="6">
        <f>D1191*EXP(-'1_Inputs'!$H$7*(1/365))</f>
        <v>0.933826338096957</v>
      </c>
    </row>
    <row r="1193" spans="1:5">
      <c r="A1193" s="10">
        <v>1190</v>
      </c>
      <c r="B1193" s="12">
        <f t="shared" si="18"/>
        <v>3.26027397260274</v>
      </c>
      <c r="C1193" s="14">
        <f>'1_Inputs'!$H$7</f>
        <v>0.0305712824819807</v>
      </c>
      <c r="D1193" s="12">
        <f>D1192*EXP(-'1_Inputs'!$H$7*(1/365))</f>
        <v>0.933748126937377</v>
      </c>
    </row>
    <row r="1194" spans="1:5">
      <c r="A1194" s="4">
        <v>1191</v>
      </c>
      <c r="B1194" s="6">
        <f t="shared" si="18"/>
        <v>3.26301369863014</v>
      </c>
      <c r="C1194" s="8">
        <f>'1_Inputs'!$H$7</f>
        <v>0.0305712824819807</v>
      </c>
      <c r="D1194" s="6">
        <f>D1193*EXP(-'1_Inputs'!$H$7*(1/365))</f>
        <v>0.93366992232825</v>
      </c>
    </row>
    <row r="1195" spans="1:5">
      <c r="A1195" s="10">
        <v>1192</v>
      </c>
      <c r="B1195" s="12">
        <f t="shared" si="18"/>
        <v>3.26575342465753</v>
      </c>
      <c r="C1195" s="14">
        <f>'1_Inputs'!$H$7</f>
        <v>0.0305712824819807</v>
      </c>
      <c r="D1195" s="12">
        <f>D1194*EXP(-'1_Inputs'!$H$7*(1/365))</f>
        <v>0.933591724269027</v>
      </c>
    </row>
    <row r="1196" spans="1:5">
      <c r="A1196" s="4">
        <v>1193</v>
      </c>
      <c r="B1196" s="6">
        <f t="shared" si="18"/>
        <v>3.26849315068493</v>
      </c>
      <c r="C1196" s="8">
        <f>'1_Inputs'!$H$7</f>
        <v>0.0305712824819807</v>
      </c>
      <c r="D1196" s="6">
        <f>D1195*EXP(-'1_Inputs'!$H$7*(1/365))</f>
        <v>0.93351353275916</v>
      </c>
    </row>
    <row r="1197" spans="1:5">
      <c r="A1197" s="10">
        <v>1194</v>
      </c>
      <c r="B1197" s="12">
        <f t="shared" si="18"/>
        <v>3.27123287671233</v>
      </c>
      <c r="C1197" s="14">
        <f>'1_Inputs'!$H$7</f>
        <v>0.0305712824819807</v>
      </c>
      <c r="D1197" s="12">
        <f>D1196*EXP(-'1_Inputs'!$H$7*(1/365))</f>
        <v>0.933435347798101</v>
      </c>
    </row>
    <row r="1198" spans="1:5">
      <c r="A1198" s="4">
        <v>1195</v>
      </c>
      <c r="B1198" s="6">
        <f t="shared" si="18"/>
        <v>3.27397260273973</v>
      </c>
      <c r="C1198" s="8">
        <f>'1_Inputs'!$H$7</f>
        <v>0.0305712824819807</v>
      </c>
      <c r="D1198" s="6">
        <f>D1197*EXP(-'1_Inputs'!$H$7*(1/365))</f>
        <v>0.9333571693853</v>
      </c>
    </row>
    <row r="1199" spans="1:5">
      <c r="A1199" s="10">
        <v>1196</v>
      </c>
      <c r="B1199" s="12">
        <f t="shared" si="18"/>
        <v>3.27671232876712</v>
      </c>
      <c r="C1199" s="14">
        <f>'1_Inputs'!$H$7</f>
        <v>0.0305712824819807</v>
      </c>
      <c r="D1199" s="12">
        <f>D1198*EXP(-'1_Inputs'!$H$7*(1/365))</f>
        <v>0.933278997520209</v>
      </c>
    </row>
    <row r="1200" spans="1:5">
      <c r="A1200" s="4">
        <v>1197</v>
      </c>
      <c r="B1200" s="6">
        <f t="shared" si="18"/>
        <v>3.27945205479452</v>
      </c>
      <c r="C1200" s="8">
        <f>'1_Inputs'!$H$7</f>
        <v>0.0305712824819807</v>
      </c>
      <c r="D1200" s="6">
        <f>D1199*EXP(-'1_Inputs'!$H$7*(1/365))</f>
        <v>0.93320083220228</v>
      </c>
    </row>
    <row r="1201" spans="1:4">
      <c r="A1201" s="10">
        <v>1198</v>
      </c>
      <c r="B1201" s="12">
        <f t="shared" si="18"/>
        <v>3.28219178082192</v>
      </c>
      <c r="C1201" s="14">
        <f>'1_Inputs'!$H$7</f>
        <v>0.0305712824819807</v>
      </c>
      <c r="D1201" s="12">
        <f>D1200*EXP(-'1_Inputs'!$H$7*(1/365))</f>
        <v>0.933122673430965</v>
      </c>
    </row>
    <row r="1202" spans="1:4">
      <c r="A1202" s="4">
        <v>1199</v>
      </c>
      <c r="B1202" s="6">
        <f t="shared" si="18"/>
        <v>3.28493150684932</v>
      </c>
      <c r="C1202" s="8">
        <f>'1_Inputs'!$H$7</f>
        <v>0.0305712824819807</v>
      </c>
      <c r="D1202" s="6">
        <f>D1201*EXP(-'1_Inputs'!$H$7*(1/365))</f>
        <v>0.933044521205715</v>
      </c>
    </row>
    <row r="1203" spans="1:4">
      <c r="A1203" s="10">
        <v>1200</v>
      </c>
      <c r="B1203" s="12">
        <f t="shared" si="18"/>
        <v>3.28767123287671</v>
      </c>
      <c r="C1203" s="14">
        <f>'1_Inputs'!$H$7</f>
        <v>0.0305712824819807</v>
      </c>
      <c r="D1203" s="12">
        <f>D1202*EXP(-'1_Inputs'!$H$7*(1/365))</f>
        <v>0.932966375525982</v>
      </c>
    </row>
    <row r="1204" spans="1:4">
      <c r="A1204" s="4">
        <v>1201</v>
      </c>
      <c r="B1204" s="6">
        <f t="shared" si="18"/>
        <v>3.29041095890411</v>
      </c>
      <c r="C1204" s="8">
        <f>'1_Inputs'!$H$7</f>
        <v>0.0305712824819807</v>
      </c>
      <c r="D1204" s="6">
        <f>D1203*EXP(-'1_Inputs'!$H$7*(1/365))</f>
        <v>0.932888236391218</v>
      </c>
    </row>
    <row r="1205" spans="1:4">
      <c r="A1205" s="10">
        <v>1202</v>
      </c>
      <c r="B1205" s="12">
        <f t="shared" si="18"/>
        <v>3.29315068493151</v>
      </c>
      <c r="C1205" s="14">
        <f>'1_Inputs'!$H$7</f>
        <v>0.0305712824819807</v>
      </c>
      <c r="D1205" s="12">
        <f>D1204*EXP(-'1_Inputs'!$H$7*(1/365))</f>
        <v>0.932810103800874</v>
      </c>
    </row>
    <row r="1206" spans="1:4">
      <c r="A1206" s="4">
        <v>1203</v>
      </c>
      <c r="B1206" s="6">
        <f t="shared" si="18"/>
        <v>3.2958904109589</v>
      </c>
      <c r="C1206" s="8">
        <f>'1_Inputs'!$H$7</f>
        <v>0.0305712824819807</v>
      </c>
      <c r="D1206" s="6">
        <f>D1205*EXP(-'1_Inputs'!$H$7*(1/365))</f>
        <v>0.932731977754403</v>
      </c>
    </row>
    <row r="1207" spans="1:4">
      <c r="A1207" s="10">
        <v>1204</v>
      </c>
      <c r="B1207" s="12">
        <f t="shared" si="18"/>
        <v>3.2986301369863</v>
      </c>
      <c r="C1207" s="14">
        <f>'1_Inputs'!$H$7</f>
        <v>0.0305712824819807</v>
      </c>
      <c r="D1207" s="12">
        <f>D1206*EXP(-'1_Inputs'!$H$7*(1/365))</f>
        <v>0.932653858251256</v>
      </c>
    </row>
    <row r="1208" spans="1:4">
      <c r="A1208" s="4">
        <v>1205</v>
      </c>
      <c r="B1208" s="6">
        <f t="shared" si="18"/>
        <v>3.3013698630137</v>
      </c>
      <c r="C1208" s="8">
        <f>'1_Inputs'!$H$7</f>
        <v>0.0305712824819807</v>
      </c>
      <c r="D1208" s="6">
        <f>D1207*EXP(-'1_Inputs'!$H$7*(1/365))</f>
        <v>0.932575745290886</v>
      </c>
    </row>
    <row r="1209" spans="1:4">
      <c r="A1209" s="10">
        <v>1206</v>
      </c>
      <c r="B1209" s="12">
        <f t="shared" si="18"/>
        <v>3.3041095890411</v>
      </c>
      <c r="C1209" s="14">
        <f>'1_Inputs'!$H$7</f>
        <v>0.0305712824819807</v>
      </c>
      <c r="D1209" s="12">
        <f>D1208*EXP(-'1_Inputs'!$H$7*(1/365))</f>
        <v>0.932497638872744</v>
      </c>
    </row>
    <row r="1210" spans="1:4">
      <c r="A1210" s="4">
        <v>1207</v>
      </c>
      <c r="B1210" s="6">
        <f t="shared" si="18"/>
        <v>3.30684931506849</v>
      </c>
      <c r="C1210" s="8">
        <f>'1_Inputs'!$H$7</f>
        <v>0.0305712824819807</v>
      </c>
      <c r="D1210" s="6">
        <f>D1209*EXP(-'1_Inputs'!$H$7*(1/365))</f>
        <v>0.932419538996283</v>
      </c>
    </row>
    <row r="1211" spans="1:4">
      <c r="A1211" s="10">
        <v>1208</v>
      </c>
      <c r="B1211" s="12">
        <f t="shared" si="18"/>
        <v>3.30958904109589</v>
      </c>
      <c r="C1211" s="14">
        <f>'1_Inputs'!$H$7</f>
        <v>0.0305712824819807</v>
      </c>
      <c r="D1211" s="12">
        <f>D1210*EXP(-'1_Inputs'!$H$7*(1/365))</f>
        <v>0.932341445660954</v>
      </c>
    </row>
    <row r="1212" spans="1:4">
      <c r="A1212" s="4">
        <v>1209</v>
      </c>
      <c r="B1212" s="6">
        <f t="shared" si="18"/>
        <v>3.31232876712329</v>
      </c>
      <c r="C1212" s="8">
        <f>'1_Inputs'!$H$7</f>
        <v>0.0305712824819807</v>
      </c>
      <c r="D1212" s="6">
        <f>D1211*EXP(-'1_Inputs'!$H$7*(1/365))</f>
        <v>0.93226335886621</v>
      </c>
    </row>
    <row r="1213" spans="1:4">
      <c r="A1213" s="10">
        <v>1210</v>
      </c>
      <c r="B1213" s="12">
        <f t="shared" si="18"/>
        <v>3.31506849315068</v>
      </c>
      <c r="C1213" s="14">
        <f>'1_Inputs'!$H$7</f>
        <v>0.0305712824819807</v>
      </c>
      <c r="D1213" s="12">
        <f>D1212*EXP(-'1_Inputs'!$H$7*(1/365))</f>
        <v>0.932185278611503</v>
      </c>
    </row>
    <row r="1214" spans="1:4">
      <c r="A1214" s="4">
        <v>1211</v>
      </c>
      <c r="B1214" s="6">
        <f t="shared" si="18"/>
        <v>3.31780821917808</v>
      </c>
      <c r="C1214" s="8">
        <f>'1_Inputs'!$H$7</f>
        <v>0.0305712824819807</v>
      </c>
      <c r="D1214" s="6">
        <f>D1213*EXP(-'1_Inputs'!$H$7*(1/365))</f>
        <v>0.932107204896285</v>
      </c>
    </row>
    <row r="1215" spans="1:4">
      <c r="A1215" s="10">
        <v>1212</v>
      </c>
      <c r="B1215" s="12">
        <f t="shared" si="18"/>
        <v>3.32054794520548</v>
      </c>
      <c r="C1215" s="14">
        <f>'1_Inputs'!$H$7</f>
        <v>0.0305712824819807</v>
      </c>
      <c r="D1215" s="12">
        <f>D1214*EXP(-'1_Inputs'!$H$7*(1/365))</f>
        <v>0.932029137720009</v>
      </c>
    </row>
    <row r="1216" spans="1:4">
      <c r="A1216" s="4">
        <v>1213</v>
      </c>
      <c r="B1216" s="6">
        <f t="shared" si="18"/>
        <v>3.32328767123288</v>
      </c>
      <c r="C1216" s="8">
        <f>'1_Inputs'!$H$7</f>
        <v>0.0305712824819807</v>
      </c>
      <c r="D1216" s="6">
        <f>D1215*EXP(-'1_Inputs'!$H$7*(1/365))</f>
        <v>0.931951077082126</v>
      </c>
    </row>
    <row r="1217" spans="1:4">
      <c r="A1217" s="10">
        <v>1214</v>
      </c>
      <c r="B1217" s="12">
        <f t="shared" si="18"/>
        <v>3.32602739726027</v>
      </c>
      <c r="C1217" s="14">
        <f>'1_Inputs'!$H$7</f>
        <v>0.0305712824819807</v>
      </c>
      <c r="D1217" s="12">
        <f>D1216*EXP(-'1_Inputs'!$H$7*(1/365))</f>
        <v>0.93187302298209</v>
      </c>
    </row>
    <row r="1218" spans="1:4">
      <c r="A1218" s="4">
        <v>1215</v>
      </c>
      <c r="B1218" s="6">
        <f t="shared" si="18"/>
        <v>3.32876712328767</v>
      </c>
      <c r="C1218" s="8">
        <f>'1_Inputs'!$H$7</f>
        <v>0.0305712824819807</v>
      </c>
      <c r="D1218" s="6">
        <f>D1217*EXP(-'1_Inputs'!$H$7*(1/365))</f>
        <v>0.931794975419353</v>
      </c>
    </row>
    <row r="1219" spans="1:4">
      <c r="A1219" s="10">
        <v>1216</v>
      </c>
      <c r="B1219" s="12">
        <f t="shared" ref="B1219:B1282" si="19">A1219/365</f>
        <v>3.33150684931507</v>
      </c>
      <c r="C1219" s="14">
        <f>'1_Inputs'!$H$7</f>
        <v>0.0305712824819807</v>
      </c>
      <c r="D1219" s="12">
        <f>D1218*EXP(-'1_Inputs'!$H$7*(1/365))</f>
        <v>0.931716934393366</v>
      </c>
    </row>
    <row r="1220" spans="1:4">
      <c r="A1220" s="4">
        <v>1217</v>
      </c>
      <c r="B1220" s="6">
        <f t="shared" si="19"/>
        <v>3.33424657534247</v>
      </c>
      <c r="C1220" s="8">
        <f>'1_Inputs'!$H$7</f>
        <v>0.0305712824819807</v>
      </c>
      <c r="D1220" s="6">
        <f>D1219*EXP(-'1_Inputs'!$H$7*(1/365))</f>
        <v>0.931638899903583</v>
      </c>
    </row>
    <row r="1221" spans="1:4">
      <c r="A1221" s="10">
        <v>1218</v>
      </c>
      <c r="B1221" s="12">
        <f t="shared" si="19"/>
        <v>3.33698630136986</v>
      </c>
      <c r="C1221" s="14">
        <f>'1_Inputs'!$H$7</f>
        <v>0.0305712824819807</v>
      </c>
      <c r="D1221" s="12">
        <f>D1220*EXP(-'1_Inputs'!$H$7*(1/365))</f>
        <v>0.931560871949457</v>
      </c>
    </row>
    <row r="1222" spans="1:4">
      <c r="A1222" s="4">
        <v>1219</v>
      </c>
      <c r="B1222" s="6">
        <f t="shared" si="19"/>
        <v>3.33972602739726</v>
      </c>
      <c r="C1222" s="8">
        <f>'1_Inputs'!$H$7</f>
        <v>0.0305712824819807</v>
      </c>
      <c r="D1222" s="6">
        <f>D1221*EXP(-'1_Inputs'!$H$7*(1/365))</f>
        <v>0.931482850530439</v>
      </c>
    </row>
    <row r="1223" spans="1:4">
      <c r="A1223" s="10">
        <v>1220</v>
      </c>
      <c r="B1223" s="12">
        <f t="shared" si="19"/>
        <v>3.34246575342466</v>
      </c>
      <c r="C1223" s="14">
        <f>'1_Inputs'!$H$7</f>
        <v>0.0305712824819807</v>
      </c>
      <c r="D1223" s="12">
        <f>D1222*EXP(-'1_Inputs'!$H$7*(1/365))</f>
        <v>0.931404835645983</v>
      </c>
    </row>
    <row r="1224" spans="1:4">
      <c r="A1224" s="4">
        <v>1221</v>
      </c>
      <c r="B1224" s="6">
        <f t="shared" si="19"/>
        <v>3.34520547945205</v>
      </c>
      <c r="C1224" s="8">
        <f>'1_Inputs'!$H$7</f>
        <v>0.0305712824819807</v>
      </c>
      <c r="D1224" s="6">
        <f>D1223*EXP(-'1_Inputs'!$H$7*(1/365))</f>
        <v>0.931326827295541</v>
      </c>
    </row>
    <row r="1225" spans="1:4">
      <c r="A1225" s="10">
        <v>1222</v>
      </c>
      <c r="B1225" s="12">
        <f t="shared" si="19"/>
        <v>3.34794520547945</v>
      </c>
      <c r="C1225" s="14">
        <f>'1_Inputs'!$H$7</f>
        <v>0.0305712824819807</v>
      </c>
      <c r="D1225" s="12">
        <f>D1224*EXP(-'1_Inputs'!$H$7*(1/365))</f>
        <v>0.931248825478566</v>
      </c>
    </row>
    <row r="1226" spans="1:4">
      <c r="A1226" s="4">
        <v>1223</v>
      </c>
      <c r="B1226" s="6">
        <f t="shared" si="19"/>
        <v>3.35068493150685</v>
      </c>
      <c r="C1226" s="8">
        <f>'1_Inputs'!$H$7</f>
        <v>0.0305712824819807</v>
      </c>
      <c r="D1226" s="6">
        <f>D1225*EXP(-'1_Inputs'!$H$7*(1/365))</f>
        <v>0.931170830194511</v>
      </c>
    </row>
    <row r="1227" spans="1:4">
      <c r="A1227" s="10">
        <v>1224</v>
      </c>
      <c r="B1227" s="12">
        <f t="shared" si="19"/>
        <v>3.35342465753425</v>
      </c>
      <c r="C1227" s="14">
        <f>'1_Inputs'!$H$7</f>
        <v>0.0305712824819807</v>
      </c>
      <c r="D1227" s="12">
        <f>D1226*EXP(-'1_Inputs'!$H$7*(1/365))</f>
        <v>0.931092841442828</v>
      </c>
    </row>
    <row r="1228" spans="1:4">
      <c r="A1228" s="4">
        <v>1225</v>
      </c>
      <c r="B1228" s="6">
        <f t="shared" si="19"/>
        <v>3.35616438356164</v>
      </c>
      <c r="C1228" s="8">
        <f>'1_Inputs'!$H$7</f>
        <v>0.0305712824819807</v>
      </c>
      <c r="D1228" s="6">
        <f>D1227*EXP(-'1_Inputs'!$H$7*(1/365))</f>
        <v>0.931014859222971</v>
      </c>
    </row>
    <row r="1229" spans="1:4">
      <c r="A1229" s="10">
        <v>1226</v>
      </c>
      <c r="B1229" s="12">
        <f t="shared" si="19"/>
        <v>3.35890410958904</v>
      </c>
      <c r="C1229" s="14">
        <f>'1_Inputs'!$H$7</f>
        <v>0.0305712824819807</v>
      </c>
      <c r="D1229" s="12">
        <f>D1228*EXP(-'1_Inputs'!$H$7*(1/365))</f>
        <v>0.930936883534393</v>
      </c>
    </row>
    <row r="1230" spans="1:4">
      <c r="A1230" s="4">
        <v>1227</v>
      </c>
      <c r="B1230" s="6">
        <f t="shared" si="19"/>
        <v>3.36164383561644</v>
      </c>
      <c r="C1230" s="8">
        <f>'1_Inputs'!$H$7</f>
        <v>0.0305712824819807</v>
      </c>
      <c r="D1230" s="6">
        <f>D1229*EXP(-'1_Inputs'!$H$7*(1/365))</f>
        <v>0.930858914376546</v>
      </c>
    </row>
    <row r="1231" spans="1:4">
      <c r="A1231" s="10">
        <v>1228</v>
      </c>
      <c r="B1231" s="12">
        <f t="shared" si="19"/>
        <v>3.36438356164384</v>
      </c>
      <c r="C1231" s="14">
        <f>'1_Inputs'!$H$7</f>
        <v>0.0305712824819807</v>
      </c>
      <c r="D1231" s="12">
        <f>D1230*EXP(-'1_Inputs'!$H$7*(1/365))</f>
        <v>0.930780951748883</v>
      </c>
    </row>
    <row r="1232" spans="1:4">
      <c r="A1232" s="4">
        <v>1229</v>
      </c>
      <c r="B1232" s="6">
        <f t="shared" si="19"/>
        <v>3.36712328767123</v>
      </c>
      <c r="C1232" s="8">
        <f>'1_Inputs'!$H$7</f>
        <v>0.0305712824819807</v>
      </c>
      <c r="D1232" s="6">
        <f>D1231*EXP(-'1_Inputs'!$H$7*(1/365))</f>
        <v>0.930702995650858</v>
      </c>
    </row>
    <row r="1233" spans="1:4">
      <c r="A1233" s="10">
        <v>1230</v>
      </c>
      <c r="B1233" s="12">
        <f t="shared" si="19"/>
        <v>3.36986301369863</v>
      </c>
      <c r="C1233" s="14">
        <f>'1_Inputs'!$H$7</f>
        <v>0.0305712824819807</v>
      </c>
      <c r="D1233" s="12">
        <f>D1232*EXP(-'1_Inputs'!$H$7*(1/365))</f>
        <v>0.930625046081923</v>
      </c>
    </row>
    <row r="1234" spans="1:4">
      <c r="A1234" s="4">
        <v>1231</v>
      </c>
      <c r="B1234" s="6">
        <f t="shared" si="19"/>
        <v>3.37260273972603</v>
      </c>
      <c r="C1234" s="8">
        <f>'1_Inputs'!$H$7</f>
        <v>0.0305712824819807</v>
      </c>
      <c r="D1234" s="6">
        <f>D1233*EXP(-'1_Inputs'!$H$7*(1/365))</f>
        <v>0.930547103041533</v>
      </c>
    </row>
    <row r="1235" spans="1:4">
      <c r="A1235" s="10">
        <v>1232</v>
      </c>
      <c r="B1235" s="12">
        <f t="shared" si="19"/>
        <v>3.37534246575342</v>
      </c>
      <c r="C1235" s="14">
        <f>'1_Inputs'!$H$7</f>
        <v>0.0305712824819807</v>
      </c>
      <c r="D1235" s="12">
        <f>D1234*EXP(-'1_Inputs'!$H$7*(1/365))</f>
        <v>0.930469166529139</v>
      </c>
    </row>
    <row r="1236" spans="1:4">
      <c r="A1236" s="4">
        <v>1233</v>
      </c>
      <c r="B1236" s="6">
        <f t="shared" si="19"/>
        <v>3.37808219178082</v>
      </c>
      <c r="C1236" s="8">
        <f>'1_Inputs'!$H$7</f>
        <v>0.0305712824819807</v>
      </c>
      <c r="D1236" s="6">
        <f>D1235*EXP(-'1_Inputs'!$H$7*(1/365))</f>
        <v>0.930391236544196</v>
      </c>
    </row>
    <row r="1237" spans="1:4">
      <c r="A1237" s="10">
        <v>1234</v>
      </c>
      <c r="B1237" s="12">
        <f t="shared" si="19"/>
        <v>3.38082191780822</v>
      </c>
      <c r="C1237" s="14">
        <f>'1_Inputs'!$H$7</f>
        <v>0.0305712824819807</v>
      </c>
      <c r="D1237" s="12">
        <f>D1236*EXP(-'1_Inputs'!$H$7*(1/365))</f>
        <v>0.930313313086156</v>
      </c>
    </row>
    <row r="1238" spans="1:4">
      <c r="A1238" s="4">
        <v>1235</v>
      </c>
      <c r="B1238" s="6">
        <f t="shared" si="19"/>
        <v>3.38356164383562</v>
      </c>
      <c r="C1238" s="8">
        <f>'1_Inputs'!$H$7</f>
        <v>0.0305712824819807</v>
      </c>
      <c r="D1238" s="6">
        <f>D1237*EXP(-'1_Inputs'!$H$7*(1/365))</f>
        <v>0.930235396154473</v>
      </c>
    </row>
    <row r="1239" spans="1:4">
      <c r="A1239" s="10">
        <v>1236</v>
      </c>
      <c r="B1239" s="12">
        <f t="shared" si="19"/>
        <v>3.38630136986301</v>
      </c>
      <c r="C1239" s="14">
        <f>'1_Inputs'!$H$7</f>
        <v>0.0305712824819807</v>
      </c>
      <c r="D1239" s="12">
        <f>D1238*EXP(-'1_Inputs'!$H$7*(1/365))</f>
        <v>0.930157485748601</v>
      </c>
    </row>
    <row r="1240" spans="1:4">
      <c r="A1240" s="4">
        <v>1237</v>
      </c>
      <c r="B1240" s="6">
        <f t="shared" si="19"/>
        <v>3.38904109589041</v>
      </c>
      <c r="C1240" s="8">
        <f>'1_Inputs'!$H$7</f>
        <v>0.0305712824819807</v>
      </c>
      <c r="D1240" s="6">
        <f>D1239*EXP(-'1_Inputs'!$H$7*(1/365))</f>
        <v>0.930079581867992</v>
      </c>
    </row>
    <row r="1241" spans="1:4">
      <c r="A1241" s="10">
        <v>1238</v>
      </c>
      <c r="B1241" s="12">
        <f t="shared" si="19"/>
        <v>3.39178082191781</v>
      </c>
      <c r="C1241" s="14">
        <f>'1_Inputs'!$H$7</f>
        <v>0.0305712824819807</v>
      </c>
      <c r="D1241" s="12">
        <f>D1240*EXP(-'1_Inputs'!$H$7*(1/365))</f>
        <v>0.930001684512101</v>
      </c>
    </row>
    <row r="1242" spans="1:4">
      <c r="A1242" s="4">
        <v>1239</v>
      </c>
      <c r="B1242" s="6">
        <f t="shared" si="19"/>
        <v>3.39452054794521</v>
      </c>
      <c r="C1242" s="8">
        <f>'1_Inputs'!$H$7</f>
        <v>0.0305712824819807</v>
      </c>
      <c r="D1242" s="6">
        <f>D1241*EXP(-'1_Inputs'!$H$7*(1/365))</f>
        <v>0.92992379368038</v>
      </c>
    </row>
    <row r="1243" spans="1:4">
      <c r="A1243" s="10">
        <v>1240</v>
      </c>
      <c r="B1243" s="12">
        <f t="shared" si="19"/>
        <v>3.3972602739726</v>
      </c>
      <c r="C1243" s="14">
        <f>'1_Inputs'!$H$7</f>
        <v>0.0305712824819807</v>
      </c>
      <c r="D1243" s="12">
        <f>D1242*EXP(-'1_Inputs'!$H$7*(1/365))</f>
        <v>0.929845909372284</v>
      </c>
    </row>
    <row r="1244" spans="1:4">
      <c r="A1244" s="4">
        <v>1241</v>
      </c>
      <c r="B1244" s="6">
        <f t="shared" si="19"/>
        <v>3.4</v>
      </c>
      <c r="C1244" s="8">
        <f>'1_Inputs'!$H$7</f>
        <v>0.0305712824819807</v>
      </c>
      <c r="D1244" s="6">
        <f>D1243*EXP(-'1_Inputs'!$H$7*(1/365))</f>
        <v>0.929768031587266</v>
      </c>
    </row>
    <row r="1245" spans="1:4">
      <c r="A1245" s="10">
        <v>1242</v>
      </c>
      <c r="B1245" s="12">
        <f t="shared" si="19"/>
        <v>3.4027397260274</v>
      </c>
      <c r="C1245" s="14">
        <f>'1_Inputs'!$H$7</f>
        <v>0.0305712824819807</v>
      </c>
      <c r="D1245" s="12">
        <f>D1244*EXP(-'1_Inputs'!$H$7*(1/365))</f>
        <v>0.929690160324779</v>
      </c>
    </row>
    <row r="1246" spans="1:4">
      <c r="A1246" s="4">
        <v>1243</v>
      </c>
      <c r="B1246" s="6">
        <f t="shared" si="19"/>
        <v>3.40547945205479</v>
      </c>
      <c r="C1246" s="8">
        <f>'1_Inputs'!$H$7</f>
        <v>0.0305712824819807</v>
      </c>
      <c r="D1246" s="6">
        <f>D1245*EXP(-'1_Inputs'!$H$7*(1/365))</f>
        <v>0.929612295584278</v>
      </c>
    </row>
    <row r="1247" spans="1:4">
      <c r="A1247" s="10">
        <v>1244</v>
      </c>
      <c r="B1247" s="12">
        <f t="shared" si="19"/>
        <v>3.40821917808219</v>
      </c>
      <c r="C1247" s="14">
        <f>'1_Inputs'!$H$7</f>
        <v>0.0305712824819807</v>
      </c>
      <c r="D1247" s="12">
        <f>D1246*EXP(-'1_Inputs'!$H$7*(1/365))</f>
        <v>0.929534437365216</v>
      </c>
    </row>
    <row r="1248" spans="1:4">
      <c r="A1248" s="4">
        <v>1245</v>
      </c>
      <c r="B1248" s="6">
        <f t="shared" si="19"/>
        <v>3.41095890410959</v>
      </c>
      <c r="C1248" s="8">
        <f>'1_Inputs'!$H$7</f>
        <v>0.0305712824819807</v>
      </c>
      <c r="D1248" s="6">
        <f>D1247*EXP(-'1_Inputs'!$H$7*(1/365))</f>
        <v>0.929456585667047</v>
      </c>
    </row>
    <row r="1249" spans="1:4">
      <c r="A1249" s="10">
        <v>1246</v>
      </c>
      <c r="B1249" s="12">
        <f t="shared" si="19"/>
        <v>3.41369863013699</v>
      </c>
      <c r="C1249" s="14">
        <f>'1_Inputs'!$H$7</f>
        <v>0.0305712824819807</v>
      </c>
      <c r="D1249" s="12">
        <f>D1248*EXP(-'1_Inputs'!$H$7*(1/365))</f>
        <v>0.929378740489225</v>
      </c>
    </row>
    <row r="1250" spans="1:4">
      <c r="A1250" s="4">
        <v>1247</v>
      </c>
      <c r="B1250" s="6">
        <f t="shared" si="19"/>
        <v>3.41643835616438</v>
      </c>
      <c r="C1250" s="8">
        <f>'1_Inputs'!$H$7</f>
        <v>0.0305712824819807</v>
      </c>
      <c r="D1250" s="6">
        <f>D1249*EXP(-'1_Inputs'!$H$7*(1/365))</f>
        <v>0.929300901831204</v>
      </c>
    </row>
    <row r="1251" spans="1:4">
      <c r="A1251" s="10">
        <v>1248</v>
      </c>
      <c r="B1251" s="12">
        <f t="shared" si="19"/>
        <v>3.41917808219178</v>
      </c>
      <c r="C1251" s="14">
        <f>'1_Inputs'!$H$7</f>
        <v>0.0305712824819807</v>
      </c>
      <c r="D1251" s="12">
        <f>D1250*EXP(-'1_Inputs'!$H$7*(1/365))</f>
        <v>0.929223069692437</v>
      </c>
    </row>
    <row r="1252" spans="1:4">
      <c r="A1252" s="4">
        <v>1249</v>
      </c>
      <c r="B1252" s="6">
        <f t="shared" si="19"/>
        <v>3.42191780821918</v>
      </c>
      <c r="C1252" s="8">
        <f>'1_Inputs'!$H$7</f>
        <v>0.0305712824819807</v>
      </c>
      <c r="D1252" s="6">
        <f>D1251*EXP(-'1_Inputs'!$H$7*(1/365))</f>
        <v>0.929145244072379</v>
      </c>
    </row>
    <row r="1253" spans="1:4">
      <c r="A1253" s="10">
        <v>1250</v>
      </c>
      <c r="B1253" s="12">
        <f t="shared" si="19"/>
        <v>3.42465753424658</v>
      </c>
      <c r="C1253" s="14">
        <f>'1_Inputs'!$H$7</f>
        <v>0.0305712824819807</v>
      </c>
      <c r="D1253" s="12">
        <f>D1252*EXP(-'1_Inputs'!$H$7*(1/365))</f>
        <v>0.929067424970483</v>
      </c>
    </row>
    <row r="1254" spans="1:4">
      <c r="A1254" s="4">
        <v>1251</v>
      </c>
      <c r="B1254" s="6">
        <f t="shared" si="19"/>
        <v>3.42739726027397</v>
      </c>
      <c r="C1254" s="8">
        <f>'1_Inputs'!$H$7</f>
        <v>0.0305712824819807</v>
      </c>
      <c r="D1254" s="6">
        <f>D1253*EXP(-'1_Inputs'!$H$7*(1/365))</f>
        <v>0.928989612386204</v>
      </c>
    </row>
    <row r="1255" spans="1:4">
      <c r="A1255" s="10">
        <v>1252</v>
      </c>
      <c r="B1255" s="12">
        <f t="shared" si="19"/>
        <v>3.43013698630137</v>
      </c>
      <c r="C1255" s="14">
        <f>'1_Inputs'!$H$7</f>
        <v>0.0305712824819807</v>
      </c>
      <c r="D1255" s="12">
        <f>D1254*EXP(-'1_Inputs'!$H$7*(1/365))</f>
        <v>0.928911806318996</v>
      </c>
    </row>
    <row r="1256" spans="1:4">
      <c r="A1256" s="4">
        <v>1253</v>
      </c>
      <c r="B1256" s="6">
        <f t="shared" si="19"/>
        <v>3.43287671232877</v>
      </c>
      <c r="C1256" s="8">
        <f>'1_Inputs'!$H$7</f>
        <v>0.0305712824819807</v>
      </c>
      <c r="D1256" s="6">
        <f>D1255*EXP(-'1_Inputs'!$H$7*(1/365))</f>
        <v>0.928834006768314</v>
      </c>
    </row>
    <row r="1257" spans="1:4">
      <c r="A1257" s="10">
        <v>1254</v>
      </c>
      <c r="B1257" s="12">
        <f t="shared" si="19"/>
        <v>3.43561643835616</v>
      </c>
      <c r="C1257" s="14">
        <f>'1_Inputs'!$H$7</f>
        <v>0.0305712824819807</v>
      </c>
      <c r="D1257" s="12">
        <f>D1256*EXP(-'1_Inputs'!$H$7*(1/365))</f>
        <v>0.92875621373361</v>
      </c>
    </row>
    <row r="1258" spans="1:4">
      <c r="A1258" s="4">
        <v>1255</v>
      </c>
      <c r="B1258" s="6">
        <f t="shared" si="19"/>
        <v>3.43835616438356</v>
      </c>
      <c r="C1258" s="8">
        <f>'1_Inputs'!$H$7</f>
        <v>0.0305712824819807</v>
      </c>
      <c r="D1258" s="6">
        <f>D1257*EXP(-'1_Inputs'!$H$7*(1/365))</f>
        <v>0.92867842721434</v>
      </c>
    </row>
    <row r="1259" spans="1:4">
      <c r="A1259" s="10">
        <v>1256</v>
      </c>
      <c r="B1259" s="12">
        <f t="shared" si="19"/>
        <v>3.44109589041096</v>
      </c>
      <c r="C1259" s="14">
        <f>'1_Inputs'!$H$7</f>
        <v>0.0305712824819807</v>
      </c>
      <c r="D1259" s="12">
        <f>D1258*EXP(-'1_Inputs'!$H$7*(1/365))</f>
        <v>0.928600647209958</v>
      </c>
    </row>
    <row r="1260" spans="1:4">
      <c r="A1260" s="4">
        <v>1257</v>
      </c>
      <c r="B1260" s="6">
        <f t="shared" si="19"/>
        <v>3.44383561643836</v>
      </c>
      <c r="C1260" s="8">
        <f>'1_Inputs'!$H$7</f>
        <v>0.0305712824819807</v>
      </c>
      <c r="D1260" s="6">
        <f>D1259*EXP(-'1_Inputs'!$H$7*(1/365))</f>
        <v>0.928522873719918</v>
      </c>
    </row>
    <row r="1261" spans="1:4">
      <c r="A1261" s="10">
        <v>1258</v>
      </c>
      <c r="B1261" s="12">
        <f t="shared" si="19"/>
        <v>3.44657534246575</v>
      </c>
      <c r="C1261" s="14">
        <f>'1_Inputs'!$H$7</f>
        <v>0.0305712824819807</v>
      </c>
      <c r="D1261" s="12">
        <f>D1260*EXP(-'1_Inputs'!$H$7*(1/365))</f>
        <v>0.928445106743675</v>
      </c>
    </row>
    <row r="1262" spans="1:4">
      <c r="A1262" s="4">
        <v>1259</v>
      </c>
      <c r="B1262" s="6">
        <f t="shared" si="19"/>
        <v>3.44931506849315</v>
      </c>
      <c r="C1262" s="8">
        <f>'1_Inputs'!$H$7</f>
        <v>0.0305712824819807</v>
      </c>
      <c r="D1262" s="6">
        <f>D1261*EXP(-'1_Inputs'!$H$7*(1/365))</f>
        <v>0.928367346280683</v>
      </c>
    </row>
    <row r="1263" spans="1:4">
      <c r="A1263" s="10">
        <v>1260</v>
      </c>
      <c r="B1263" s="12">
        <f t="shared" si="19"/>
        <v>3.45205479452055</v>
      </c>
      <c r="C1263" s="14">
        <f>'1_Inputs'!$H$7</f>
        <v>0.0305712824819807</v>
      </c>
      <c r="D1263" s="12">
        <f>D1262*EXP(-'1_Inputs'!$H$7*(1/365))</f>
        <v>0.928289592330396</v>
      </c>
    </row>
    <row r="1264" spans="1:4">
      <c r="A1264" s="4">
        <v>1261</v>
      </c>
      <c r="B1264" s="6">
        <f t="shared" si="19"/>
        <v>3.45479452054795</v>
      </c>
      <c r="C1264" s="8">
        <f>'1_Inputs'!$H$7</f>
        <v>0.0305712824819807</v>
      </c>
      <c r="D1264" s="6">
        <f>D1263*EXP(-'1_Inputs'!$H$7*(1/365))</f>
        <v>0.92821184489227</v>
      </c>
    </row>
    <row r="1265" spans="1:5">
      <c r="A1265" s="10">
        <v>1262</v>
      </c>
      <c r="B1265" s="12">
        <f t="shared" si="19"/>
        <v>3.45753424657534</v>
      </c>
      <c r="C1265" s="14">
        <f>'1_Inputs'!$H$7</f>
        <v>0.0305712824819807</v>
      </c>
      <c r="D1265" s="12">
        <f>D1264*EXP(-'1_Inputs'!$H$7*(1/365))</f>
        <v>0.928134103965758</v>
      </c>
    </row>
    <row r="1266" spans="1:5">
      <c r="A1266" s="4">
        <v>1263</v>
      </c>
      <c r="B1266" s="6">
        <f t="shared" si="19"/>
        <v>3.46027397260274</v>
      </c>
      <c r="C1266" s="8">
        <f>'1_Inputs'!$H$7</f>
        <v>0.0305712824819807</v>
      </c>
      <c r="D1266" s="6">
        <f>D1265*EXP(-'1_Inputs'!$H$7*(1/365))</f>
        <v>0.928056369550315</v>
      </c>
    </row>
    <row r="1267" spans="1:5">
      <c r="A1267" s="10">
        <v>1264</v>
      </c>
      <c r="B1267" s="12">
        <f t="shared" si="19"/>
        <v>3.46301369863014</v>
      </c>
      <c r="C1267" s="14">
        <f>'1_Inputs'!$H$7</f>
        <v>0.0305712824819807</v>
      </c>
      <c r="D1267" s="12">
        <f>D1266*EXP(-'1_Inputs'!$H$7*(1/365))</f>
        <v>0.927978641645397</v>
      </c>
    </row>
    <row r="1268" spans="1:5">
      <c r="A1268" s="4">
        <v>1265</v>
      </c>
      <c r="B1268" s="6">
        <f t="shared" si="19"/>
        <v>3.46575342465753</v>
      </c>
      <c r="C1268" s="8">
        <f>'1_Inputs'!$H$7</f>
        <v>0.0305712824819807</v>
      </c>
      <c r="D1268" s="6">
        <f>D1267*EXP(-'1_Inputs'!$H$7*(1/365))</f>
        <v>0.927900920250457</v>
      </c>
    </row>
    <row r="1269" spans="1:5">
      <c r="A1269" s="10">
        <v>1266</v>
      </c>
      <c r="B1269" s="12">
        <f t="shared" si="19"/>
        <v>3.46849315068493</v>
      </c>
      <c r="C1269" s="14">
        <f>'1_Inputs'!$H$7</f>
        <v>0.0305712824819807</v>
      </c>
      <c r="D1269" s="12">
        <f>D1268*EXP(-'1_Inputs'!$H$7*(1/365))</f>
        <v>0.927823205364951</v>
      </c>
    </row>
    <row r="1270" spans="1:5">
      <c r="A1270" s="4">
        <v>1267</v>
      </c>
      <c r="B1270" s="6">
        <f t="shared" si="19"/>
        <v>3.47123287671233</v>
      </c>
      <c r="C1270" s="8">
        <f>'1_Inputs'!$H$7</f>
        <v>0.0305712824819807</v>
      </c>
      <c r="D1270" s="6">
        <f>D1269*EXP(-'1_Inputs'!$H$7*(1/365))</f>
        <v>0.927745496988333</v>
      </c>
    </row>
    <row r="1271" spans="1:5">
      <c r="A1271" s="10">
        <v>1268</v>
      </c>
      <c r="B1271" s="12">
        <f t="shared" si="19"/>
        <v>3.47397260273973</v>
      </c>
      <c r="C1271" s="14">
        <f>'1_Inputs'!$H$7</f>
        <v>0.0305712824819807</v>
      </c>
      <c r="D1271" s="12">
        <f>D1270*EXP(-'1_Inputs'!$H$7*(1/365))</f>
        <v>0.927667795120058</v>
      </c>
    </row>
    <row r="1272" spans="1:5">
      <c r="A1272" s="4">
        <v>1269</v>
      </c>
      <c r="B1272" s="6">
        <f t="shared" si="19"/>
        <v>3.47671232876712</v>
      </c>
      <c r="C1272" s="8">
        <f>'1_Inputs'!$H$7</f>
        <v>0.0305712824819807</v>
      </c>
      <c r="D1272" s="6">
        <f>D1271*EXP(-'1_Inputs'!$H$7*(1/365))</f>
        <v>0.927590099759581</v>
      </c>
    </row>
    <row r="1273" spans="1:5">
      <c r="A1273" s="10">
        <v>1270</v>
      </c>
      <c r="B1273" s="12">
        <f t="shared" si="19"/>
        <v>3.47945205479452</v>
      </c>
      <c r="C1273" s="14">
        <f>'1_Inputs'!$H$7</f>
        <v>0.0305712824819807</v>
      </c>
      <c r="D1273" s="12">
        <f>D1272*EXP(-'1_Inputs'!$H$7*(1/365))</f>
        <v>0.927512410906357</v>
      </c>
    </row>
    <row r="1274" spans="1:5">
      <c r="A1274" s="4">
        <v>1271</v>
      </c>
      <c r="B1274" s="6">
        <f t="shared" si="19"/>
        <v>3.48219178082192</v>
      </c>
      <c r="C1274" s="8">
        <f>'1_Inputs'!$H$7</f>
        <v>0.0305712824819807</v>
      </c>
      <c r="D1274" s="6">
        <f>D1273*EXP(-'1_Inputs'!$H$7*(1/365))</f>
        <v>0.927434728559841</v>
      </c>
    </row>
    <row r="1275" spans="1:5">
      <c r="A1275" s="10">
        <v>1272</v>
      </c>
      <c r="B1275" s="12">
        <f t="shared" si="19"/>
        <v>3.48493150684931</v>
      </c>
      <c r="C1275" s="14">
        <f>'1_Inputs'!$H$7</f>
        <v>0.0305712824819807</v>
      </c>
      <c r="D1275" s="12">
        <f>D1274*EXP(-'1_Inputs'!$H$7*(1/365))</f>
        <v>0.927357052719488</v>
      </c>
    </row>
    <row r="1276" spans="1:5">
      <c r="A1276" s="4">
        <v>1273</v>
      </c>
      <c r="B1276" s="6">
        <f t="shared" si="19"/>
        <v>3.48767123287671</v>
      </c>
      <c r="C1276" s="8">
        <f>'1_Inputs'!$H$7</f>
        <v>0.0305712824819807</v>
      </c>
      <c r="D1276" s="6">
        <f>D1275*EXP(-'1_Inputs'!$H$7*(1/365))</f>
        <v>0.927279383384753</v>
      </c>
    </row>
    <row r="1277" spans="1:5">
      <c r="A1277" s="10">
        <v>1274</v>
      </c>
      <c r="B1277" s="12">
        <f t="shared" si="19"/>
        <v>3.49041095890411</v>
      </c>
      <c r="C1277" s="14">
        <f>'1_Inputs'!$H$7</f>
        <v>0.0305712824819807</v>
      </c>
      <c r="D1277" s="12">
        <f>D1276*EXP(-'1_Inputs'!$H$7*(1/365))</f>
        <v>0.927201720555092</v>
      </c>
    </row>
    <row r="1278" spans="1:5">
      <c r="A1278" s="4">
        <v>1275</v>
      </c>
      <c r="B1278" s="6">
        <f t="shared" si="19"/>
        <v>3.49315068493151</v>
      </c>
      <c r="C1278" s="8">
        <f>'1_Inputs'!$H$7</f>
        <v>0.0305712824819807</v>
      </c>
      <c r="D1278" s="6">
        <f>D1277*EXP(-'1_Inputs'!$H$7*(1/365))</f>
        <v>0.927124064229959</v>
      </c>
    </row>
    <row r="1279" spans="1:5">
      <c r="A1279" s="10">
        <v>1276</v>
      </c>
      <c r="B1279" s="12">
        <f t="shared" si="19"/>
        <v>3.4958904109589</v>
      </c>
      <c r="C1279" s="14">
        <f>'1_Inputs'!$H$7</f>
        <v>0.0305712824819807</v>
      </c>
      <c r="D1279" s="12">
        <f>D1278*EXP(-'1_Inputs'!$H$7*(1/365))</f>
        <v>0.927046414408809</v>
      </c>
    </row>
    <row r="1280" spans="1:5">
      <c r="A1280" s="4">
        <v>1277</v>
      </c>
      <c r="B1280" s="6">
        <f t="shared" si="19"/>
        <v>3.4986301369863</v>
      </c>
      <c r="C1280" s="8">
        <f>'1_Inputs'!$H$7</f>
        <v>0.0305712824819807</v>
      </c>
      <c r="D1280" s="6">
        <f>D1279*EXP(-'1_Inputs'!$H$7*(1/365))</f>
        <v>0.926968771091099</v>
      </c>
      <c r="E1280" s="43" t="s">
        <v>59</v>
      </c>
    </row>
    <row r="1281" spans="1:4">
      <c r="A1281" s="10">
        <v>1278</v>
      </c>
      <c r="B1281" s="12">
        <f t="shared" si="19"/>
        <v>3.5013698630137</v>
      </c>
      <c r="C1281" s="14">
        <f>'1_Inputs'!$H$7</f>
        <v>0.0305712824819807</v>
      </c>
      <c r="D1281" s="12">
        <f>D1280*EXP(-'1_Inputs'!$H$7*(1/365))</f>
        <v>0.926891134276282</v>
      </c>
    </row>
    <row r="1282" spans="1:4">
      <c r="A1282" s="4">
        <v>1279</v>
      </c>
      <c r="B1282" s="6">
        <f t="shared" si="19"/>
        <v>3.5041095890411</v>
      </c>
      <c r="C1282" s="8">
        <f>'1_Inputs'!$H$7</f>
        <v>0.0305712824819807</v>
      </c>
      <c r="D1282" s="6">
        <f>D1281*EXP(-'1_Inputs'!$H$7*(1/365))</f>
        <v>0.926813503963816</v>
      </c>
    </row>
    <row r="1283" spans="1:4">
      <c r="A1283" s="10">
        <v>1280</v>
      </c>
      <c r="B1283" s="12">
        <f t="shared" ref="B1283:B1346" si="20">A1283/365</f>
        <v>3.50684931506849</v>
      </c>
      <c r="C1283" s="14">
        <f>'1_Inputs'!$H$7</f>
        <v>0.0305712824819807</v>
      </c>
      <c r="D1283" s="12">
        <f>D1282*EXP(-'1_Inputs'!$H$7*(1/365))</f>
        <v>0.926735880153154</v>
      </c>
    </row>
    <row r="1284" spans="1:4">
      <c r="A1284" s="4">
        <v>1281</v>
      </c>
      <c r="B1284" s="6">
        <f t="shared" si="20"/>
        <v>3.50958904109589</v>
      </c>
      <c r="C1284" s="8">
        <f>'1_Inputs'!$H$7</f>
        <v>0.0305712824819807</v>
      </c>
      <c r="D1284" s="6">
        <f>D1283*EXP(-'1_Inputs'!$H$7*(1/365))</f>
        <v>0.926658262843753</v>
      </c>
    </row>
    <row r="1285" spans="1:4">
      <c r="A1285" s="10">
        <v>1282</v>
      </c>
      <c r="B1285" s="12">
        <f t="shared" si="20"/>
        <v>3.51232876712329</v>
      </c>
      <c r="C1285" s="14">
        <f>'1_Inputs'!$H$7</f>
        <v>0.0305712824819807</v>
      </c>
      <c r="D1285" s="12">
        <f>D1284*EXP(-'1_Inputs'!$H$7*(1/365))</f>
        <v>0.926580652035067</v>
      </c>
    </row>
    <row r="1286" spans="1:4">
      <c r="A1286" s="4">
        <v>1283</v>
      </c>
      <c r="B1286" s="6">
        <f t="shared" si="20"/>
        <v>3.51506849315068</v>
      </c>
      <c r="C1286" s="8">
        <f>'1_Inputs'!$H$7</f>
        <v>0.0305712824819807</v>
      </c>
      <c r="D1286" s="6">
        <f>D1285*EXP(-'1_Inputs'!$H$7*(1/365))</f>
        <v>0.926503047726554</v>
      </c>
    </row>
    <row r="1287" spans="1:4">
      <c r="A1287" s="10">
        <v>1284</v>
      </c>
      <c r="B1287" s="12">
        <f t="shared" si="20"/>
        <v>3.51780821917808</v>
      </c>
      <c r="C1287" s="14">
        <f>'1_Inputs'!$H$7</f>
        <v>0.0305712824819807</v>
      </c>
      <c r="D1287" s="12">
        <f>D1286*EXP(-'1_Inputs'!$H$7*(1/365))</f>
        <v>0.926425449917667</v>
      </c>
    </row>
    <row r="1288" spans="1:4">
      <c r="A1288" s="4">
        <v>1285</v>
      </c>
      <c r="B1288" s="6">
        <f t="shared" si="20"/>
        <v>3.52054794520548</v>
      </c>
      <c r="C1288" s="8">
        <f>'1_Inputs'!$H$7</f>
        <v>0.0305712824819807</v>
      </c>
      <c r="D1288" s="6">
        <f>D1287*EXP(-'1_Inputs'!$H$7*(1/365))</f>
        <v>0.926347858607863</v>
      </c>
    </row>
    <row r="1289" spans="1:4">
      <c r="A1289" s="10">
        <v>1286</v>
      </c>
      <c r="B1289" s="12">
        <f t="shared" si="20"/>
        <v>3.52328767123288</v>
      </c>
      <c r="C1289" s="14">
        <f>'1_Inputs'!$H$7</f>
        <v>0.0305712824819807</v>
      </c>
      <c r="D1289" s="12">
        <f>D1288*EXP(-'1_Inputs'!$H$7*(1/365))</f>
        <v>0.926270273796597</v>
      </c>
    </row>
    <row r="1290" spans="1:4">
      <c r="A1290" s="4">
        <v>1287</v>
      </c>
      <c r="B1290" s="6">
        <f t="shared" si="20"/>
        <v>3.52602739726027</v>
      </c>
      <c r="C1290" s="8">
        <f>'1_Inputs'!$H$7</f>
        <v>0.0305712824819807</v>
      </c>
      <c r="D1290" s="6">
        <f>D1289*EXP(-'1_Inputs'!$H$7*(1/365))</f>
        <v>0.926192695483326</v>
      </c>
    </row>
    <row r="1291" spans="1:4">
      <c r="A1291" s="10">
        <v>1288</v>
      </c>
      <c r="B1291" s="12">
        <f t="shared" si="20"/>
        <v>3.52876712328767</v>
      </c>
      <c r="C1291" s="14">
        <f>'1_Inputs'!$H$7</f>
        <v>0.0305712824819807</v>
      </c>
      <c r="D1291" s="12">
        <f>D1290*EXP(-'1_Inputs'!$H$7*(1/365))</f>
        <v>0.926115123667504</v>
      </c>
    </row>
    <row r="1292" spans="1:4">
      <c r="A1292" s="4">
        <v>1289</v>
      </c>
      <c r="B1292" s="6">
        <f t="shared" si="20"/>
        <v>3.53150684931507</v>
      </c>
      <c r="C1292" s="8">
        <f>'1_Inputs'!$H$7</f>
        <v>0.0305712824819807</v>
      </c>
      <c r="D1292" s="6">
        <f>D1291*EXP(-'1_Inputs'!$H$7*(1/365))</f>
        <v>0.926037558348588</v>
      </c>
    </row>
    <row r="1293" spans="1:4">
      <c r="A1293" s="10">
        <v>1290</v>
      </c>
      <c r="B1293" s="12">
        <f t="shared" si="20"/>
        <v>3.53424657534247</v>
      </c>
      <c r="C1293" s="14">
        <f>'1_Inputs'!$H$7</f>
        <v>0.0305712824819807</v>
      </c>
      <c r="D1293" s="12">
        <f>D1292*EXP(-'1_Inputs'!$H$7*(1/365))</f>
        <v>0.925959999526034</v>
      </c>
    </row>
    <row r="1294" spans="1:4">
      <c r="A1294" s="4">
        <v>1291</v>
      </c>
      <c r="B1294" s="6">
        <f t="shared" si="20"/>
        <v>3.53698630136986</v>
      </c>
      <c r="C1294" s="8">
        <f>'1_Inputs'!$H$7</f>
        <v>0.0305712824819807</v>
      </c>
      <c r="D1294" s="6">
        <f>D1293*EXP(-'1_Inputs'!$H$7*(1/365))</f>
        <v>0.925882447199297</v>
      </c>
    </row>
    <row r="1295" spans="1:4">
      <c r="A1295" s="10">
        <v>1292</v>
      </c>
      <c r="B1295" s="12">
        <f t="shared" si="20"/>
        <v>3.53972602739726</v>
      </c>
      <c r="C1295" s="14">
        <f>'1_Inputs'!$H$7</f>
        <v>0.0305712824819807</v>
      </c>
      <c r="D1295" s="12">
        <f>D1294*EXP(-'1_Inputs'!$H$7*(1/365))</f>
        <v>0.925804901367834</v>
      </c>
    </row>
    <row r="1296" spans="1:4">
      <c r="A1296" s="4">
        <v>1293</v>
      </c>
      <c r="B1296" s="6">
        <f t="shared" si="20"/>
        <v>3.54246575342466</v>
      </c>
      <c r="C1296" s="8">
        <f>'1_Inputs'!$H$7</f>
        <v>0.0305712824819807</v>
      </c>
      <c r="D1296" s="6">
        <f>D1295*EXP(-'1_Inputs'!$H$7*(1/365))</f>
        <v>0.9257273620311</v>
      </c>
    </row>
    <row r="1297" spans="1:4">
      <c r="A1297" s="10">
        <v>1294</v>
      </c>
      <c r="B1297" s="12">
        <f t="shared" si="20"/>
        <v>3.54520547945205</v>
      </c>
      <c r="C1297" s="14">
        <f>'1_Inputs'!$H$7</f>
        <v>0.0305712824819807</v>
      </c>
      <c r="D1297" s="12">
        <f>D1296*EXP(-'1_Inputs'!$H$7*(1/365))</f>
        <v>0.925649829188552</v>
      </c>
    </row>
    <row r="1298" spans="1:4">
      <c r="A1298" s="4">
        <v>1295</v>
      </c>
      <c r="B1298" s="6">
        <f t="shared" si="20"/>
        <v>3.54794520547945</v>
      </c>
      <c r="C1298" s="8">
        <f>'1_Inputs'!$H$7</f>
        <v>0.0305712824819807</v>
      </c>
      <c r="D1298" s="6">
        <f>D1297*EXP(-'1_Inputs'!$H$7*(1/365))</f>
        <v>0.925572302839645</v>
      </c>
    </row>
    <row r="1299" spans="1:4">
      <c r="A1299" s="10">
        <v>1296</v>
      </c>
      <c r="B1299" s="12">
        <f t="shared" si="20"/>
        <v>3.55068493150685</v>
      </c>
      <c r="C1299" s="14">
        <f>'1_Inputs'!$H$7</f>
        <v>0.0305712824819807</v>
      </c>
      <c r="D1299" s="12">
        <f>D1298*EXP(-'1_Inputs'!$H$7*(1/365))</f>
        <v>0.925494782983835</v>
      </c>
    </row>
    <row r="1300" spans="1:4">
      <c r="A1300" s="4">
        <v>1297</v>
      </c>
      <c r="B1300" s="6">
        <f t="shared" si="20"/>
        <v>3.55342465753425</v>
      </c>
      <c r="C1300" s="8">
        <f>'1_Inputs'!$H$7</f>
        <v>0.0305712824819807</v>
      </c>
      <c r="D1300" s="6">
        <f>D1299*EXP(-'1_Inputs'!$H$7*(1/365))</f>
        <v>0.92541726962058</v>
      </c>
    </row>
    <row r="1301" spans="1:4">
      <c r="A1301" s="10">
        <v>1298</v>
      </c>
      <c r="B1301" s="12">
        <f t="shared" si="20"/>
        <v>3.55616438356164</v>
      </c>
      <c r="C1301" s="14">
        <f>'1_Inputs'!$H$7</f>
        <v>0.0305712824819807</v>
      </c>
      <c r="D1301" s="12">
        <f>D1300*EXP(-'1_Inputs'!$H$7*(1/365))</f>
        <v>0.925339762749335</v>
      </c>
    </row>
    <row r="1302" spans="1:4">
      <c r="A1302" s="4">
        <v>1299</v>
      </c>
      <c r="B1302" s="6">
        <f t="shared" si="20"/>
        <v>3.55890410958904</v>
      </c>
      <c r="C1302" s="8">
        <f>'1_Inputs'!$H$7</f>
        <v>0.0305712824819807</v>
      </c>
      <c r="D1302" s="6">
        <f>D1301*EXP(-'1_Inputs'!$H$7*(1/365))</f>
        <v>0.925262262369556</v>
      </c>
    </row>
    <row r="1303" spans="1:4">
      <c r="A1303" s="10">
        <v>1300</v>
      </c>
      <c r="B1303" s="12">
        <f t="shared" si="20"/>
        <v>3.56164383561644</v>
      </c>
      <c r="C1303" s="14">
        <f>'1_Inputs'!$H$7</f>
        <v>0.0305712824819807</v>
      </c>
      <c r="D1303" s="12">
        <f>D1302*EXP(-'1_Inputs'!$H$7*(1/365))</f>
        <v>0.9251847684807</v>
      </c>
    </row>
    <row r="1304" spans="1:4">
      <c r="A1304" s="4">
        <v>1301</v>
      </c>
      <c r="B1304" s="6">
        <f t="shared" si="20"/>
        <v>3.56438356164384</v>
      </c>
      <c r="C1304" s="8">
        <f>'1_Inputs'!$H$7</f>
        <v>0.0305712824819807</v>
      </c>
      <c r="D1304" s="6">
        <f>D1303*EXP(-'1_Inputs'!$H$7*(1/365))</f>
        <v>0.925107281082223</v>
      </c>
    </row>
    <row r="1305" spans="1:4">
      <c r="A1305" s="10">
        <v>1302</v>
      </c>
      <c r="B1305" s="12">
        <f t="shared" si="20"/>
        <v>3.56712328767123</v>
      </c>
      <c r="C1305" s="14">
        <f>'1_Inputs'!$H$7</f>
        <v>0.0305712824819807</v>
      </c>
      <c r="D1305" s="12">
        <f>D1304*EXP(-'1_Inputs'!$H$7*(1/365))</f>
        <v>0.925029800173581</v>
      </c>
    </row>
    <row r="1306" spans="1:4">
      <c r="A1306" s="4">
        <v>1303</v>
      </c>
      <c r="B1306" s="6">
        <f t="shared" si="20"/>
        <v>3.56986301369863</v>
      </c>
      <c r="C1306" s="8">
        <f>'1_Inputs'!$H$7</f>
        <v>0.0305712824819807</v>
      </c>
      <c r="D1306" s="6">
        <f>D1305*EXP(-'1_Inputs'!$H$7*(1/365))</f>
        <v>0.924952325754231</v>
      </c>
    </row>
    <row r="1307" spans="1:4">
      <c r="A1307" s="10">
        <v>1304</v>
      </c>
      <c r="B1307" s="12">
        <f t="shared" si="20"/>
        <v>3.57260273972603</v>
      </c>
      <c r="C1307" s="14">
        <f>'1_Inputs'!$H$7</f>
        <v>0.0305712824819807</v>
      </c>
      <c r="D1307" s="12">
        <f>D1306*EXP(-'1_Inputs'!$H$7*(1/365))</f>
        <v>0.92487485782363</v>
      </c>
    </row>
    <row r="1308" spans="1:4">
      <c r="A1308" s="4">
        <v>1305</v>
      </c>
      <c r="B1308" s="6">
        <f t="shared" si="20"/>
        <v>3.57534246575342</v>
      </c>
      <c r="C1308" s="8">
        <f>'1_Inputs'!$H$7</f>
        <v>0.0305712824819807</v>
      </c>
      <c r="D1308" s="6">
        <f>D1307*EXP(-'1_Inputs'!$H$7*(1/365))</f>
        <v>0.924797396381234</v>
      </c>
    </row>
    <row r="1309" spans="1:4">
      <c r="A1309" s="10">
        <v>1306</v>
      </c>
      <c r="B1309" s="12">
        <f t="shared" si="20"/>
        <v>3.57808219178082</v>
      </c>
      <c r="C1309" s="14">
        <f>'1_Inputs'!$H$7</f>
        <v>0.0305712824819807</v>
      </c>
      <c r="D1309" s="12">
        <f>D1308*EXP(-'1_Inputs'!$H$7*(1/365))</f>
        <v>0.924719941426499</v>
      </c>
    </row>
    <row r="1310" spans="1:4">
      <c r="A1310" s="4">
        <v>1307</v>
      </c>
      <c r="B1310" s="6">
        <f t="shared" si="20"/>
        <v>3.58082191780822</v>
      </c>
      <c r="C1310" s="8">
        <f>'1_Inputs'!$H$7</f>
        <v>0.0305712824819807</v>
      </c>
      <c r="D1310" s="6">
        <f>D1309*EXP(-'1_Inputs'!$H$7*(1/365))</f>
        <v>0.924642492958883</v>
      </c>
    </row>
    <row r="1311" spans="1:4">
      <c r="A1311" s="10">
        <v>1308</v>
      </c>
      <c r="B1311" s="12">
        <f t="shared" si="20"/>
        <v>3.58356164383562</v>
      </c>
      <c r="C1311" s="14">
        <f>'1_Inputs'!$H$7</f>
        <v>0.0305712824819807</v>
      </c>
      <c r="D1311" s="12">
        <f>D1310*EXP(-'1_Inputs'!$H$7*(1/365))</f>
        <v>0.924565050977841</v>
      </c>
    </row>
    <row r="1312" spans="1:4">
      <c r="A1312" s="4">
        <v>1309</v>
      </c>
      <c r="B1312" s="6">
        <f t="shared" si="20"/>
        <v>3.58630136986301</v>
      </c>
      <c r="C1312" s="8">
        <f>'1_Inputs'!$H$7</f>
        <v>0.0305712824819807</v>
      </c>
      <c r="D1312" s="6">
        <f>D1311*EXP(-'1_Inputs'!$H$7*(1/365))</f>
        <v>0.924487615482831</v>
      </c>
    </row>
    <row r="1313" spans="1:4">
      <c r="A1313" s="10">
        <v>1310</v>
      </c>
      <c r="B1313" s="12">
        <f t="shared" si="20"/>
        <v>3.58904109589041</v>
      </c>
      <c r="C1313" s="14">
        <f>'1_Inputs'!$H$7</f>
        <v>0.0305712824819807</v>
      </c>
      <c r="D1313" s="12">
        <f>D1312*EXP(-'1_Inputs'!$H$7*(1/365))</f>
        <v>0.924410186473309</v>
      </c>
    </row>
    <row r="1314" spans="1:4">
      <c r="A1314" s="4">
        <v>1311</v>
      </c>
      <c r="B1314" s="6">
        <f t="shared" si="20"/>
        <v>3.59178082191781</v>
      </c>
      <c r="C1314" s="8">
        <f>'1_Inputs'!$H$7</f>
        <v>0.0305712824819807</v>
      </c>
      <c r="D1314" s="6">
        <f>D1313*EXP(-'1_Inputs'!$H$7*(1/365))</f>
        <v>0.924332763948732</v>
      </c>
    </row>
    <row r="1315" spans="1:4">
      <c r="A1315" s="10">
        <v>1312</v>
      </c>
      <c r="B1315" s="12">
        <f t="shared" si="20"/>
        <v>3.59452054794521</v>
      </c>
      <c r="C1315" s="14">
        <f>'1_Inputs'!$H$7</f>
        <v>0.0305712824819807</v>
      </c>
      <c r="D1315" s="12">
        <f>D1314*EXP(-'1_Inputs'!$H$7*(1/365))</f>
        <v>0.924255347908558</v>
      </c>
    </row>
    <row r="1316" spans="1:4">
      <c r="A1316" s="4">
        <v>1313</v>
      </c>
      <c r="B1316" s="6">
        <f t="shared" si="20"/>
        <v>3.5972602739726</v>
      </c>
      <c r="C1316" s="8">
        <f>'1_Inputs'!$H$7</f>
        <v>0.0305712824819807</v>
      </c>
      <c r="D1316" s="6">
        <f>D1315*EXP(-'1_Inputs'!$H$7*(1/365))</f>
        <v>0.924177938352242</v>
      </c>
    </row>
    <row r="1317" spans="1:4">
      <c r="A1317" s="10">
        <v>1314</v>
      </c>
      <c r="B1317" s="12">
        <f t="shared" si="20"/>
        <v>3.6</v>
      </c>
      <c r="C1317" s="14">
        <f>'1_Inputs'!$H$7</f>
        <v>0.0305712824819807</v>
      </c>
      <c r="D1317" s="12">
        <f>D1316*EXP(-'1_Inputs'!$H$7*(1/365))</f>
        <v>0.924100535279243</v>
      </c>
    </row>
    <row r="1318" spans="1:4">
      <c r="A1318" s="4">
        <v>1315</v>
      </c>
      <c r="B1318" s="6">
        <f t="shared" si="20"/>
        <v>3.6027397260274</v>
      </c>
      <c r="C1318" s="8">
        <f>'1_Inputs'!$H$7</f>
        <v>0.0305712824819807</v>
      </c>
      <c r="D1318" s="6">
        <f>D1317*EXP(-'1_Inputs'!$H$7*(1/365))</f>
        <v>0.924023138689016</v>
      </c>
    </row>
    <row r="1319" spans="1:4">
      <c r="A1319" s="10">
        <v>1316</v>
      </c>
      <c r="B1319" s="12">
        <f t="shared" si="20"/>
        <v>3.60547945205479</v>
      </c>
      <c r="C1319" s="14">
        <f>'1_Inputs'!$H$7</f>
        <v>0.0305712824819807</v>
      </c>
      <c r="D1319" s="12">
        <f>D1318*EXP(-'1_Inputs'!$H$7*(1/365))</f>
        <v>0.923945748581019</v>
      </c>
    </row>
    <row r="1320" spans="1:4">
      <c r="A1320" s="4">
        <v>1317</v>
      </c>
      <c r="B1320" s="6">
        <f t="shared" si="20"/>
        <v>3.60821917808219</v>
      </c>
      <c r="C1320" s="8">
        <f>'1_Inputs'!$H$7</f>
        <v>0.0305712824819807</v>
      </c>
      <c r="D1320" s="6">
        <f>D1319*EXP(-'1_Inputs'!$H$7*(1/365))</f>
        <v>0.923868364954709</v>
      </c>
    </row>
    <row r="1321" spans="1:4">
      <c r="A1321" s="10">
        <v>1318</v>
      </c>
      <c r="B1321" s="12">
        <f t="shared" si="20"/>
        <v>3.61095890410959</v>
      </c>
      <c r="C1321" s="14">
        <f>'1_Inputs'!$H$7</f>
        <v>0.0305712824819807</v>
      </c>
      <c r="D1321" s="12">
        <f>D1320*EXP(-'1_Inputs'!$H$7*(1/365))</f>
        <v>0.923790987809544</v>
      </c>
    </row>
    <row r="1322" spans="1:4">
      <c r="A1322" s="4">
        <v>1319</v>
      </c>
      <c r="B1322" s="6">
        <f t="shared" si="20"/>
        <v>3.61369863013699</v>
      </c>
      <c r="C1322" s="8">
        <f>'1_Inputs'!$H$7</f>
        <v>0.0305712824819807</v>
      </c>
      <c r="D1322" s="6">
        <f>D1321*EXP(-'1_Inputs'!$H$7*(1/365))</f>
        <v>0.92371361714498</v>
      </c>
    </row>
    <row r="1323" spans="1:4">
      <c r="A1323" s="10">
        <v>1320</v>
      </c>
      <c r="B1323" s="12">
        <f t="shared" si="20"/>
        <v>3.61643835616438</v>
      </c>
      <c r="C1323" s="14">
        <f>'1_Inputs'!$H$7</f>
        <v>0.0305712824819807</v>
      </c>
      <c r="D1323" s="12">
        <f>D1322*EXP(-'1_Inputs'!$H$7*(1/365))</f>
        <v>0.923636252960474</v>
      </c>
    </row>
    <row r="1324" spans="1:4">
      <c r="A1324" s="4">
        <v>1321</v>
      </c>
      <c r="B1324" s="6">
        <f t="shared" si="20"/>
        <v>3.61917808219178</v>
      </c>
      <c r="C1324" s="8">
        <f>'1_Inputs'!$H$7</f>
        <v>0.0305712824819807</v>
      </c>
      <c r="D1324" s="6">
        <f>D1323*EXP(-'1_Inputs'!$H$7*(1/365))</f>
        <v>0.923558895255485</v>
      </c>
    </row>
    <row r="1325" spans="1:4">
      <c r="A1325" s="10">
        <v>1322</v>
      </c>
      <c r="B1325" s="12">
        <f t="shared" si="20"/>
        <v>3.62191780821918</v>
      </c>
      <c r="C1325" s="14">
        <f>'1_Inputs'!$H$7</f>
        <v>0.0305712824819807</v>
      </c>
      <c r="D1325" s="12">
        <f>D1324*EXP(-'1_Inputs'!$H$7*(1/365))</f>
        <v>0.923481544029468</v>
      </c>
    </row>
    <row r="1326" spans="1:4">
      <c r="A1326" s="4">
        <v>1323</v>
      </c>
      <c r="B1326" s="6">
        <f t="shared" si="20"/>
        <v>3.62465753424658</v>
      </c>
      <c r="C1326" s="8">
        <f>'1_Inputs'!$H$7</f>
        <v>0.0305712824819807</v>
      </c>
      <c r="D1326" s="6">
        <f>D1325*EXP(-'1_Inputs'!$H$7*(1/365))</f>
        <v>0.923404199281882</v>
      </c>
    </row>
    <row r="1327" spans="1:4">
      <c r="A1327" s="10">
        <v>1324</v>
      </c>
      <c r="B1327" s="12">
        <f t="shared" si="20"/>
        <v>3.62739726027397</v>
      </c>
      <c r="C1327" s="14">
        <f>'1_Inputs'!$H$7</f>
        <v>0.0305712824819807</v>
      </c>
      <c r="D1327" s="12">
        <f>D1326*EXP(-'1_Inputs'!$H$7*(1/365))</f>
        <v>0.923326861012184</v>
      </c>
    </row>
    <row r="1328" spans="1:4">
      <c r="A1328" s="4">
        <v>1325</v>
      </c>
      <c r="B1328" s="6">
        <f t="shared" si="20"/>
        <v>3.63013698630137</v>
      </c>
      <c r="C1328" s="8">
        <f>'1_Inputs'!$H$7</f>
        <v>0.0305712824819807</v>
      </c>
      <c r="D1328" s="6">
        <f>D1327*EXP(-'1_Inputs'!$H$7*(1/365))</f>
        <v>0.923249529219832</v>
      </c>
    </row>
    <row r="1329" spans="1:4">
      <c r="A1329" s="10">
        <v>1326</v>
      </c>
      <c r="B1329" s="12">
        <f t="shared" si="20"/>
        <v>3.63287671232877</v>
      </c>
      <c r="C1329" s="14">
        <f>'1_Inputs'!$H$7</f>
        <v>0.0305712824819807</v>
      </c>
      <c r="D1329" s="12">
        <f>D1328*EXP(-'1_Inputs'!$H$7*(1/365))</f>
        <v>0.923172203904282</v>
      </c>
    </row>
    <row r="1330" spans="1:4">
      <c r="A1330" s="4">
        <v>1327</v>
      </c>
      <c r="B1330" s="6">
        <f t="shared" si="20"/>
        <v>3.63561643835616</v>
      </c>
      <c r="C1330" s="8">
        <f>'1_Inputs'!$H$7</f>
        <v>0.0305712824819807</v>
      </c>
      <c r="D1330" s="6">
        <f>D1329*EXP(-'1_Inputs'!$H$7*(1/365))</f>
        <v>0.923094885064993</v>
      </c>
    </row>
    <row r="1331" spans="1:4">
      <c r="A1331" s="10">
        <v>1328</v>
      </c>
      <c r="B1331" s="12">
        <f t="shared" si="20"/>
        <v>3.63835616438356</v>
      </c>
      <c r="C1331" s="14">
        <f>'1_Inputs'!$H$7</f>
        <v>0.0305712824819807</v>
      </c>
      <c r="D1331" s="12">
        <f>D1330*EXP(-'1_Inputs'!$H$7*(1/365))</f>
        <v>0.923017572701422</v>
      </c>
    </row>
    <row r="1332" spans="1:4">
      <c r="A1332" s="4">
        <v>1329</v>
      </c>
      <c r="B1332" s="6">
        <f t="shared" si="20"/>
        <v>3.64109589041096</v>
      </c>
      <c r="C1332" s="8">
        <f>'1_Inputs'!$H$7</f>
        <v>0.0305712824819807</v>
      </c>
      <c r="D1332" s="6">
        <f>D1331*EXP(-'1_Inputs'!$H$7*(1/365))</f>
        <v>0.922940266813027</v>
      </c>
    </row>
    <row r="1333" spans="1:4">
      <c r="A1333" s="10">
        <v>1330</v>
      </c>
      <c r="B1333" s="12">
        <f t="shared" si="20"/>
        <v>3.64383561643836</v>
      </c>
      <c r="C1333" s="14">
        <f>'1_Inputs'!$H$7</f>
        <v>0.0305712824819807</v>
      </c>
      <c r="D1333" s="12">
        <f>D1332*EXP(-'1_Inputs'!$H$7*(1/365))</f>
        <v>0.922862967399265</v>
      </c>
    </row>
    <row r="1334" spans="1:4">
      <c r="A1334" s="4">
        <v>1331</v>
      </c>
      <c r="B1334" s="6">
        <f t="shared" si="20"/>
        <v>3.64657534246575</v>
      </c>
      <c r="C1334" s="8">
        <f>'1_Inputs'!$H$7</f>
        <v>0.0305712824819807</v>
      </c>
      <c r="D1334" s="6">
        <f>D1333*EXP(-'1_Inputs'!$H$7*(1/365))</f>
        <v>0.922785674459594</v>
      </c>
    </row>
    <row r="1335" spans="1:4">
      <c r="A1335" s="10">
        <v>1332</v>
      </c>
      <c r="B1335" s="12">
        <f t="shared" si="20"/>
        <v>3.64931506849315</v>
      </c>
      <c r="C1335" s="14">
        <f>'1_Inputs'!$H$7</f>
        <v>0.0305712824819807</v>
      </c>
      <c r="D1335" s="12">
        <f>D1334*EXP(-'1_Inputs'!$H$7*(1/365))</f>
        <v>0.922708387993472</v>
      </c>
    </row>
    <row r="1336" spans="1:4">
      <c r="A1336" s="4">
        <v>1333</v>
      </c>
      <c r="B1336" s="6">
        <f t="shared" si="20"/>
        <v>3.65205479452055</v>
      </c>
      <c r="C1336" s="8">
        <f>'1_Inputs'!$H$7</f>
        <v>0.0305712824819807</v>
      </c>
      <c r="D1336" s="6">
        <f>D1335*EXP(-'1_Inputs'!$H$7*(1/365))</f>
        <v>0.922631108000356</v>
      </c>
    </row>
    <row r="1337" spans="1:4">
      <c r="A1337" s="10">
        <v>1334</v>
      </c>
      <c r="B1337" s="12">
        <f t="shared" si="20"/>
        <v>3.65479452054794</v>
      </c>
      <c r="C1337" s="14">
        <f>'1_Inputs'!$H$7</f>
        <v>0.0305712824819807</v>
      </c>
      <c r="D1337" s="12">
        <f>D1336*EXP(-'1_Inputs'!$H$7*(1/365))</f>
        <v>0.922553834479705</v>
      </c>
    </row>
    <row r="1338" spans="1:4">
      <c r="A1338" s="4">
        <v>1335</v>
      </c>
      <c r="B1338" s="6">
        <f t="shared" si="20"/>
        <v>3.65753424657534</v>
      </c>
      <c r="C1338" s="8">
        <f>'1_Inputs'!$H$7</f>
        <v>0.0305712824819807</v>
      </c>
      <c r="D1338" s="6">
        <f>D1337*EXP(-'1_Inputs'!$H$7*(1/365))</f>
        <v>0.922476567430977</v>
      </c>
    </row>
    <row r="1339" spans="1:4">
      <c r="A1339" s="10">
        <v>1336</v>
      </c>
      <c r="B1339" s="12">
        <f t="shared" si="20"/>
        <v>3.66027397260274</v>
      </c>
      <c r="C1339" s="14">
        <f>'1_Inputs'!$H$7</f>
        <v>0.0305712824819807</v>
      </c>
      <c r="D1339" s="12">
        <f>D1338*EXP(-'1_Inputs'!$H$7*(1/365))</f>
        <v>0.922399306853629</v>
      </c>
    </row>
    <row r="1340" spans="1:4">
      <c r="A1340" s="4">
        <v>1337</v>
      </c>
      <c r="B1340" s="6">
        <f t="shared" si="20"/>
        <v>3.66301369863014</v>
      </c>
      <c r="C1340" s="8">
        <f>'1_Inputs'!$H$7</f>
        <v>0.0305712824819807</v>
      </c>
      <c r="D1340" s="6">
        <f>D1339*EXP(-'1_Inputs'!$H$7*(1/365))</f>
        <v>0.92232205274712</v>
      </c>
    </row>
    <row r="1341" spans="1:4">
      <c r="A1341" s="10">
        <v>1338</v>
      </c>
      <c r="B1341" s="12">
        <f t="shared" si="20"/>
        <v>3.66575342465753</v>
      </c>
      <c r="C1341" s="14">
        <f>'1_Inputs'!$H$7</f>
        <v>0.0305712824819807</v>
      </c>
      <c r="D1341" s="12">
        <f>D1340*EXP(-'1_Inputs'!$H$7*(1/365))</f>
        <v>0.922244805110907</v>
      </c>
    </row>
    <row r="1342" spans="1:4">
      <c r="A1342" s="4">
        <v>1339</v>
      </c>
      <c r="B1342" s="6">
        <f t="shared" si="20"/>
        <v>3.66849315068493</v>
      </c>
      <c r="C1342" s="8">
        <f>'1_Inputs'!$H$7</f>
        <v>0.0305712824819807</v>
      </c>
      <c r="D1342" s="6">
        <f>D1341*EXP(-'1_Inputs'!$H$7*(1/365))</f>
        <v>0.922167563944448</v>
      </c>
    </row>
    <row r="1343" spans="1:4">
      <c r="A1343" s="10">
        <v>1340</v>
      </c>
      <c r="B1343" s="12">
        <f t="shared" si="20"/>
        <v>3.67123287671233</v>
      </c>
      <c r="C1343" s="14">
        <f>'1_Inputs'!$H$7</f>
        <v>0.0305712824819807</v>
      </c>
      <c r="D1343" s="12">
        <f>D1342*EXP(-'1_Inputs'!$H$7*(1/365))</f>
        <v>0.922090329247202</v>
      </c>
    </row>
    <row r="1344" spans="1:4">
      <c r="A1344" s="4">
        <v>1341</v>
      </c>
      <c r="B1344" s="6">
        <f t="shared" si="20"/>
        <v>3.67397260273973</v>
      </c>
      <c r="C1344" s="8">
        <f>'1_Inputs'!$H$7</f>
        <v>0.0305712824819807</v>
      </c>
      <c r="D1344" s="6">
        <f>D1343*EXP(-'1_Inputs'!$H$7*(1/365))</f>
        <v>0.922013101018628</v>
      </c>
    </row>
    <row r="1345" spans="1:4">
      <c r="A1345" s="10">
        <v>1342</v>
      </c>
      <c r="B1345" s="12">
        <f t="shared" si="20"/>
        <v>3.67671232876712</v>
      </c>
      <c r="C1345" s="14">
        <f>'1_Inputs'!$H$7</f>
        <v>0.0305712824819807</v>
      </c>
      <c r="D1345" s="12">
        <f>D1344*EXP(-'1_Inputs'!$H$7*(1/365))</f>
        <v>0.921935879258182</v>
      </c>
    </row>
    <row r="1346" spans="1:4">
      <c r="A1346" s="4">
        <v>1343</v>
      </c>
      <c r="B1346" s="6">
        <f t="shared" si="20"/>
        <v>3.67945205479452</v>
      </c>
      <c r="C1346" s="8">
        <f>'1_Inputs'!$H$7</f>
        <v>0.0305712824819807</v>
      </c>
      <c r="D1346" s="6">
        <f>D1345*EXP(-'1_Inputs'!$H$7*(1/365))</f>
        <v>0.921858663965323</v>
      </c>
    </row>
    <row r="1347" spans="1:4">
      <c r="A1347" s="10">
        <v>1344</v>
      </c>
      <c r="B1347" s="12">
        <f t="shared" ref="B1347:B1410" si="21">A1347/365</f>
        <v>3.68219178082192</v>
      </c>
      <c r="C1347" s="14">
        <f>'1_Inputs'!$H$7</f>
        <v>0.0305712824819807</v>
      </c>
      <c r="D1347" s="12">
        <f>D1346*EXP(-'1_Inputs'!$H$7*(1/365))</f>
        <v>0.921781455139511</v>
      </c>
    </row>
    <row r="1348" spans="1:4">
      <c r="A1348" s="4">
        <v>1345</v>
      </c>
      <c r="B1348" s="6">
        <f t="shared" si="21"/>
        <v>3.68493150684931</v>
      </c>
      <c r="C1348" s="8">
        <f>'1_Inputs'!$H$7</f>
        <v>0.0305712824819807</v>
      </c>
      <c r="D1348" s="6">
        <f>D1347*EXP(-'1_Inputs'!$H$7*(1/365))</f>
        <v>0.921704252780202</v>
      </c>
    </row>
    <row r="1349" spans="1:4">
      <c r="A1349" s="10">
        <v>1346</v>
      </c>
      <c r="B1349" s="12">
        <f t="shared" si="21"/>
        <v>3.68767123287671</v>
      </c>
      <c r="C1349" s="14">
        <f>'1_Inputs'!$H$7</f>
        <v>0.0305712824819807</v>
      </c>
      <c r="D1349" s="12">
        <f>D1348*EXP(-'1_Inputs'!$H$7*(1/365))</f>
        <v>0.921627056886856</v>
      </c>
    </row>
    <row r="1350" spans="1:4">
      <c r="A1350" s="4">
        <v>1347</v>
      </c>
      <c r="B1350" s="6">
        <f t="shared" si="21"/>
        <v>3.69041095890411</v>
      </c>
      <c r="C1350" s="8">
        <f>'1_Inputs'!$H$7</f>
        <v>0.0305712824819807</v>
      </c>
      <c r="D1350" s="6">
        <f>D1349*EXP(-'1_Inputs'!$H$7*(1/365))</f>
        <v>0.92154986745893</v>
      </c>
    </row>
    <row r="1351" spans="1:4">
      <c r="A1351" s="10">
        <v>1348</v>
      </c>
      <c r="B1351" s="12">
        <f t="shared" si="21"/>
        <v>3.69315068493151</v>
      </c>
      <c r="C1351" s="14">
        <f>'1_Inputs'!$H$7</f>
        <v>0.0305712824819807</v>
      </c>
      <c r="D1351" s="12">
        <f>D1350*EXP(-'1_Inputs'!$H$7*(1/365))</f>
        <v>0.921472684495884</v>
      </c>
    </row>
    <row r="1352" spans="1:4">
      <c r="A1352" s="4">
        <v>1349</v>
      </c>
      <c r="B1352" s="6">
        <f t="shared" si="21"/>
        <v>3.6958904109589</v>
      </c>
      <c r="C1352" s="8">
        <f>'1_Inputs'!$H$7</f>
        <v>0.0305712824819807</v>
      </c>
      <c r="D1352" s="6">
        <f>D1351*EXP(-'1_Inputs'!$H$7*(1/365))</f>
        <v>0.921395507997176</v>
      </c>
    </row>
    <row r="1353" spans="1:4">
      <c r="A1353" s="10">
        <v>1350</v>
      </c>
      <c r="B1353" s="12">
        <f t="shared" si="21"/>
        <v>3.6986301369863</v>
      </c>
      <c r="C1353" s="14">
        <f>'1_Inputs'!$H$7</f>
        <v>0.0305712824819807</v>
      </c>
      <c r="D1353" s="12">
        <f>D1352*EXP(-'1_Inputs'!$H$7*(1/365))</f>
        <v>0.921318337962265</v>
      </c>
    </row>
    <row r="1354" spans="1:4">
      <c r="A1354" s="4">
        <v>1351</v>
      </c>
      <c r="B1354" s="6">
        <f t="shared" si="21"/>
        <v>3.7013698630137</v>
      </c>
      <c r="C1354" s="8">
        <f>'1_Inputs'!$H$7</f>
        <v>0.0305712824819807</v>
      </c>
      <c r="D1354" s="6">
        <f>D1353*EXP(-'1_Inputs'!$H$7*(1/365))</f>
        <v>0.921241174390609</v>
      </c>
    </row>
    <row r="1355" spans="1:4">
      <c r="A1355" s="10">
        <v>1352</v>
      </c>
      <c r="B1355" s="12">
        <f t="shared" si="21"/>
        <v>3.7041095890411</v>
      </c>
      <c r="C1355" s="14">
        <f>'1_Inputs'!$H$7</f>
        <v>0.0305712824819807</v>
      </c>
      <c r="D1355" s="12">
        <f>D1354*EXP(-'1_Inputs'!$H$7*(1/365))</f>
        <v>0.921164017281666</v>
      </c>
    </row>
    <row r="1356" spans="1:4">
      <c r="A1356" s="4">
        <v>1353</v>
      </c>
      <c r="B1356" s="6">
        <f t="shared" si="21"/>
        <v>3.70684931506849</v>
      </c>
      <c r="C1356" s="8">
        <f>'1_Inputs'!$H$7</f>
        <v>0.0305712824819807</v>
      </c>
      <c r="D1356" s="6">
        <f>D1355*EXP(-'1_Inputs'!$H$7*(1/365))</f>
        <v>0.921086866634896</v>
      </c>
    </row>
    <row r="1357" spans="1:4">
      <c r="A1357" s="10">
        <v>1354</v>
      </c>
      <c r="B1357" s="12">
        <f t="shared" si="21"/>
        <v>3.70958904109589</v>
      </c>
      <c r="C1357" s="14">
        <f>'1_Inputs'!$H$7</f>
        <v>0.0305712824819807</v>
      </c>
      <c r="D1357" s="12">
        <f>D1356*EXP(-'1_Inputs'!$H$7*(1/365))</f>
        <v>0.921009722449758</v>
      </c>
    </row>
    <row r="1358" spans="1:4">
      <c r="A1358" s="4">
        <v>1355</v>
      </c>
      <c r="B1358" s="6">
        <f t="shared" si="21"/>
        <v>3.71232876712329</v>
      </c>
      <c r="C1358" s="8">
        <f>'1_Inputs'!$H$7</f>
        <v>0.0305712824819807</v>
      </c>
      <c r="D1358" s="6">
        <f>D1357*EXP(-'1_Inputs'!$H$7*(1/365))</f>
        <v>0.92093258472571</v>
      </c>
    </row>
    <row r="1359" spans="1:4">
      <c r="A1359" s="10">
        <v>1356</v>
      </c>
      <c r="B1359" s="12">
        <f t="shared" si="21"/>
        <v>3.71506849315068</v>
      </c>
      <c r="C1359" s="14">
        <f>'1_Inputs'!$H$7</f>
        <v>0.0305712824819807</v>
      </c>
      <c r="D1359" s="12">
        <f>D1358*EXP(-'1_Inputs'!$H$7*(1/365))</f>
        <v>0.92085545346221</v>
      </c>
    </row>
    <row r="1360" spans="1:4">
      <c r="A1360" s="4">
        <v>1357</v>
      </c>
      <c r="B1360" s="6">
        <f t="shared" si="21"/>
        <v>3.71780821917808</v>
      </c>
      <c r="C1360" s="8">
        <f>'1_Inputs'!$H$7</f>
        <v>0.0305712824819807</v>
      </c>
      <c r="D1360" s="6">
        <f>D1359*EXP(-'1_Inputs'!$H$7*(1/365))</f>
        <v>0.920778328658719</v>
      </c>
    </row>
    <row r="1361" spans="1:5">
      <c r="A1361" s="10">
        <v>1358</v>
      </c>
      <c r="B1361" s="12">
        <f t="shared" si="21"/>
        <v>3.72054794520548</v>
      </c>
      <c r="C1361" s="14">
        <f>'1_Inputs'!$H$7</f>
        <v>0.0305712824819807</v>
      </c>
      <c r="D1361" s="12">
        <f>D1360*EXP(-'1_Inputs'!$H$7*(1/365))</f>
        <v>0.920701210314695</v>
      </c>
    </row>
    <row r="1362" spans="1:5">
      <c r="A1362" s="4">
        <v>1359</v>
      </c>
      <c r="B1362" s="6">
        <f t="shared" si="21"/>
        <v>3.72328767123288</v>
      </c>
      <c r="C1362" s="8">
        <f>'1_Inputs'!$H$7</f>
        <v>0.0305712824819807</v>
      </c>
      <c r="D1362" s="6">
        <f>D1361*EXP(-'1_Inputs'!$H$7*(1/365))</f>
        <v>0.920624098429596</v>
      </c>
    </row>
    <row r="1363" spans="1:5">
      <c r="A1363" s="10">
        <v>1360</v>
      </c>
      <c r="B1363" s="12">
        <f t="shared" si="21"/>
        <v>3.72602739726027</v>
      </c>
      <c r="C1363" s="14">
        <f>'1_Inputs'!$H$7</f>
        <v>0.0305712824819807</v>
      </c>
      <c r="D1363" s="12">
        <f>D1362*EXP(-'1_Inputs'!$H$7*(1/365))</f>
        <v>0.920546993002883</v>
      </c>
    </row>
    <row r="1364" spans="1:5">
      <c r="A1364" s="4">
        <v>1361</v>
      </c>
      <c r="B1364" s="6">
        <f t="shared" si="21"/>
        <v>3.72876712328767</v>
      </c>
      <c r="C1364" s="8">
        <f>'1_Inputs'!$H$7</f>
        <v>0.0305712824819807</v>
      </c>
      <c r="D1364" s="6">
        <f>D1363*EXP(-'1_Inputs'!$H$7*(1/365))</f>
        <v>0.920469894034013</v>
      </c>
    </row>
    <row r="1365" spans="1:5">
      <c r="A1365" s="10">
        <v>1362</v>
      </c>
      <c r="B1365" s="12">
        <f t="shared" si="21"/>
        <v>3.73150684931507</v>
      </c>
      <c r="C1365" s="14">
        <f>'1_Inputs'!$H$7</f>
        <v>0.0305712824819807</v>
      </c>
      <c r="D1365" s="12">
        <f>D1364*EXP(-'1_Inputs'!$H$7*(1/365))</f>
        <v>0.920392801522447</v>
      </c>
    </row>
    <row r="1366" spans="1:5">
      <c r="A1366" s="4">
        <v>1363</v>
      </c>
      <c r="B1366" s="6">
        <f t="shared" si="21"/>
        <v>3.73424657534247</v>
      </c>
      <c r="C1366" s="8">
        <f>'1_Inputs'!$H$7</f>
        <v>0.0305712824819807</v>
      </c>
      <c r="D1366" s="6">
        <f>D1365*EXP(-'1_Inputs'!$H$7*(1/365))</f>
        <v>0.920315715467643</v>
      </c>
    </row>
    <row r="1367" spans="1:5">
      <c r="A1367" s="10">
        <v>1364</v>
      </c>
      <c r="B1367" s="12">
        <f t="shared" si="21"/>
        <v>3.73698630136986</v>
      </c>
      <c r="C1367" s="14">
        <f>'1_Inputs'!$H$7</f>
        <v>0.0305712824819807</v>
      </c>
      <c r="D1367" s="12">
        <f>D1366*EXP(-'1_Inputs'!$H$7*(1/365))</f>
        <v>0.92023863586906</v>
      </c>
    </row>
    <row r="1368" spans="1:5">
      <c r="A1368" s="4">
        <v>1365</v>
      </c>
      <c r="B1368" s="6">
        <f t="shared" si="21"/>
        <v>3.73972602739726</v>
      </c>
      <c r="C1368" s="8">
        <f>'1_Inputs'!$H$7</f>
        <v>0.0305712824819807</v>
      </c>
      <c r="D1368" s="6">
        <f>D1367*EXP(-'1_Inputs'!$H$7*(1/365))</f>
        <v>0.920161562726158</v>
      </c>
    </row>
    <row r="1369" spans="1:5">
      <c r="A1369" s="10">
        <v>1366</v>
      </c>
      <c r="B1369" s="12">
        <f t="shared" si="21"/>
        <v>3.74246575342466</v>
      </c>
      <c r="C1369" s="14">
        <f>'1_Inputs'!$H$7</f>
        <v>0.0305712824819807</v>
      </c>
      <c r="D1369" s="12">
        <f>D1368*EXP(-'1_Inputs'!$H$7*(1/365))</f>
        <v>0.920084496038397</v>
      </c>
    </row>
    <row r="1370" spans="1:5">
      <c r="A1370" s="4">
        <v>1367</v>
      </c>
      <c r="B1370" s="6">
        <f t="shared" si="21"/>
        <v>3.74520547945205</v>
      </c>
      <c r="C1370" s="8">
        <f>'1_Inputs'!$H$7</f>
        <v>0.0305712824819807</v>
      </c>
      <c r="D1370" s="6">
        <f>D1369*EXP(-'1_Inputs'!$H$7*(1/365))</f>
        <v>0.920007435805235</v>
      </c>
    </row>
    <row r="1371" spans="1:5">
      <c r="A1371" s="10">
        <v>1368</v>
      </c>
      <c r="B1371" s="12">
        <f t="shared" si="21"/>
        <v>3.74794520547945</v>
      </c>
      <c r="C1371" s="14">
        <f>'1_Inputs'!$H$7</f>
        <v>0.0305712824819807</v>
      </c>
      <c r="D1371" s="12">
        <f>D1370*EXP(-'1_Inputs'!$H$7*(1/365))</f>
        <v>0.919930382026132</v>
      </c>
      <c r="E1371" s="43" t="s">
        <v>59</v>
      </c>
    </row>
    <row r="1372" spans="1:5">
      <c r="A1372" s="4">
        <v>1369</v>
      </c>
      <c r="B1372" s="6">
        <f t="shared" si="21"/>
        <v>3.75068493150685</v>
      </c>
      <c r="C1372" s="8">
        <f>'1_Inputs'!$H$7</f>
        <v>0.0305712824819807</v>
      </c>
      <c r="D1372" s="6">
        <f>D1371*EXP(-'1_Inputs'!$H$7*(1/365))</f>
        <v>0.919853334700547</v>
      </c>
    </row>
    <row r="1373" spans="1:5">
      <c r="A1373" s="10">
        <v>1370</v>
      </c>
      <c r="B1373" s="12">
        <f t="shared" si="21"/>
        <v>3.75342465753425</v>
      </c>
      <c r="C1373" s="14">
        <f>'1_Inputs'!$H$7</f>
        <v>0.0305712824819807</v>
      </c>
      <c r="D1373" s="12">
        <f>D1372*EXP(-'1_Inputs'!$H$7*(1/365))</f>
        <v>0.91977629382794</v>
      </c>
    </row>
    <row r="1374" spans="1:5">
      <c r="A1374" s="4">
        <v>1371</v>
      </c>
      <c r="B1374" s="6">
        <f t="shared" si="21"/>
        <v>3.75616438356164</v>
      </c>
      <c r="C1374" s="8">
        <f>'1_Inputs'!$H$7</f>
        <v>0.0305712824819807</v>
      </c>
      <c r="D1374" s="6">
        <f>D1373*EXP(-'1_Inputs'!$H$7*(1/365))</f>
        <v>0.91969925940777</v>
      </c>
    </row>
    <row r="1375" spans="1:5">
      <c r="A1375" s="10">
        <v>1372</v>
      </c>
      <c r="B1375" s="12">
        <f t="shared" si="21"/>
        <v>3.75890410958904</v>
      </c>
      <c r="C1375" s="14">
        <f>'1_Inputs'!$H$7</f>
        <v>0.0305712824819807</v>
      </c>
      <c r="D1375" s="12">
        <f>D1374*EXP(-'1_Inputs'!$H$7*(1/365))</f>
        <v>0.919622231439498</v>
      </c>
    </row>
    <row r="1376" spans="1:5">
      <c r="A1376" s="4">
        <v>1373</v>
      </c>
      <c r="B1376" s="6">
        <f t="shared" si="21"/>
        <v>3.76164383561644</v>
      </c>
      <c r="C1376" s="8">
        <f>'1_Inputs'!$H$7</f>
        <v>0.0305712824819807</v>
      </c>
      <c r="D1376" s="6">
        <f>D1375*EXP(-'1_Inputs'!$H$7*(1/365))</f>
        <v>0.919545209922582</v>
      </c>
    </row>
    <row r="1377" spans="1:4">
      <c r="A1377" s="10">
        <v>1374</v>
      </c>
      <c r="B1377" s="12">
        <f t="shared" si="21"/>
        <v>3.76438356164384</v>
      </c>
      <c r="C1377" s="14">
        <f>'1_Inputs'!$H$7</f>
        <v>0.0305712824819807</v>
      </c>
      <c r="D1377" s="12">
        <f>D1376*EXP(-'1_Inputs'!$H$7*(1/365))</f>
        <v>0.919468194856482</v>
      </c>
    </row>
    <row r="1378" spans="1:4">
      <c r="A1378" s="4">
        <v>1375</v>
      </c>
      <c r="B1378" s="6">
        <f t="shared" si="21"/>
        <v>3.76712328767123</v>
      </c>
      <c r="C1378" s="8">
        <f>'1_Inputs'!$H$7</f>
        <v>0.0305712824819807</v>
      </c>
      <c r="D1378" s="6">
        <f>D1377*EXP(-'1_Inputs'!$H$7*(1/365))</f>
        <v>0.919391186240658</v>
      </c>
    </row>
    <row r="1379" spans="1:4">
      <c r="A1379" s="10">
        <v>1376</v>
      </c>
      <c r="B1379" s="12">
        <f t="shared" si="21"/>
        <v>3.76986301369863</v>
      </c>
      <c r="C1379" s="14">
        <f>'1_Inputs'!$H$7</f>
        <v>0.0305712824819807</v>
      </c>
      <c r="D1379" s="12">
        <f>D1378*EXP(-'1_Inputs'!$H$7*(1/365))</f>
        <v>0.91931418407457</v>
      </c>
    </row>
    <row r="1380" spans="1:4">
      <c r="A1380" s="4">
        <v>1377</v>
      </c>
      <c r="B1380" s="6">
        <f t="shared" si="21"/>
        <v>3.77260273972603</v>
      </c>
      <c r="C1380" s="8">
        <f>'1_Inputs'!$H$7</f>
        <v>0.0305712824819807</v>
      </c>
      <c r="D1380" s="6">
        <f>D1379*EXP(-'1_Inputs'!$H$7*(1/365))</f>
        <v>0.919237188357678</v>
      </c>
    </row>
    <row r="1381" spans="1:4">
      <c r="A1381" s="10">
        <v>1378</v>
      </c>
      <c r="B1381" s="12">
        <f t="shared" si="21"/>
        <v>3.77534246575342</v>
      </c>
      <c r="C1381" s="14">
        <f>'1_Inputs'!$H$7</f>
        <v>0.0305712824819807</v>
      </c>
      <c r="D1381" s="12">
        <f>D1380*EXP(-'1_Inputs'!$H$7*(1/365))</f>
        <v>0.919160199089441</v>
      </c>
    </row>
    <row r="1382" spans="1:4">
      <c r="A1382" s="4">
        <v>1379</v>
      </c>
      <c r="B1382" s="6">
        <f t="shared" si="21"/>
        <v>3.77808219178082</v>
      </c>
      <c r="C1382" s="8">
        <f>'1_Inputs'!$H$7</f>
        <v>0.0305712824819807</v>
      </c>
      <c r="D1382" s="6">
        <f>D1381*EXP(-'1_Inputs'!$H$7*(1/365))</f>
        <v>0.919083216269319</v>
      </c>
    </row>
    <row r="1383" spans="1:4">
      <c r="A1383" s="10">
        <v>1380</v>
      </c>
      <c r="B1383" s="12">
        <f t="shared" si="21"/>
        <v>3.78082191780822</v>
      </c>
      <c r="C1383" s="14">
        <f>'1_Inputs'!$H$7</f>
        <v>0.0305712824819807</v>
      </c>
      <c r="D1383" s="12">
        <f>D1382*EXP(-'1_Inputs'!$H$7*(1/365))</f>
        <v>0.919006239896773</v>
      </c>
    </row>
    <row r="1384" spans="1:4">
      <c r="A1384" s="4">
        <v>1381</v>
      </c>
      <c r="B1384" s="6">
        <f t="shared" si="21"/>
        <v>3.78356164383562</v>
      </c>
      <c r="C1384" s="8">
        <f>'1_Inputs'!$H$7</f>
        <v>0.0305712824819807</v>
      </c>
      <c r="D1384" s="6">
        <f>D1383*EXP(-'1_Inputs'!$H$7*(1/365))</f>
        <v>0.918929269971262</v>
      </c>
    </row>
    <row r="1385" spans="1:4">
      <c r="A1385" s="10">
        <v>1382</v>
      </c>
      <c r="B1385" s="12">
        <f t="shared" si="21"/>
        <v>3.78630136986301</v>
      </c>
      <c r="C1385" s="14">
        <f>'1_Inputs'!$H$7</f>
        <v>0.0305712824819807</v>
      </c>
      <c r="D1385" s="12">
        <f>D1384*EXP(-'1_Inputs'!$H$7*(1/365))</f>
        <v>0.918852306492247</v>
      </c>
    </row>
    <row r="1386" spans="1:4">
      <c r="A1386" s="4">
        <v>1383</v>
      </c>
      <c r="B1386" s="6">
        <f t="shared" si="21"/>
        <v>3.78904109589041</v>
      </c>
      <c r="C1386" s="8">
        <f>'1_Inputs'!$H$7</f>
        <v>0.0305712824819807</v>
      </c>
      <c r="D1386" s="6">
        <f>D1385*EXP(-'1_Inputs'!$H$7*(1/365))</f>
        <v>0.918775349459186</v>
      </c>
    </row>
    <row r="1387" spans="1:4">
      <c r="A1387" s="10">
        <v>1384</v>
      </c>
      <c r="B1387" s="12">
        <f t="shared" si="21"/>
        <v>3.79178082191781</v>
      </c>
      <c r="C1387" s="14">
        <f>'1_Inputs'!$H$7</f>
        <v>0.0305712824819807</v>
      </c>
      <c r="D1387" s="12">
        <f>D1386*EXP(-'1_Inputs'!$H$7*(1/365))</f>
        <v>0.918698398871542</v>
      </c>
    </row>
    <row r="1388" spans="1:4">
      <c r="A1388" s="4">
        <v>1385</v>
      </c>
      <c r="B1388" s="6">
        <f t="shared" si="21"/>
        <v>3.79452054794521</v>
      </c>
      <c r="C1388" s="8">
        <f>'1_Inputs'!$H$7</f>
        <v>0.0305712824819807</v>
      </c>
      <c r="D1388" s="6">
        <f>D1387*EXP(-'1_Inputs'!$H$7*(1/365))</f>
        <v>0.918621454728773</v>
      </c>
    </row>
    <row r="1389" spans="1:4">
      <c r="A1389" s="10">
        <v>1386</v>
      </c>
      <c r="B1389" s="12">
        <f t="shared" si="21"/>
        <v>3.7972602739726</v>
      </c>
      <c r="C1389" s="14">
        <f>'1_Inputs'!$H$7</f>
        <v>0.0305712824819807</v>
      </c>
      <c r="D1389" s="12">
        <f>D1388*EXP(-'1_Inputs'!$H$7*(1/365))</f>
        <v>0.91854451703034</v>
      </c>
    </row>
    <row r="1390" spans="1:4">
      <c r="A1390" s="4">
        <v>1387</v>
      </c>
      <c r="B1390" s="6">
        <f t="shared" si="21"/>
        <v>3.8</v>
      </c>
      <c r="C1390" s="8">
        <f>'1_Inputs'!$H$7</f>
        <v>0.0305712824819807</v>
      </c>
      <c r="D1390" s="6">
        <f>D1389*EXP(-'1_Inputs'!$H$7*(1/365))</f>
        <v>0.918467585775703</v>
      </c>
    </row>
    <row r="1391" spans="1:4">
      <c r="A1391" s="10">
        <v>1388</v>
      </c>
      <c r="B1391" s="12">
        <f t="shared" si="21"/>
        <v>3.8027397260274</v>
      </c>
      <c r="C1391" s="14">
        <f>'1_Inputs'!$H$7</f>
        <v>0.0305712824819807</v>
      </c>
      <c r="D1391" s="12">
        <f>D1390*EXP(-'1_Inputs'!$H$7*(1/365))</f>
        <v>0.918390660964323</v>
      </c>
    </row>
    <row r="1392" spans="1:4">
      <c r="A1392" s="4">
        <v>1389</v>
      </c>
      <c r="B1392" s="6">
        <f t="shared" si="21"/>
        <v>3.80547945205479</v>
      </c>
      <c r="C1392" s="8">
        <f>'1_Inputs'!$H$7</f>
        <v>0.0305712824819807</v>
      </c>
      <c r="D1392" s="6">
        <f>D1391*EXP(-'1_Inputs'!$H$7*(1/365))</f>
        <v>0.918313742595659</v>
      </c>
    </row>
    <row r="1393" spans="1:4">
      <c r="A1393" s="10">
        <v>1390</v>
      </c>
      <c r="B1393" s="12">
        <f t="shared" si="21"/>
        <v>3.80821917808219</v>
      </c>
      <c r="C1393" s="14">
        <f>'1_Inputs'!$H$7</f>
        <v>0.0305712824819807</v>
      </c>
      <c r="D1393" s="12">
        <f>D1392*EXP(-'1_Inputs'!$H$7*(1/365))</f>
        <v>0.918236830669173</v>
      </c>
    </row>
    <row r="1394" spans="1:4">
      <c r="A1394" s="4">
        <v>1391</v>
      </c>
      <c r="B1394" s="6">
        <f t="shared" si="21"/>
        <v>3.81095890410959</v>
      </c>
      <c r="C1394" s="8">
        <f>'1_Inputs'!$H$7</f>
        <v>0.0305712824819807</v>
      </c>
      <c r="D1394" s="6">
        <f>D1393*EXP(-'1_Inputs'!$H$7*(1/365))</f>
        <v>0.918159925184325</v>
      </c>
    </row>
    <row r="1395" spans="1:4">
      <c r="A1395" s="10">
        <v>1392</v>
      </c>
      <c r="B1395" s="12">
        <f t="shared" si="21"/>
        <v>3.81369863013699</v>
      </c>
      <c r="C1395" s="14">
        <f>'1_Inputs'!$H$7</f>
        <v>0.0305712824819807</v>
      </c>
      <c r="D1395" s="12">
        <f>D1394*EXP(-'1_Inputs'!$H$7*(1/365))</f>
        <v>0.918083026140574</v>
      </c>
    </row>
    <row r="1396" spans="1:4">
      <c r="A1396" s="4">
        <v>1393</v>
      </c>
      <c r="B1396" s="6">
        <f t="shared" si="21"/>
        <v>3.81643835616438</v>
      </c>
      <c r="C1396" s="8">
        <f>'1_Inputs'!$H$7</f>
        <v>0.0305712824819807</v>
      </c>
      <c r="D1396" s="6">
        <f>D1395*EXP(-'1_Inputs'!$H$7*(1/365))</f>
        <v>0.918006133537383</v>
      </c>
    </row>
    <row r="1397" spans="1:4">
      <c r="A1397" s="10">
        <v>1394</v>
      </c>
      <c r="B1397" s="12">
        <f t="shared" si="21"/>
        <v>3.81917808219178</v>
      </c>
      <c r="C1397" s="14">
        <f>'1_Inputs'!$H$7</f>
        <v>0.0305712824819807</v>
      </c>
      <c r="D1397" s="12">
        <f>D1396*EXP(-'1_Inputs'!$H$7*(1/365))</f>
        <v>0.917929247374211</v>
      </c>
    </row>
    <row r="1398" spans="1:4">
      <c r="A1398" s="4">
        <v>1395</v>
      </c>
      <c r="B1398" s="6">
        <f t="shared" si="21"/>
        <v>3.82191780821918</v>
      </c>
      <c r="C1398" s="8">
        <f>'1_Inputs'!$H$7</f>
        <v>0.0305712824819807</v>
      </c>
      <c r="D1398" s="6">
        <f>D1397*EXP(-'1_Inputs'!$H$7*(1/365))</f>
        <v>0.917852367650518</v>
      </c>
    </row>
    <row r="1399" spans="1:4">
      <c r="A1399" s="10">
        <v>1396</v>
      </c>
      <c r="B1399" s="12">
        <f t="shared" si="21"/>
        <v>3.82465753424657</v>
      </c>
      <c r="C1399" s="14">
        <f>'1_Inputs'!$H$7</f>
        <v>0.0305712824819807</v>
      </c>
      <c r="D1399" s="12">
        <f>D1398*EXP(-'1_Inputs'!$H$7*(1/365))</f>
        <v>0.917775494365767</v>
      </c>
    </row>
    <row r="1400" spans="1:4">
      <c r="A1400" s="4">
        <v>1397</v>
      </c>
      <c r="B1400" s="6">
        <f t="shared" si="21"/>
        <v>3.82739726027397</v>
      </c>
      <c r="C1400" s="8">
        <f>'1_Inputs'!$H$7</f>
        <v>0.0305712824819807</v>
      </c>
      <c r="D1400" s="6">
        <f>D1399*EXP(-'1_Inputs'!$H$7*(1/365))</f>
        <v>0.917698627519417</v>
      </c>
    </row>
    <row r="1401" spans="1:4">
      <c r="A1401" s="10">
        <v>1398</v>
      </c>
      <c r="B1401" s="12">
        <f t="shared" si="21"/>
        <v>3.83013698630137</v>
      </c>
      <c r="C1401" s="14">
        <f>'1_Inputs'!$H$7</f>
        <v>0.0305712824819807</v>
      </c>
      <c r="D1401" s="12">
        <f>D1400*EXP(-'1_Inputs'!$H$7*(1/365))</f>
        <v>0.917621767110928</v>
      </c>
    </row>
    <row r="1402" spans="1:4">
      <c r="A1402" s="4">
        <v>1399</v>
      </c>
      <c r="B1402" s="6">
        <f t="shared" si="21"/>
        <v>3.83287671232877</v>
      </c>
      <c r="C1402" s="8">
        <f>'1_Inputs'!$H$7</f>
        <v>0.0305712824819807</v>
      </c>
      <c r="D1402" s="6">
        <f>D1401*EXP(-'1_Inputs'!$H$7*(1/365))</f>
        <v>0.917544913139763</v>
      </c>
    </row>
    <row r="1403" spans="1:4">
      <c r="A1403" s="10">
        <v>1400</v>
      </c>
      <c r="B1403" s="12">
        <f t="shared" si="21"/>
        <v>3.83561643835616</v>
      </c>
      <c r="C1403" s="14">
        <f>'1_Inputs'!$H$7</f>
        <v>0.0305712824819807</v>
      </c>
      <c r="D1403" s="12">
        <f>D1402*EXP(-'1_Inputs'!$H$7*(1/365))</f>
        <v>0.917468065605382</v>
      </c>
    </row>
    <row r="1404" spans="1:4">
      <c r="A1404" s="4">
        <v>1401</v>
      </c>
      <c r="B1404" s="6">
        <f t="shared" si="21"/>
        <v>3.83835616438356</v>
      </c>
      <c r="C1404" s="8">
        <f>'1_Inputs'!$H$7</f>
        <v>0.0305712824819807</v>
      </c>
      <c r="D1404" s="6">
        <f>D1403*EXP(-'1_Inputs'!$H$7*(1/365))</f>
        <v>0.917391224507245</v>
      </c>
    </row>
    <row r="1405" spans="1:4">
      <c r="A1405" s="10">
        <v>1402</v>
      </c>
      <c r="B1405" s="12">
        <f t="shared" si="21"/>
        <v>3.84109589041096</v>
      </c>
      <c r="C1405" s="14">
        <f>'1_Inputs'!$H$7</f>
        <v>0.0305712824819807</v>
      </c>
      <c r="D1405" s="12">
        <f>D1404*EXP(-'1_Inputs'!$H$7*(1/365))</f>
        <v>0.917314389844813</v>
      </c>
    </row>
    <row r="1406" spans="1:4">
      <c r="A1406" s="4">
        <v>1403</v>
      </c>
      <c r="B1406" s="6">
        <f t="shared" si="21"/>
        <v>3.84383561643836</v>
      </c>
      <c r="C1406" s="8">
        <f>'1_Inputs'!$H$7</f>
        <v>0.0305712824819807</v>
      </c>
      <c r="D1406" s="6">
        <f>D1405*EXP(-'1_Inputs'!$H$7*(1/365))</f>
        <v>0.917237561617549</v>
      </c>
    </row>
    <row r="1407" spans="1:4">
      <c r="A1407" s="10">
        <v>1404</v>
      </c>
      <c r="B1407" s="12">
        <f t="shared" si="21"/>
        <v>3.84657534246575</v>
      </c>
      <c r="C1407" s="14">
        <f>'1_Inputs'!$H$7</f>
        <v>0.0305712824819807</v>
      </c>
      <c r="D1407" s="12">
        <f>D1406*EXP(-'1_Inputs'!$H$7*(1/365))</f>
        <v>0.917160739824912</v>
      </c>
    </row>
    <row r="1408" spans="1:4">
      <c r="A1408" s="4">
        <v>1405</v>
      </c>
      <c r="B1408" s="6">
        <f t="shared" si="21"/>
        <v>3.84931506849315</v>
      </c>
      <c r="C1408" s="8">
        <f>'1_Inputs'!$H$7</f>
        <v>0.0305712824819807</v>
      </c>
      <c r="D1408" s="6">
        <f>D1407*EXP(-'1_Inputs'!$H$7*(1/365))</f>
        <v>0.917083924466363</v>
      </c>
    </row>
    <row r="1409" spans="1:4">
      <c r="A1409" s="10">
        <v>1406</v>
      </c>
      <c r="B1409" s="12">
        <f t="shared" si="21"/>
        <v>3.85205479452055</v>
      </c>
      <c r="C1409" s="14">
        <f>'1_Inputs'!$H$7</f>
        <v>0.0305712824819807</v>
      </c>
      <c r="D1409" s="12">
        <f>D1408*EXP(-'1_Inputs'!$H$7*(1/365))</f>
        <v>0.917007115541364</v>
      </c>
    </row>
    <row r="1410" spans="1:4">
      <c r="A1410" s="4">
        <v>1407</v>
      </c>
      <c r="B1410" s="6">
        <f t="shared" si="21"/>
        <v>3.85479452054795</v>
      </c>
      <c r="C1410" s="8">
        <f>'1_Inputs'!$H$7</f>
        <v>0.0305712824819807</v>
      </c>
      <c r="D1410" s="6">
        <f>D1409*EXP(-'1_Inputs'!$H$7*(1/365))</f>
        <v>0.916930313049377</v>
      </c>
    </row>
    <row r="1411" spans="1:4">
      <c r="A1411" s="10">
        <v>1408</v>
      </c>
      <c r="B1411" s="12">
        <f t="shared" ref="B1411:B1474" si="22">A1411/365</f>
        <v>3.85753424657534</v>
      </c>
      <c r="C1411" s="14">
        <f>'1_Inputs'!$H$7</f>
        <v>0.0305712824819807</v>
      </c>
      <c r="D1411" s="12">
        <f>D1410*EXP(-'1_Inputs'!$H$7*(1/365))</f>
        <v>0.916853516989862</v>
      </c>
    </row>
    <row r="1412" spans="1:4">
      <c r="A1412" s="4">
        <v>1409</v>
      </c>
      <c r="B1412" s="6">
        <f t="shared" si="22"/>
        <v>3.86027397260274</v>
      </c>
      <c r="C1412" s="8">
        <f>'1_Inputs'!$H$7</f>
        <v>0.0305712824819807</v>
      </c>
      <c r="D1412" s="6">
        <f>D1411*EXP(-'1_Inputs'!$H$7*(1/365))</f>
        <v>0.91677672736228</v>
      </c>
    </row>
    <row r="1413" spans="1:4">
      <c r="A1413" s="10">
        <v>1410</v>
      </c>
      <c r="B1413" s="12">
        <f t="shared" si="22"/>
        <v>3.86301369863014</v>
      </c>
      <c r="C1413" s="14">
        <f>'1_Inputs'!$H$7</f>
        <v>0.0305712824819807</v>
      </c>
      <c r="D1413" s="12">
        <f>D1412*EXP(-'1_Inputs'!$H$7*(1/365))</f>
        <v>0.916699944166092</v>
      </c>
    </row>
    <row r="1414" spans="1:4">
      <c r="A1414" s="4">
        <v>1411</v>
      </c>
      <c r="B1414" s="6">
        <f t="shared" si="22"/>
        <v>3.86575342465753</v>
      </c>
      <c r="C1414" s="8">
        <f>'1_Inputs'!$H$7</f>
        <v>0.0305712824819807</v>
      </c>
      <c r="D1414" s="6">
        <f>D1413*EXP(-'1_Inputs'!$H$7*(1/365))</f>
        <v>0.916623167400761</v>
      </c>
    </row>
    <row r="1415" spans="1:4">
      <c r="A1415" s="10">
        <v>1412</v>
      </c>
      <c r="B1415" s="12">
        <f t="shared" si="22"/>
        <v>3.86849315068493</v>
      </c>
      <c r="C1415" s="14">
        <f>'1_Inputs'!$H$7</f>
        <v>0.0305712824819807</v>
      </c>
      <c r="D1415" s="12">
        <f>D1414*EXP(-'1_Inputs'!$H$7*(1/365))</f>
        <v>0.916546397065748</v>
      </c>
    </row>
    <row r="1416" spans="1:4">
      <c r="A1416" s="4">
        <v>1413</v>
      </c>
      <c r="B1416" s="6">
        <f t="shared" si="22"/>
        <v>3.87123287671233</v>
      </c>
      <c r="C1416" s="8">
        <f>'1_Inputs'!$H$7</f>
        <v>0.0305712824819807</v>
      </c>
      <c r="D1416" s="6">
        <f>D1415*EXP(-'1_Inputs'!$H$7*(1/365))</f>
        <v>0.916469633160513</v>
      </c>
    </row>
    <row r="1417" spans="1:4">
      <c r="A1417" s="10">
        <v>1414</v>
      </c>
      <c r="B1417" s="12">
        <f t="shared" si="22"/>
        <v>3.87397260273973</v>
      </c>
      <c r="C1417" s="14">
        <f>'1_Inputs'!$H$7</f>
        <v>0.0305712824819807</v>
      </c>
      <c r="D1417" s="12">
        <f>D1416*EXP(-'1_Inputs'!$H$7*(1/365))</f>
        <v>0.916392875684519</v>
      </c>
    </row>
    <row r="1418" spans="1:4">
      <c r="A1418" s="4">
        <v>1415</v>
      </c>
      <c r="B1418" s="6">
        <f t="shared" si="22"/>
        <v>3.87671232876712</v>
      </c>
      <c r="C1418" s="8">
        <f>'1_Inputs'!$H$7</f>
        <v>0.0305712824819807</v>
      </c>
      <c r="D1418" s="6">
        <f>D1417*EXP(-'1_Inputs'!$H$7*(1/365))</f>
        <v>0.916316124637227</v>
      </c>
    </row>
    <row r="1419" spans="1:4">
      <c r="A1419" s="10">
        <v>1416</v>
      </c>
      <c r="B1419" s="12">
        <f t="shared" si="22"/>
        <v>3.87945205479452</v>
      </c>
      <c r="C1419" s="14">
        <f>'1_Inputs'!$H$7</f>
        <v>0.0305712824819807</v>
      </c>
      <c r="D1419" s="12">
        <f>D1418*EXP(-'1_Inputs'!$H$7*(1/365))</f>
        <v>0.916239380018098</v>
      </c>
    </row>
    <row r="1420" spans="1:4">
      <c r="A1420" s="4">
        <v>1417</v>
      </c>
      <c r="B1420" s="6">
        <f t="shared" si="22"/>
        <v>3.88219178082192</v>
      </c>
      <c r="C1420" s="8">
        <f>'1_Inputs'!$H$7</f>
        <v>0.0305712824819807</v>
      </c>
      <c r="D1420" s="6">
        <f>D1419*EXP(-'1_Inputs'!$H$7*(1/365))</f>
        <v>0.916162641826594</v>
      </c>
    </row>
    <row r="1421" spans="1:4">
      <c r="A1421" s="10">
        <v>1418</v>
      </c>
      <c r="B1421" s="12">
        <f t="shared" si="22"/>
        <v>3.88493150684931</v>
      </c>
      <c r="C1421" s="14">
        <f>'1_Inputs'!$H$7</f>
        <v>0.0305712824819807</v>
      </c>
      <c r="D1421" s="12">
        <f>D1420*EXP(-'1_Inputs'!$H$7*(1/365))</f>
        <v>0.916085910062177</v>
      </c>
    </row>
    <row r="1422" spans="1:4">
      <c r="A1422" s="4">
        <v>1419</v>
      </c>
      <c r="B1422" s="6">
        <f t="shared" si="22"/>
        <v>3.88767123287671</v>
      </c>
      <c r="C1422" s="8">
        <f>'1_Inputs'!$H$7</f>
        <v>0.0305712824819807</v>
      </c>
      <c r="D1422" s="6">
        <f>D1421*EXP(-'1_Inputs'!$H$7*(1/365))</f>
        <v>0.916009184724309</v>
      </c>
    </row>
    <row r="1423" spans="1:4">
      <c r="A1423" s="10">
        <v>1420</v>
      </c>
      <c r="B1423" s="12">
        <f t="shared" si="22"/>
        <v>3.89041095890411</v>
      </c>
      <c r="C1423" s="14">
        <f>'1_Inputs'!$H$7</f>
        <v>0.0305712824819807</v>
      </c>
      <c r="D1423" s="12">
        <f>D1422*EXP(-'1_Inputs'!$H$7*(1/365))</f>
        <v>0.915932465812451</v>
      </c>
    </row>
    <row r="1424" spans="1:4">
      <c r="A1424" s="4">
        <v>1421</v>
      </c>
      <c r="B1424" s="6">
        <f t="shared" si="22"/>
        <v>3.89315068493151</v>
      </c>
      <c r="C1424" s="8">
        <f>'1_Inputs'!$H$7</f>
        <v>0.0305712824819807</v>
      </c>
      <c r="D1424" s="6">
        <f>D1423*EXP(-'1_Inputs'!$H$7*(1/365))</f>
        <v>0.915855753326065</v>
      </c>
    </row>
    <row r="1425" spans="1:4">
      <c r="A1425" s="10">
        <v>1422</v>
      </c>
      <c r="B1425" s="12">
        <f t="shared" si="22"/>
        <v>3.8958904109589</v>
      </c>
      <c r="C1425" s="14">
        <f>'1_Inputs'!$H$7</f>
        <v>0.0305712824819807</v>
      </c>
      <c r="D1425" s="12">
        <f>D1424*EXP(-'1_Inputs'!$H$7*(1/365))</f>
        <v>0.915779047264613</v>
      </c>
    </row>
    <row r="1426" spans="1:4">
      <c r="A1426" s="4">
        <v>1423</v>
      </c>
      <c r="B1426" s="6">
        <f t="shared" si="22"/>
        <v>3.8986301369863</v>
      </c>
      <c r="C1426" s="8">
        <f>'1_Inputs'!$H$7</f>
        <v>0.0305712824819807</v>
      </c>
      <c r="D1426" s="6">
        <f>D1425*EXP(-'1_Inputs'!$H$7*(1/365))</f>
        <v>0.915702347627557</v>
      </c>
    </row>
    <row r="1427" spans="1:4">
      <c r="A1427" s="10">
        <v>1424</v>
      </c>
      <c r="B1427" s="12">
        <f t="shared" si="22"/>
        <v>3.9013698630137</v>
      </c>
      <c r="C1427" s="14">
        <f>'1_Inputs'!$H$7</f>
        <v>0.0305712824819807</v>
      </c>
      <c r="D1427" s="12">
        <f>D1426*EXP(-'1_Inputs'!$H$7*(1/365))</f>
        <v>0.915625654414359</v>
      </c>
    </row>
    <row r="1428" spans="1:4">
      <c r="A1428" s="4">
        <v>1425</v>
      </c>
      <c r="B1428" s="6">
        <f t="shared" si="22"/>
        <v>3.9041095890411</v>
      </c>
      <c r="C1428" s="8">
        <f>'1_Inputs'!$H$7</f>
        <v>0.0305712824819807</v>
      </c>
      <c r="D1428" s="6">
        <f>D1427*EXP(-'1_Inputs'!$H$7*(1/365))</f>
        <v>0.91554896762448</v>
      </c>
    </row>
    <row r="1429" spans="1:4">
      <c r="A1429" s="10">
        <v>1426</v>
      </c>
      <c r="B1429" s="12">
        <f t="shared" si="22"/>
        <v>3.90684931506849</v>
      </c>
      <c r="C1429" s="14">
        <f>'1_Inputs'!$H$7</f>
        <v>0.0305712824819807</v>
      </c>
      <c r="D1429" s="12">
        <f>D1428*EXP(-'1_Inputs'!$H$7*(1/365))</f>
        <v>0.915472287257383</v>
      </c>
    </row>
    <row r="1430" spans="1:4">
      <c r="A1430" s="4">
        <v>1427</v>
      </c>
      <c r="B1430" s="6">
        <f t="shared" si="22"/>
        <v>3.90958904109589</v>
      </c>
      <c r="C1430" s="8">
        <f>'1_Inputs'!$H$7</f>
        <v>0.0305712824819807</v>
      </c>
      <c r="D1430" s="6">
        <f>D1429*EXP(-'1_Inputs'!$H$7*(1/365))</f>
        <v>0.91539561331253</v>
      </c>
    </row>
    <row r="1431" spans="1:4">
      <c r="A1431" s="10">
        <v>1428</v>
      </c>
      <c r="B1431" s="12">
        <f t="shared" si="22"/>
        <v>3.91232876712329</v>
      </c>
      <c r="C1431" s="14">
        <f>'1_Inputs'!$H$7</f>
        <v>0.0305712824819807</v>
      </c>
      <c r="D1431" s="12">
        <f>D1430*EXP(-'1_Inputs'!$H$7*(1/365))</f>
        <v>0.915318945789383</v>
      </c>
    </row>
    <row r="1432" spans="1:4">
      <c r="A1432" s="4">
        <v>1429</v>
      </c>
      <c r="B1432" s="6">
        <f t="shared" si="22"/>
        <v>3.91506849315068</v>
      </c>
      <c r="C1432" s="8">
        <f>'1_Inputs'!$H$7</f>
        <v>0.0305712824819807</v>
      </c>
      <c r="D1432" s="6">
        <f>D1431*EXP(-'1_Inputs'!$H$7*(1/365))</f>
        <v>0.915242284687404</v>
      </c>
    </row>
    <row r="1433" spans="1:4">
      <c r="A1433" s="10">
        <v>1430</v>
      </c>
      <c r="B1433" s="12">
        <f t="shared" si="22"/>
        <v>3.91780821917808</v>
      </c>
      <c r="C1433" s="14">
        <f>'1_Inputs'!$H$7</f>
        <v>0.0305712824819807</v>
      </c>
      <c r="D1433" s="12">
        <f>D1432*EXP(-'1_Inputs'!$H$7*(1/365))</f>
        <v>0.915165630006055</v>
      </c>
    </row>
    <row r="1434" spans="1:4">
      <c r="A1434" s="4">
        <v>1431</v>
      </c>
      <c r="B1434" s="6">
        <f t="shared" si="22"/>
        <v>3.92054794520548</v>
      </c>
      <c r="C1434" s="8">
        <f>'1_Inputs'!$H$7</f>
        <v>0.0305712824819807</v>
      </c>
      <c r="D1434" s="6">
        <f>D1433*EXP(-'1_Inputs'!$H$7*(1/365))</f>
        <v>0.915088981744799</v>
      </c>
    </row>
    <row r="1435" spans="1:4">
      <c r="A1435" s="10">
        <v>1432</v>
      </c>
      <c r="B1435" s="12">
        <f t="shared" si="22"/>
        <v>3.92328767123288</v>
      </c>
      <c r="C1435" s="14">
        <f>'1_Inputs'!$H$7</f>
        <v>0.0305712824819807</v>
      </c>
      <c r="D1435" s="12">
        <f>D1434*EXP(-'1_Inputs'!$H$7*(1/365))</f>
        <v>0.915012339903097</v>
      </c>
    </row>
    <row r="1436" spans="1:4">
      <c r="A1436" s="4">
        <v>1433</v>
      </c>
      <c r="B1436" s="6">
        <f t="shared" si="22"/>
        <v>3.92602739726027</v>
      </c>
      <c r="C1436" s="8">
        <f>'1_Inputs'!$H$7</f>
        <v>0.0305712824819807</v>
      </c>
      <c r="D1436" s="6">
        <f>D1435*EXP(-'1_Inputs'!$H$7*(1/365))</f>
        <v>0.914935704480413</v>
      </c>
    </row>
    <row r="1437" spans="1:4">
      <c r="A1437" s="10">
        <v>1434</v>
      </c>
      <c r="B1437" s="12">
        <f t="shared" si="22"/>
        <v>3.92876712328767</v>
      </c>
      <c r="C1437" s="14">
        <f>'1_Inputs'!$H$7</f>
        <v>0.0305712824819807</v>
      </c>
      <c r="D1437" s="12">
        <f>D1436*EXP(-'1_Inputs'!$H$7*(1/365))</f>
        <v>0.914859075476208</v>
      </c>
    </row>
    <row r="1438" spans="1:4">
      <c r="A1438" s="4">
        <v>1435</v>
      </c>
      <c r="B1438" s="6">
        <f t="shared" si="22"/>
        <v>3.93150684931507</v>
      </c>
      <c r="C1438" s="8">
        <f>'1_Inputs'!$H$7</f>
        <v>0.0305712824819807</v>
      </c>
      <c r="D1438" s="6">
        <f>D1437*EXP(-'1_Inputs'!$H$7*(1/365))</f>
        <v>0.914782452889946</v>
      </c>
    </row>
    <row r="1439" spans="1:4">
      <c r="A1439" s="10">
        <v>1436</v>
      </c>
      <c r="B1439" s="12">
        <f t="shared" si="22"/>
        <v>3.93424657534247</v>
      </c>
      <c r="C1439" s="14">
        <f>'1_Inputs'!$H$7</f>
        <v>0.0305712824819807</v>
      </c>
      <c r="D1439" s="12">
        <f>D1438*EXP(-'1_Inputs'!$H$7*(1/365))</f>
        <v>0.914705836721087</v>
      </c>
    </row>
    <row r="1440" spans="1:4">
      <c r="A1440" s="4">
        <v>1437</v>
      </c>
      <c r="B1440" s="6">
        <f t="shared" si="22"/>
        <v>3.93698630136986</v>
      </c>
      <c r="C1440" s="8">
        <f>'1_Inputs'!$H$7</f>
        <v>0.0305712824819807</v>
      </c>
      <c r="D1440" s="6">
        <f>D1439*EXP(-'1_Inputs'!$H$7*(1/365))</f>
        <v>0.914629226969096</v>
      </c>
    </row>
    <row r="1441" spans="1:4">
      <c r="A1441" s="10">
        <v>1438</v>
      </c>
      <c r="B1441" s="12">
        <f t="shared" si="22"/>
        <v>3.93972602739726</v>
      </c>
      <c r="C1441" s="14">
        <f>'1_Inputs'!$H$7</f>
        <v>0.0305712824819807</v>
      </c>
      <c r="D1441" s="12">
        <f>D1440*EXP(-'1_Inputs'!$H$7*(1/365))</f>
        <v>0.914552623633435</v>
      </c>
    </row>
    <row r="1442" spans="1:4">
      <c r="A1442" s="4">
        <v>1439</v>
      </c>
      <c r="B1442" s="6">
        <f t="shared" si="22"/>
        <v>3.94246575342466</v>
      </c>
      <c r="C1442" s="8">
        <f>'1_Inputs'!$H$7</f>
        <v>0.0305712824819807</v>
      </c>
      <c r="D1442" s="6">
        <f>D1441*EXP(-'1_Inputs'!$H$7*(1/365))</f>
        <v>0.914476026713565</v>
      </c>
    </row>
    <row r="1443" spans="1:4">
      <c r="A1443" s="10">
        <v>1440</v>
      </c>
      <c r="B1443" s="12">
        <f t="shared" si="22"/>
        <v>3.94520547945205</v>
      </c>
      <c r="C1443" s="14">
        <f>'1_Inputs'!$H$7</f>
        <v>0.0305712824819807</v>
      </c>
      <c r="D1443" s="12">
        <f>D1442*EXP(-'1_Inputs'!$H$7*(1/365))</f>
        <v>0.91439943620895</v>
      </c>
    </row>
    <row r="1444" spans="1:4">
      <c r="A1444" s="4">
        <v>1441</v>
      </c>
      <c r="B1444" s="6">
        <f t="shared" si="22"/>
        <v>3.94794520547945</v>
      </c>
      <c r="C1444" s="8">
        <f>'1_Inputs'!$H$7</f>
        <v>0.0305712824819807</v>
      </c>
      <c r="D1444" s="6">
        <f>D1443*EXP(-'1_Inputs'!$H$7*(1/365))</f>
        <v>0.914322852119053</v>
      </c>
    </row>
    <row r="1445" spans="1:4">
      <c r="A1445" s="10">
        <v>1442</v>
      </c>
      <c r="B1445" s="12">
        <f t="shared" si="22"/>
        <v>3.95068493150685</v>
      </c>
      <c r="C1445" s="14">
        <f>'1_Inputs'!$H$7</f>
        <v>0.0305712824819807</v>
      </c>
      <c r="D1445" s="12">
        <f>D1444*EXP(-'1_Inputs'!$H$7*(1/365))</f>
        <v>0.914246274443337</v>
      </c>
    </row>
    <row r="1446" spans="1:4">
      <c r="A1446" s="4">
        <v>1443</v>
      </c>
      <c r="B1446" s="6">
        <f t="shared" si="22"/>
        <v>3.95342465753425</v>
      </c>
      <c r="C1446" s="8">
        <f>'1_Inputs'!$H$7</f>
        <v>0.0305712824819807</v>
      </c>
      <c r="D1446" s="6">
        <f>D1445*EXP(-'1_Inputs'!$H$7*(1/365))</f>
        <v>0.914169703181263</v>
      </c>
    </row>
    <row r="1447" spans="1:4">
      <c r="A1447" s="10">
        <v>1444</v>
      </c>
      <c r="B1447" s="12">
        <f t="shared" si="22"/>
        <v>3.95616438356164</v>
      </c>
      <c r="C1447" s="14">
        <f>'1_Inputs'!$H$7</f>
        <v>0.0305712824819807</v>
      </c>
      <c r="D1447" s="12">
        <f>D1446*EXP(-'1_Inputs'!$H$7*(1/365))</f>
        <v>0.914093138332295</v>
      </c>
    </row>
    <row r="1448" spans="1:4">
      <c r="A1448" s="4">
        <v>1445</v>
      </c>
      <c r="B1448" s="6">
        <f t="shared" si="22"/>
        <v>3.95890410958904</v>
      </c>
      <c r="C1448" s="8">
        <f>'1_Inputs'!$H$7</f>
        <v>0.0305712824819807</v>
      </c>
      <c r="D1448" s="6">
        <f>D1447*EXP(-'1_Inputs'!$H$7*(1/365))</f>
        <v>0.914016579895896</v>
      </c>
    </row>
    <row r="1449" spans="1:4">
      <c r="A1449" s="10">
        <v>1446</v>
      </c>
      <c r="B1449" s="12">
        <f t="shared" si="22"/>
        <v>3.96164383561644</v>
      </c>
      <c r="C1449" s="14">
        <f>'1_Inputs'!$H$7</f>
        <v>0.0305712824819807</v>
      </c>
      <c r="D1449" s="12">
        <f>D1448*EXP(-'1_Inputs'!$H$7*(1/365))</f>
        <v>0.913940027871529</v>
      </c>
    </row>
    <row r="1450" spans="1:4">
      <c r="A1450" s="4">
        <v>1447</v>
      </c>
      <c r="B1450" s="6">
        <f t="shared" si="22"/>
        <v>3.96438356164384</v>
      </c>
      <c r="C1450" s="8">
        <f>'1_Inputs'!$H$7</f>
        <v>0.0305712824819807</v>
      </c>
      <c r="D1450" s="6">
        <f>D1449*EXP(-'1_Inputs'!$H$7*(1/365))</f>
        <v>0.913863482258656</v>
      </c>
    </row>
    <row r="1451" spans="1:4">
      <c r="A1451" s="10">
        <v>1448</v>
      </c>
      <c r="B1451" s="12">
        <f t="shared" si="22"/>
        <v>3.96712328767123</v>
      </c>
      <c r="C1451" s="14">
        <f>'1_Inputs'!$H$7</f>
        <v>0.0305712824819807</v>
      </c>
      <c r="D1451" s="12">
        <f>D1450*EXP(-'1_Inputs'!$H$7*(1/365))</f>
        <v>0.913786943056741</v>
      </c>
    </row>
    <row r="1452" spans="1:4">
      <c r="A1452" s="4">
        <v>1449</v>
      </c>
      <c r="B1452" s="6">
        <f t="shared" si="22"/>
        <v>3.96986301369863</v>
      </c>
      <c r="C1452" s="8">
        <f>'1_Inputs'!$H$7</f>
        <v>0.0305712824819807</v>
      </c>
      <c r="D1452" s="6">
        <f>D1451*EXP(-'1_Inputs'!$H$7*(1/365))</f>
        <v>0.913710410265247</v>
      </c>
    </row>
    <row r="1453" spans="1:4">
      <c r="A1453" s="10">
        <v>1450</v>
      </c>
      <c r="B1453" s="12">
        <f t="shared" si="22"/>
        <v>3.97260273972603</v>
      </c>
      <c r="C1453" s="14">
        <f>'1_Inputs'!$H$7</f>
        <v>0.0305712824819807</v>
      </c>
      <c r="D1453" s="12">
        <f>D1452*EXP(-'1_Inputs'!$H$7*(1/365))</f>
        <v>0.913633883883636</v>
      </c>
    </row>
    <row r="1454" spans="1:4">
      <c r="A1454" s="4">
        <v>1451</v>
      </c>
      <c r="B1454" s="6">
        <f t="shared" si="22"/>
        <v>3.97534246575342</v>
      </c>
      <c r="C1454" s="8">
        <f>'1_Inputs'!$H$7</f>
        <v>0.0305712824819807</v>
      </c>
      <c r="D1454" s="6">
        <f>D1453*EXP(-'1_Inputs'!$H$7*(1/365))</f>
        <v>0.913557363911373</v>
      </c>
    </row>
    <row r="1455" spans="1:4">
      <c r="A1455" s="10">
        <v>1452</v>
      </c>
      <c r="B1455" s="12">
        <f t="shared" si="22"/>
        <v>3.97808219178082</v>
      </c>
      <c r="C1455" s="14">
        <f>'1_Inputs'!$H$7</f>
        <v>0.0305712824819807</v>
      </c>
      <c r="D1455" s="12">
        <f>D1454*EXP(-'1_Inputs'!$H$7*(1/365))</f>
        <v>0.91348085034792</v>
      </c>
    </row>
    <row r="1456" spans="1:4">
      <c r="A1456" s="4">
        <v>1453</v>
      </c>
      <c r="B1456" s="6">
        <f t="shared" si="22"/>
        <v>3.98082191780822</v>
      </c>
      <c r="C1456" s="8">
        <f>'1_Inputs'!$H$7</f>
        <v>0.0305712824819807</v>
      </c>
      <c r="D1456" s="6">
        <f>D1455*EXP(-'1_Inputs'!$H$7*(1/365))</f>
        <v>0.91340434319274</v>
      </c>
    </row>
    <row r="1457" spans="1:5">
      <c r="A1457" s="10">
        <v>1454</v>
      </c>
      <c r="B1457" s="12">
        <f t="shared" si="22"/>
        <v>3.98356164383562</v>
      </c>
      <c r="C1457" s="14">
        <f>'1_Inputs'!$H$7</f>
        <v>0.0305712824819807</v>
      </c>
      <c r="D1457" s="12">
        <f>D1456*EXP(-'1_Inputs'!$H$7*(1/365))</f>
        <v>0.913327842445297</v>
      </c>
    </row>
    <row r="1458" spans="1:5">
      <c r="A1458" s="4">
        <v>1455</v>
      </c>
      <c r="B1458" s="6">
        <f t="shared" si="22"/>
        <v>3.98630136986301</v>
      </c>
      <c r="C1458" s="8">
        <f>'1_Inputs'!$H$7</f>
        <v>0.0305712824819807</v>
      </c>
      <c r="D1458" s="6">
        <f>D1457*EXP(-'1_Inputs'!$H$7*(1/365))</f>
        <v>0.913251348105054</v>
      </c>
    </row>
    <row r="1459" spans="1:5">
      <c r="A1459" s="10">
        <v>1456</v>
      </c>
      <c r="B1459" s="12">
        <f t="shared" si="22"/>
        <v>3.98904109589041</v>
      </c>
      <c r="C1459" s="14">
        <f>'1_Inputs'!$H$7</f>
        <v>0.0305712824819807</v>
      </c>
      <c r="D1459" s="12">
        <f>D1458*EXP(-'1_Inputs'!$H$7*(1/365))</f>
        <v>0.913174860171474</v>
      </c>
    </row>
    <row r="1460" spans="1:5">
      <c r="A1460" s="4">
        <v>1457</v>
      </c>
      <c r="B1460" s="6">
        <f t="shared" si="22"/>
        <v>3.99178082191781</v>
      </c>
      <c r="C1460" s="8">
        <f>'1_Inputs'!$H$7</f>
        <v>0.0305712824819807</v>
      </c>
      <c r="D1460" s="6">
        <f>D1459*EXP(-'1_Inputs'!$H$7*(1/365))</f>
        <v>0.913098378644022</v>
      </c>
    </row>
    <row r="1461" spans="1:5">
      <c r="A1461" s="10">
        <v>1458</v>
      </c>
      <c r="B1461" s="12">
        <f t="shared" si="22"/>
        <v>3.99452054794521</v>
      </c>
      <c r="C1461" s="14">
        <f>'1_Inputs'!$H$7</f>
        <v>0.0305712824819807</v>
      </c>
      <c r="D1461" s="12">
        <f>D1460*EXP(-'1_Inputs'!$H$7*(1/365))</f>
        <v>0.913021903522159</v>
      </c>
    </row>
    <row r="1462" spans="1:5">
      <c r="A1462" s="4">
        <v>1459</v>
      </c>
      <c r="B1462" s="6">
        <f t="shared" si="22"/>
        <v>3.9972602739726</v>
      </c>
      <c r="C1462" s="8">
        <f>'1_Inputs'!$H$7</f>
        <v>0.0305712824819807</v>
      </c>
      <c r="D1462" s="6">
        <f>D1461*EXP(-'1_Inputs'!$H$7*(1/365))</f>
        <v>0.912945434805351</v>
      </c>
    </row>
    <row r="1463" spans="1:5">
      <c r="A1463" s="10">
        <v>1460</v>
      </c>
      <c r="B1463" s="12">
        <f t="shared" si="22"/>
        <v>4</v>
      </c>
      <c r="C1463" s="14">
        <f>'1_Inputs'!$H$7</f>
        <v>0.0305712824819807</v>
      </c>
      <c r="D1463" s="12">
        <f>D1462*EXP(-'1_Inputs'!$H$7*(1/365))</f>
        <v>0.912868972493059</v>
      </c>
      <c r="E1463" s="43" t="s">
        <v>59</v>
      </c>
    </row>
    <row r="1464" spans="1:5">
      <c r="A1464" s="4">
        <v>1461</v>
      </c>
      <c r="B1464" s="6">
        <f t="shared" si="22"/>
        <v>4.0027397260274</v>
      </c>
      <c r="C1464" s="8">
        <f>'1_Inputs'!$H$7</f>
        <v>0.0305712824819807</v>
      </c>
      <c r="D1464" s="6">
        <f>D1463*EXP(-'1_Inputs'!$H$7*(1/365))</f>
        <v>0.912792516584749</v>
      </c>
    </row>
    <row r="1465" spans="1:5">
      <c r="A1465" s="10">
        <v>1462</v>
      </c>
      <c r="B1465" s="12">
        <f t="shared" si="22"/>
        <v>4.00547945205479</v>
      </c>
      <c r="C1465" s="14">
        <f>'1_Inputs'!$H$7</f>
        <v>0.0305712824819807</v>
      </c>
      <c r="D1465" s="12">
        <f>D1464*EXP(-'1_Inputs'!$H$7*(1/365))</f>
        <v>0.912716067079884</v>
      </c>
    </row>
    <row r="1466" spans="1:5">
      <c r="A1466" s="4">
        <v>1463</v>
      </c>
      <c r="B1466" s="6">
        <f t="shared" si="22"/>
        <v>4.00821917808219</v>
      </c>
      <c r="C1466" s="8">
        <f>'1_Inputs'!$H$7</f>
        <v>0.0305712824819807</v>
      </c>
      <c r="D1466" s="6">
        <f>D1465*EXP(-'1_Inputs'!$H$7*(1/365))</f>
        <v>0.912639623977927</v>
      </c>
    </row>
    <row r="1467" spans="1:5">
      <c r="A1467" s="10">
        <v>1464</v>
      </c>
      <c r="B1467" s="12">
        <f t="shared" si="22"/>
        <v>4.01095890410959</v>
      </c>
      <c r="C1467" s="14">
        <f>'1_Inputs'!$H$7</f>
        <v>0.0305712824819807</v>
      </c>
      <c r="D1467" s="12">
        <f>D1466*EXP(-'1_Inputs'!$H$7*(1/365))</f>
        <v>0.912563187278341</v>
      </c>
    </row>
    <row r="1468" spans="1:5">
      <c r="A1468" s="4">
        <v>1465</v>
      </c>
      <c r="B1468" s="6">
        <f t="shared" si="22"/>
        <v>4.01369863013699</v>
      </c>
      <c r="C1468" s="8">
        <f>'1_Inputs'!$H$7</f>
        <v>0.0305712824819807</v>
      </c>
      <c r="D1468" s="6">
        <f>D1467*EXP(-'1_Inputs'!$H$7*(1/365))</f>
        <v>0.912486756980592</v>
      </c>
    </row>
    <row r="1469" spans="1:5">
      <c r="A1469" s="10">
        <v>1466</v>
      </c>
      <c r="B1469" s="12">
        <f t="shared" si="22"/>
        <v>4.01643835616438</v>
      </c>
      <c r="C1469" s="14">
        <f>'1_Inputs'!$H$7</f>
        <v>0.0305712824819807</v>
      </c>
      <c r="D1469" s="12">
        <f>D1468*EXP(-'1_Inputs'!$H$7*(1/365))</f>
        <v>0.912410333084142</v>
      </c>
    </row>
    <row r="1470" spans="1:5">
      <c r="A1470" s="4">
        <v>1467</v>
      </c>
      <c r="B1470" s="6">
        <f t="shared" si="22"/>
        <v>4.01917808219178</v>
      </c>
      <c r="C1470" s="8">
        <f>'1_Inputs'!$H$7</f>
        <v>0.0305712824819807</v>
      </c>
      <c r="D1470" s="6">
        <f>D1469*EXP(-'1_Inputs'!$H$7*(1/365))</f>
        <v>0.912333915588456</v>
      </c>
    </row>
    <row r="1471" spans="1:5">
      <c r="A1471" s="10">
        <v>1468</v>
      </c>
      <c r="B1471" s="12">
        <f t="shared" si="22"/>
        <v>4.02191780821918</v>
      </c>
      <c r="C1471" s="14">
        <f>'1_Inputs'!$H$7</f>
        <v>0.0305712824819807</v>
      </c>
      <c r="D1471" s="12">
        <f>D1470*EXP(-'1_Inputs'!$H$7*(1/365))</f>
        <v>0.912257504492997</v>
      </c>
    </row>
    <row r="1472" spans="1:5">
      <c r="A1472" s="4">
        <v>1469</v>
      </c>
      <c r="B1472" s="6">
        <f t="shared" si="22"/>
        <v>4.02465753424658</v>
      </c>
      <c r="C1472" s="8">
        <f>'1_Inputs'!$H$7</f>
        <v>0.0305712824819807</v>
      </c>
      <c r="D1472" s="6">
        <f>D1471*EXP(-'1_Inputs'!$H$7*(1/365))</f>
        <v>0.91218109979723</v>
      </c>
    </row>
    <row r="1473" spans="1:4">
      <c r="A1473" s="10">
        <v>1470</v>
      </c>
      <c r="B1473" s="12">
        <f t="shared" si="22"/>
        <v>4.02739726027397</v>
      </c>
      <c r="C1473" s="14">
        <f>'1_Inputs'!$H$7</f>
        <v>0.0305712824819807</v>
      </c>
      <c r="D1473" s="12">
        <f>D1472*EXP(-'1_Inputs'!$H$7*(1/365))</f>
        <v>0.912104701500618</v>
      </c>
    </row>
    <row r="1474" spans="1:4">
      <c r="A1474" s="4">
        <v>1471</v>
      </c>
      <c r="B1474" s="6">
        <f t="shared" si="22"/>
        <v>4.03013698630137</v>
      </c>
      <c r="C1474" s="8">
        <f>'1_Inputs'!$H$7</f>
        <v>0.0305712824819807</v>
      </c>
      <c r="D1474" s="6">
        <f>D1473*EXP(-'1_Inputs'!$H$7*(1/365))</f>
        <v>0.912028309602625</v>
      </c>
    </row>
    <row r="1475" spans="1:4">
      <c r="A1475" s="10">
        <v>1472</v>
      </c>
      <c r="B1475" s="12">
        <f t="shared" ref="B1475:B1538" si="23">A1475/365</f>
        <v>4.03287671232877</v>
      </c>
      <c r="C1475" s="14">
        <f>'1_Inputs'!$H$7</f>
        <v>0.0305712824819807</v>
      </c>
      <c r="D1475" s="12">
        <f>D1474*EXP(-'1_Inputs'!$H$7*(1/365))</f>
        <v>0.911951924102716</v>
      </c>
    </row>
    <row r="1476" spans="1:4">
      <c r="A1476" s="4">
        <v>1473</v>
      </c>
      <c r="B1476" s="6">
        <f t="shared" si="23"/>
        <v>4.03561643835616</v>
      </c>
      <c r="C1476" s="8">
        <f>'1_Inputs'!$H$7</f>
        <v>0.0305712824819807</v>
      </c>
      <c r="D1476" s="6">
        <f>D1475*EXP(-'1_Inputs'!$H$7*(1/365))</f>
        <v>0.911875545000355</v>
      </c>
    </row>
    <row r="1477" spans="1:4">
      <c r="A1477" s="10">
        <v>1474</v>
      </c>
      <c r="B1477" s="12">
        <f t="shared" si="23"/>
        <v>4.03835616438356</v>
      </c>
      <c r="C1477" s="14">
        <f>'1_Inputs'!$H$7</f>
        <v>0.0305712824819807</v>
      </c>
      <c r="D1477" s="12">
        <f>D1476*EXP(-'1_Inputs'!$H$7*(1/365))</f>
        <v>0.911799172295006</v>
      </c>
    </row>
    <row r="1478" spans="1:4">
      <c r="A1478" s="4">
        <v>1475</v>
      </c>
      <c r="B1478" s="6">
        <f t="shared" si="23"/>
        <v>4.04109589041096</v>
      </c>
      <c r="C1478" s="8">
        <f>'1_Inputs'!$H$7</f>
        <v>0.0305712824819807</v>
      </c>
      <c r="D1478" s="6">
        <f>D1477*EXP(-'1_Inputs'!$H$7*(1/365))</f>
        <v>0.911722805986132</v>
      </c>
    </row>
    <row r="1479" spans="1:4">
      <c r="A1479" s="10">
        <v>1476</v>
      </c>
      <c r="B1479" s="12">
        <f t="shared" si="23"/>
        <v>4.04383561643836</v>
      </c>
      <c r="C1479" s="14">
        <f>'1_Inputs'!$H$7</f>
        <v>0.0305712824819807</v>
      </c>
      <c r="D1479" s="12">
        <f>D1478*EXP(-'1_Inputs'!$H$7*(1/365))</f>
        <v>0.911646446073199</v>
      </c>
    </row>
    <row r="1480" spans="1:4">
      <c r="A1480" s="4">
        <v>1477</v>
      </c>
      <c r="B1480" s="6">
        <f t="shared" si="23"/>
        <v>4.04657534246575</v>
      </c>
      <c r="C1480" s="8">
        <f>'1_Inputs'!$H$7</f>
        <v>0.0305712824819807</v>
      </c>
      <c r="D1480" s="6">
        <f>D1479*EXP(-'1_Inputs'!$H$7*(1/365))</f>
        <v>0.911570092555671</v>
      </c>
    </row>
    <row r="1481" spans="1:4">
      <c r="A1481" s="10">
        <v>1478</v>
      </c>
      <c r="B1481" s="12">
        <f t="shared" si="23"/>
        <v>4.04931506849315</v>
      </c>
      <c r="C1481" s="14">
        <f>'1_Inputs'!$H$7</f>
        <v>0.0305712824819807</v>
      </c>
      <c r="D1481" s="12">
        <f>D1480*EXP(-'1_Inputs'!$H$7*(1/365))</f>
        <v>0.911493745433012</v>
      </c>
    </row>
    <row r="1482" spans="1:4">
      <c r="A1482" s="4">
        <v>1479</v>
      </c>
      <c r="B1482" s="6">
        <f t="shared" si="23"/>
        <v>4.05205479452055</v>
      </c>
      <c r="C1482" s="8">
        <f>'1_Inputs'!$H$7</f>
        <v>0.0305712824819807</v>
      </c>
      <c r="D1482" s="6">
        <f>D1481*EXP(-'1_Inputs'!$H$7*(1/365))</f>
        <v>0.911417404704686</v>
      </c>
    </row>
    <row r="1483" spans="1:4">
      <c r="A1483" s="10">
        <v>1480</v>
      </c>
      <c r="B1483" s="12">
        <f t="shared" si="23"/>
        <v>4.05479452054795</v>
      </c>
      <c r="C1483" s="14">
        <f>'1_Inputs'!$H$7</f>
        <v>0.0305712824819807</v>
      </c>
      <c r="D1483" s="12">
        <f>D1482*EXP(-'1_Inputs'!$H$7*(1/365))</f>
        <v>0.911341070370158</v>
      </c>
    </row>
    <row r="1484" spans="1:4">
      <c r="A1484" s="4">
        <v>1481</v>
      </c>
      <c r="B1484" s="6">
        <f t="shared" si="23"/>
        <v>4.05753424657534</v>
      </c>
      <c r="C1484" s="8">
        <f>'1_Inputs'!$H$7</f>
        <v>0.0305712824819807</v>
      </c>
      <c r="D1484" s="6">
        <f>D1483*EXP(-'1_Inputs'!$H$7*(1/365))</f>
        <v>0.911264742428892</v>
      </c>
    </row>
    <row r="1485" spans="1:4">
      <c r="A1485" s="10">
        <v>1482</v>
      </c>
      <c r="B1485" s="12">
        <f t="shared" si="23"/>
        <v>4.06027397260274</v>
      </c>
      <c r="C1485" s="14">
        <f>'1_Inputs'!$H$7</f>
        <v>0.0305712824819807</v>
      </c>
      <c r="D1485" s="12">
        <f>D1484*EXP(-'1_Inputs'!$H$7*(1/365))</f>
        <v>0.911188420880354</v>
      </c>
    </row>
    <row r="1486" spans="1:4">
      <c r="A1486" s="4">
        <v>1483</v>
      </c>
      <c r="B1486" s="6">
        <f t="shared" si="23"/>
        <v>4.06301369863014</v>
      </c>
      <c r="C1486" s="8">
        <f>'1_Inputs'!$H$7</f>
        <v>0.0305712824819807</v>
      </c>
      <c r="D1486" s="6">
        <f>D1485*EXP(-'1_Inputs'!$H$7*(1/365))</f>
        <v>0.911112105724007</v>
      </c>
    </row>
    <row r="1487" spans="1:4">
      <c r="A1487" s="10">
        <v>1484</v>
      </c>
      <c r="B1487" s="12">
        <f t="shared" si="23"/>
        <v>4.06575342465753</v>
      </c>
      <c r="C1487" s="14">
        <f>'1_Inputs'!$H$7</f>
        <v>0.0305712824819807</v>
      </c>
      <c r="D1487" s="12">
        <f>D1486*EXP(-'1_Inputs'!$H$7*(1/365))</f>
        <v>0.911035796959316</v>
      </c>
    </row>
    <row r="1488" spans="1:4">
      <c r="A1488" s="4">
        <v>1485</v>
      </c>
      <c r="B1488" s="6">
        <f t="shared" si="23"/>
        <v>4.06849315068493</v>
      </c>
      <c r="C1488" s="8">
        <f>'1_Inputs'!$H$7</f>
        <v>0.0305712824819807</v>
      </c>
      <c r="D1488" s="6">
        <f>D1487*EXP(-'1_Inputs'!$H$7*(1/365))</f>
        <v>0.910959494585746</v>
      </c>
    </row>
    <row r="1489" spans="1:4">
      <c r="A1489" s="10">
        <v>1486</v>
      </c>
      <c r="B1489" s="12">
        <f t="shared" si="23"/>
        <v>4.07123287671233</v>
      </c>
      <c r="C1489" s="14">
        <f>'1_Inputs'!$H$7</f>
        <v>0.0305712824819807</v>
      </c>
      <c r="D1489" s="12">
        <f>D1488*EXP(-'1_Inputs'!$H$7*(1/365))</f>
        <v>0.910883198602762</v>
      </c>
    </row>
    <row r="1490" spans="1:4">
      <c r="A1490" s="4">
        <v>1487</v>
      </c>
      <c r="B1490" s="6">
        <f t="shared" si="23"/>
        <v>4.07397260273973</v>
      </c>
      <c r="C1490" s="8">
        <f>'1_Inputs'!$H$7</f>
        <v>0.0305712824819807</v>
      </c>
      <c r="D1490" s="6">
        <f>D1489*EXP(-'1_Inputs'!$H$7*(1/365))</f>
        <v>0.910806909009827</v>
      </c>
    </row>
    <row r="1491" spans="1:4">
      <c r="A1491" s="10">
        <v>1488</v>
      </c>
      <c r="B1491" s="12">
        <f t="shared" si="23"/>
        <v>4.07671232876712</v>
      </c>
      <c r="C1491" s="14">
        <f>'1_Inputs'!$H$7</f>
        <v>0.0305712824819807</v>
      </c>
      <c r="D1491" s="12">
        <f>D1490*EXP(-'1_Inputs'!$H$7*(1/365))</f>
        <v>0.910730625806408</v>
      </c>
    </row>
    <row r="1492" spans="1:4">
      <c r="A1492" s="4">
        <v>1489</v>
      </c>
      <c r="B1492" s="6">
        <f t="shared" si="23"/>
        <v>4.07945205479452</v>
      </c>
      <c r="C1492" s="8">
        <f>'1_Inputs'!$H$7</f>
        <v>0.0305712824819807</v>
      </c>
      <c r="D1492" s="6">
        <f>D1491*EXP(-'1_Inputs'!$H$7*(1/365))</f>
        <v>0.910654348991969</v>
      </c>
    </row>
    <row r="1493" spans="1:4">
      <c r="A1493" s="10">
        <v>1490</v>
      </c>
      <c r="B1493" s="12">
        <f t="shared" si="23"/>
        <v>4.08219178082192</v>
      </c>
      <c r="C1493" s="14">
        <f>'1_Inputs'!$H$7</f>
        <v>0.0305712824819807</v>
      </c>
      <c r="D1493" s="12">
        <f>D1492*EXP(-'1_Inputs'!$H$7*(1/365))</f>
        <v>0.910578078565975</v>
      </c>
    </row>
    <row r="1494" spans="1:4">
      <c r="A1494" s="4">
        <v>1491</v>
      </c>
      <c r="B1494" s="6">
        <f t="shared" si="23"/>
        <v>4.08493150684932</v>
      </c>
      <c r="C1494" s="8">
        <f>'1_Inputs'!$H$7</f>
        <v>0.0305712824819807</v>
      </c>
      <c r="D1494" s="6">
        <f>D1493*EXP(-'1_Inputs'!$H$7*(1/365))</f>
        <v>0.910501814527891</v>
      </c>
    </row>
    <row r="1495" spans="1:4">
      <c r="A1495" s="10">
        <v>1492</v>
      </c>
      <c r="B1495" s="12">
        <f t="shared" si="23"/>
        <v>4.08767123287671</v>
      </c>
      <c r="C1495" s="14">
        <f>'1_Inputs'!$H$7</f>
        <v>0.0305712824819807</v>
      </c>
      <c r="D1495" s="12">
        <f>D1494*EXP(-'1_Inputs'!$H$7*(1/365))</f>
        <v>0.910425556877182</v>
      </c>
    </row>
    <row r="1496" spans="1:4">
      <c r="A1496" s="4">
        <v>1493</v>
      </c>
      <c r="B1496" s="6">
        <f t="shared" si="23"/>
        <v>4.09041095890411</v>
      </c>
      <c r="C1496" s="8">
        <f>'1_Inputs'!$H$7</f>
        <v>0.0305712824819807</v>
      </c>
      <c r="D1496" s="6">
        <f>D1495*EXP(-'1_Inputs'!$H$7*(1/365))</f>
        <v>0.910349305613312</v>
      </c>
    </row>
    <row r="1497" spans="1:4">
      <c r="A1497" s="10">
        <v>1494</v>
      </c>
      <c r="B1497" s="12">
        <f t="shared" si="23"/>
        <v>4.09315068493151</v>
      </c>
      <c r="C1497" s="14">
        <f>'1_Inputs'!$H$7</f>
        <v>0.0305712824819807</v>
      </c>
      <c r="D1497" s="12">
        <f>D1496*EXP(-'1_Inputs'!$H$7*(1/365))</f>
        <v>0.910273060735748</v>
      </c>
    </row>
    <row r="1498" spans="1:4">
      <c r="A1498" s="4">
        <v>1495</v>
      </c>
      <c r="B1498" s="6">
        <f t="shared" si="23"/>
        <v>4.0958904109589</v>
      </c>
      <c r="C1498" s="8">
        <f>'1_Inputs'!$H$7</f>
        <v>0.0305712824819807</v>
      </c>
      <c r="D1498" s="6">
        <f>D1497*EXP(-'1_Inputs'!$H$7*(1/365))</f>
        <v>0.910196822243953</v>
      </c>
    </row>
    <row r="1499" spans="1:4">
      <c r="A1499" s="10">
        <v>1496</v>
      </c>
      <c r="B1499" s="12">
        <f t="shared" si="23"/>
        <v>4.0986301369863</v>
      </c>
      <c r="C1499" s="14">
        <f>'1_Inputs'!$H$7</f>
        <v>0.0305712824819807</v>
      </c>
      <c r="D1499" s="12">
        <f>D1498*EXP(-'1_Inputs'!$H$7*(1/365))</f>
        <v>0.910120590137394</v>
      </c>
    </row>
    <row r="1500" spans="1:4">
      <c r="A1500" s="4">
        <v>1497</v>
      </c>
      <c r="B1500" s="6">
        <f t="shared" si="23"/>
        <v>4.1013698630137</v>
      </c>
      <c r="C1500" s="8">
        <f>'1_Inputs'!$H$7</f>
        <v>0.0305712824819807</v>
      </c>
      <c r="D1500" s="6">
        <f>D1499*EXP(-'1_Inputs'!$H$7*(1/365))</f>
        <v>0.910044364415535</v>
      </c>
    </row>
    <row r="1501" spans="1:4">
      <c r="A1501" s="10">
        <v>1498</v>
      </c>
      <c r="B1501" s="12">
        <f t="shared" si="23"/>
        <v>4.1041095890411</v>
      </c>
      <c r="C1501" s="14">
        <f>'1_Inputs'!$H$7</f>
        <v>0.0305712824819807</v>
      </c>
      <c r="D1501" s="12">
        <f>D1500*EXP(-'1_Inputs'!$H$7*(1/365))</f>
        <v>0.909968145077842</v>
      </c>
    </row>
    <row r="1502" spans="1:4">
      <c r="A1502" s="4">
        <v>1499</v>
      </c>
      <c r="B1502" s="6">
        <f t="shared" si="23"/>
        <v>4.10684931506849</v>
      </c>
      <c r="C1502" s="8">
        <f>'1_Inputs'!$H$7</f>
        <v>0.0305712824819807</v>
      </c>
      <c r="D1502" s="6">
        <f>D1501*EXP(-'1_Inputs'!$H$7*(1/365))</f>
        <v>0.90989193212378</v>
      </c>
    </row>
    <row r="1503" spans="1:4">
      <c r="A1503" s="10">
        <v>1500</v>
      </c>
      <c r="B1503" s="12">
        <f t="shared" si="23"/>
        <v>4.10958904109589</v>
      </c>
      <c r="C1503" s="14">
        <f>'1_Inputs'!$H$7</f>
        <v>0.0305712824819807</v>
      </c>
      <c r="D1503" s="12">
        <f>D1502*EXP(-'1_Inputs'!$H$7*(1/365))</f>
        <v>0.909815725552814</v>
      </c>
    </row>
    <row r="1504" spans="1:4">
      <c r="A1504" s="4">
        <v>1501</v>
      </c>
      <c r="B1504" s="6">
        <f t="shared" si="23"/>
        <v>4.11232876712329</v>
      </c>
      <c r="C1504" s="8">
        <f>'1_Inputs'!$H$7</f>
        <v>0.0305712824819807</v>
      </c>
      <c r="D1504" s="6">
        <f>D1503*EXP(-'1_Inputs'!$H$7*(1/365))</f>
        <v>0.90973952536441</v>
      </c>
    </row>
    <row r="1505" spans="1:4">
      <c r="A1505" s="10">
        <v>1502</v>
      </c>
      <c r="B1505" s="12">
        <f t="shared" si="23"/>
        <v>4.11506849315068</v>
      </c>
      <c r="C1505" s="14">
        <f>'1_Inputs'!$H$7</f>
        <v>0.0305712824819807</v>
      </c>
      <c r="D1505" s="12">
        <f>D1504*EXP(-'1_Inputs'!$H$7*(1/365))</f>
        <v>0.909663331558034</v>
      </c>
    </row>
    <row r="1506" spans="1:4">
      <c r="A1506" s="4">
        <v>1503</v>
      </c>
      <c r="B1506" s="6">
        <f t="shared" si="23"/>
        <v>4.11780821917808</v>
      </c>
      <c r="C1506" s="8">
        <f>'1_Inputs'!$H$7</f>
        <v>0.0305712824819807</v>
      </c>
      <c r="D1506" s="6">
        <f>D1505*EXP(-'1_Inputs'!$H$7*(1/365))</f>
        <v>0.90958714413315</v>
      </c>
    </row>
    <row r="1507" spans="1:4">
      <c r="A1507" s="10">
        <v>1504</v>
      </c>
      <c r="B1507" s="12">
        <f t="shared" si="23"/>
        <v>4.12054794520548</v>
      </c>
      <c r="C1507" s="14">
        <f>'1_Inputs'!$H$7</f>
        <v>0.0305712824819807</v>
      </c>
      <c r="D1507" s="12">
        <f>D1506*EXP(-'1_Inputs'!$H$7*(1/365))</f>
        <v>0.909510963089224</v>
      </c>
    </row>
    <row r="1508" spans="1:4">
      <c r="A1508" s="4">
        <v>1505</v>
      </c>
      <c r="B1508" s="6">
        <f t="shared" si="23"/>
        <v>4.12328767123288</v>
      </c>
      <c r="C1508" s="8">
        <f>'1_Inputs'!$H$7</f>
        <v>0.0305712824819807</v>
      </c>
      <c r="D1508" s="6">
        <f>D1507*EXP(-'1_Inputs'!$H$7*(1/365))</f>
        <v>0.909434788425722</v>
      </c>
    </row>
    <row r="1509" spans="1:4">
      <c r="A1509" s="10">
        <v>1506</v>
      </c>
      <c r="B1509" s="12">
        <f t="shared" si="23"/>
        <v>4.12602739726027</v>
      </c>
      <c r="C1509" s="14">
        <f>'1_Inputs'!$H$7</f>
        <v>0.0305712824819807</v>
      </c>
      <c r="D1509" s="12">
        <f>D1508*EXP(-'1_Inputs'!$H$7*(1/365))</f>
        <v>0.909358620142109</v>
      </c>
    </row>
    <row r="1510" spans="1:4">
      <c r="A1510" s="4">
        <v>1507</v>
      </c>
      <c r="B1510" s="6">
        <f t="shared" si="23"/>
        <v>4.12876712328767</v>
      </c>
      <c r="C1510" s="8">
        <f>'1_Inputs'!$H$7</f>
        <v>0.0305712824819807</v>
      </c>
      <c r="D1510" s="6">
        <f>D1509*EXP(-'1_Inputs'!$H$7*(1/365))</f>
        <v>0.909282458237852</v>
      </c>
    </row>
    <row r="1511" spans="1:4">
      <c r="A1511" s="10">
        <v>1508</v>
      </c>
      <c r="B1511" s="12">
        <f t="shared" si="23"/>
        <v>4.13150684931507</v>
      </c>
      <c r="C1511" s="14">
        <f>'1_Inputs'!$H$7</f>
        <v>0.0305712824819807</v>
      </c>
      <c r="D1511" s="12">
        <f>D1510*EXP(-'1_Inputs'!$H$7*(1/365))</f>
        <v>0.909206302712415</v>
      </c>
    </row>
    <row r="1512" spans="1:4">
      <c r="A1512" s="4">
        <v>1509</v>
      </c>
      <c r="B1512" s="6">
        <f t="shared" si="23"/>
        <v>4.13424657534247</v>
      </c>
      <c r="C1512" s="8">
        <f>'1_Inputs'!$H$7</f>
        <v>0.0305712824819807</v>
      </c>
      <c r="D1512" s="6">
        <f>D1511*EXP(-'1_Inputs'!$H$7*(1/365))</f>
        <v>0.909130153565265</v>
      </c>
    </row>
    <row r="1513" spans="1:4">
      <c r="A1513" s="10">
        <v>1510</v>
      </c>
      <c r="B1513" s="12">
        <f t="shared" si="23"/>
        <v>4.13698630136986</v>
      </c>
      <c r="C1513" s="14">
        <f>'1_Inputs'!$H$7</f>
        <v>0.0305712824819807</v>
      </c>
      <c r="D1513" s="12">
        <f>D1512*EXP(-'1_Inputs'!$H$7*(1/365))</f>
        <v>0.909054010795867</v>
      </c>
    </row>
    <row r="1514" spans="1:4">
      <c r="A1514" s="4">
        <v>1511</v>
      </c>
      <c r="B1514" s="6">
        <f t="shared" si="23"/>
        <v>4.13972602739726</v>
      </c>
      <c r="C1514" s="8">
        <f>'1_Inputs'!$H$7</f>
        <v>0.0305712824819807</v>
      </c>
      <c r="D1514" s="6">
        <f>D1513*EXP(-'1_Inputs'!$H$7*(1/365))</f>
        <v>0.908977874403687</v>
      </c>
    </row>
    <row r="1515" spans="1:4">
      <c r="A1515" s="10">
        <v>1512</v>
      </c>
      <c r="B1515" s="12">
        <f t="shared" si="23"/>
        <v>4.14246575342466</v>
      </c>
      <c r="C1515" s="14">
        <f>'1_Inputs'!$H$7</f>
        <v>0.0305712824819807</v>
      </c>
      <c r="D1515" s="12">
        <f>D1514*EXP(-'1_Inputs'!$H$7*(1/365))</f>
        <v>0.908901744388191</v>
      </c>
    </row>
    <row r="1516" spans="1:4">
      <c r="A1516" s="4">
        <v>1513</v>
      </c>
      <c r="B1516" s="6">
        <f t="shared" si="23"/>
        <v>4.14520547945205</v>
      </c>
      <c r="C1516" s="8">
        <f>'1_Inputs'!$H$7</f>
        <v>0.0305712824819807</v>
      </c>
      <c r="D1516" s="6">
        <f>D1515*EXP(-'1_Inputs'!$H$7*(1/365))</f>
        <v>0.908825620748846</v>
      </c>
    </row>
    <row r="1517" spans="1:4">
      <c r="A1517" s="10">
        <v>1514</v>
      </c>
      <c r="B1517" s="12">
        <f t="shared" si="23"/>
        <v>4.14794520547945</v>
      </c>
      <c r="C1517" s="14">
        <f>'1_Inputs'!$H$7</f>
        <v>0.0305712824819807</v>
      </c>
      <c r="D1517" s="12">
        <f>D1516*EXP(-'1_Inputs'!$H$7*(1/365))</f>
        <v>0.908749503485116</v>
      </c>
    </row>
    <row r="1518" spans="1:4">
      <c r="A1518" s="4">
        <v>1515</v>
      </c>
      <c r="B1518" s="6">
        <f t="shared" si="23"/>
        <v>4.15068493150685</v>
      </c>
      <c r="C1518" s="8">
        <f>'1_Inputs'!$H$7</f>
        <v>0.0305712824819807</v>
      </c>
      <c r="D1518" s="6">
        <f>D1517*EXP(-'1_Inputs'!$H$7*(1/365))</f>
        <v>0.908673392596468</v>
      </c>
    </row>
    <row r="1519" spans="1:4">
      <c r="A1519" s="10">
        <v>1516</v>
      </c>
      <c r="B1519" s="12">
        <f t="shared" si="23"/>
        <v>4.15342465753425</v>
      </c>
      <c r="C1519" s="14">
        <f>'1_Inputs'!$H$7</f>
        <v>0.0305712824819807</v>
      </c>
      <c r="D1519" s="12">
        <f>D1518*EXP(-'1_Inputs'!$H$7*(1/365))</f>
        <v>0.908597288082369</v>
      </c>
    </row>
    <row r="1520" spans="1:4">
      <c r="A1520" s="4">
        <v>1517</v>
      </c>
      <c r="B1520" s="6">
        <f t="shared" si="23"/>
        <v>4.15616438356164</v>
      </c>
      <c r="C1520" s="8">
        <f>'1_Inputs'!$H$7</f>
        <v>0.0305712824819807</v>
      </c>
      <c r="D1520" s="6">
        <f>D1519*EXP(-'1_Inputs'!$H$7*(1/365))</f>
        <v>0.908521189942283</v>
      </c>
    </row>
    <row r="1521" spans="1:4">
      <c r="A1521" s="10">
        <v>1518</v>
      </c>
      <c r="B1521" s="12">
        <f t="shared" si="23"/>
        <v>4.15890410958904</v>
      </c>
      <c r="C1521" s="14">
        <f>'1_Inputs'!$H$7</f>
        <v>0.0305712824819807</v>
      </c>
      <c r="D1521" s="12">
        <f>D1520*EXP(-'1_Inputs'!$H$7*(1/365))</f>
        <v>0.908445098175678</v>
      </c>
    </row>
    <row r="1522" spans="1:4">
      <c r="A1522" s="4">
        <v>1519</v>
      </c>
      <c r="B1522" s="6">
        <f t="shared" si="23"/>
        <v>4.16164383561644</v>
      </c>
      <c r="C1522" s="8">
        <f>'1_Inputs'!$H$7</f>
        <v>0.0305712824819807</v>
      </c>
      <c r="D1522" s="6">
        <f>D1521*EXP(-'1_Inputs'!$H$7*(1/365))</f>
        <v>0.908369012782019</v>
      </c>
    </row>
    <row r="1523" spans="1:4">
      <c r="A1523" s="10">
        <v>1520</v>
      </c>
      <c r="B1523" s="12">
        <f t="shared" si="23"/>
        <v>4.16438356164384</v>
      </c>
      <c r="C1523" s="14">
        <f>'1_Inputs'!$H$7</f>
        <v>0.0305712824819807</v>
      </c>
      <c r="D1523" s="12">
        <f>D1522*EXP(-'1_Inputs'!$H$7*(1/365))</f>
        <v>0.908292933760773</v>
      </c>
    </row>
    <row r="1524" spans="1:4">
      <c r="A1524" s="4">
        <v>1521</v>
      </c>
      <c r="B1524" s="6">
        <f t="shared" si="23"/>
        <v>4.16712328767123</v>
      </c>
      <c r="C1524" s="8">
        <f>'1_Inputs'!$H$7</f>
        <v>0.0305712824819807</v>
      </c>
      <c r="D1524" s="6">
        <f>D1523*EXP(-'1_Inputs'!$H$7*(1/365))</f>
        <v>0.908216861111406</v>
      </c>
    </row>
    <row r="1525" spans="1:4">
      <c r="A1525" s="10">
        <v>1522</v>
      </c>
      <c r="B1525" s="12">
        <f t="shared" si="23"/>
        <v>4.16986301369863</v>
      </c>
      <c r="C1525" s="14">
        <f>'1_Inputs'!$H$7</f>
        <v>0.0305712824819807</v>
      </c>
      <c r="D1525" s="12">
        <f>D1524*EXP(-'1_Inputs'!$H$7*(1/365))</f>
        <v>0.908140794833385</v>
      </c>
    </row>
    <row r="1526" spans="1:4">
      <c r="A1526" s="4">
        <v>1523</v>
      </c>
      <c r="B1526" s="6">
        <f t="shared" si="23"/>
        <v>4.17260273972603</v>
      </c>
      <c r="C1526" s="8">
        <f>'1_Inputs'!$H$7</f>
        <v>0.0305712824819807</v>
      </c>
      <c r="D1526" s="6">
        <f>D1525*EXP(-'1_Inputs'!$H$7*(1/365))</f>
        <v>0.908064734926175</v>
      </c>
    </row>
    <row r="1527" spans="1:4">
      <c r="A1527" s="10">
        <v>1524</v>
      </c>
      <c r="B1527" s="12">
        <f t="shared" si="23"/>
        <v>4.17534246575342</v>
      </c>
      <c r="C1527" s="14">
        <f>'1_Inputs'!$H$7</f>
        <v>0.0305712824819807</v>
      </c>
      <c r="D1527" s="12">
        <f>D1526*EXP(-'1_Inputs'!$H$7*(1/365))</f>
        <v>0.907988681389243</v>
      </c>
    </row>
    <row r="1528" spans="1:4">
      <c r="A1528" s="4">
        <v>1525</v>
      </c>
      <c r="B1528" s="6">
        <f t="shared" si="23"/>
        <v>4.17808219178082</v>
      </c>
      <c r="C1528" s="8">
        <f>'1_Inputs'!$H$7</f>
        <v>0.0305712824819807</v>
      </c>
      <c r="D1528" s="6">
        <f>D1527*EXP(-'1_Inputs'!$H$7*(1/365))</f>
        <v>0.907912634222056</v>
      </c>
    </row>
    <row r="1529" spans="1:4">
      <c r="A1529" s="10">
        <v>1526</v>
      </c>
      <c r="B1529" s="12">
        <f t="shared" si="23"/>
        <v>4.18082191780822</v>
      </c>
      <c r="C1529" s="14">
        <f>'1_Inputs'!$H$7</f>
        <v>0.0305712824819807</v>
      </c>
      <c r="D1529" s="12">
        <f>D1528*EXP(-'1_Inputs'!$H$7*(1/365))</f>
        <v>0.90783659342408</v>
      </c>
    </row>
    <row r="1530" spans="1:4">
      <c r="A1530" s="4">
        <v>1527</v>
      </c>
      <c r="B1530" s="6">
        <f t="shared" si="23"/>
        <v>4.18356164383562</v>
      </c>
      <c r="C1530" s="8">
        <f>'1_Inputs'!$H$7</f>
        <v>0.0305712824819807</v>
      </c>
      <c r="D1530" s="6">
        <f>D1529*EXP(-'1_Inputs'!$H$7*(1/365))</f>
        <v>0.907760558994782</v>
      </c>
    </row>
    <row r="1531" spans="1:4">
      <c r="A1531" s="10">
        <v>1528</v>
      </c>
      <c r="B1531" s="12">
        <f t="shared" si="23"/>
        <v>4.18630136986301</v>
      </c>
      <c r="C1531" s="14">
        <f>'1_Inputs'!$H$7</f>
        <v>0.0305712824819807</v>
      </c>
      <c r="D1531" s="12">
        <f>D1530*EXP(-'1_Inputs'!$H$7*(1/365))</f>
        <v>0.907684530933628</v>
      </c>
    </row>
    <row r="1532" spans="1:4">
      <c r="A1532" s="4">
        <v>1529</v>
      </c>
      <c r="B1532" s="6">
        <f t="shared" si="23"/>
        <v>4.18904109589041</v>
      </c>
      <c r="C1532" s="8">
        <f>'1_Inputs'!$H$7</f>
        <v>0.0305712824819807</v>
      </c>
      <c r="D1532" s="6">
        <f>D1531*EXP(-'1_Inputs'!$H$7*(1/365))</f>
        <v>0.907608509240085</v>
      </c>
    </row>
    <row r="1533" spans="1:4">
      <c r="A1533" s="10">
        <v>1530</v>
      </c>
      <c r="B1533" s="12">
        <f t="shared" si="23"/>
        <v>4.19178082191781</v>
      </c>
      <c r="C1533" s="14">
        <f>'1_Inputs'!$H$7</f>
        <v>0.0305712824819807</v>
      </c>
      <c r="D1533" s="12">
        <f>D1532*EXP(-'1_Inputs'!$H$7*(1/365))</f>
        <v>0.90753249391362</v>
      </c>
    </row>
    <row r="1534" spans="1:4">
      <c r="A1534" s="4">
        <v>1531</v>
      </c>
      <c r="B1534" s="6">
        <f t="shared" si="23"/>
        <v>4.19452054794521</v>
      </c>
      <c r="C1534" s="8">
        <f>'1_Inputs'!$H$7</f>
        <v>0.0305712824819807</v>
      </c>
      <c r="D1534" s="6">
        <f>D1533*EXP(-'1_Inputs'!$H$7*(1/365))</f>
        <v>0.907456484953699</v>
      </c>
    </row>
    <row r="1535" spans="1:4">
      <c r="A1535" s="10">
        <v>1532</v>
      </c>
      <c r="B1535" s="12">
        <f t="shared" si="23"/>
        <v>4.1972602739726</v>
      </c>
      <c r="C1535" s="14">
        <f>'1_Inputs'!$H$7</f>
        <v>0.0305712824819807</v>
      </c>
      <c r="D1535" s="12">
        <f>D1534*EXP(-'1_Inputs'!$H$7*(1/365))</f>
        <v>0.90738048235979</v>
      </c>
    </row>
    <row r="1536" spans="1:4">
      <c r="A1536" s="4">
        <v>1533</v>
      </c>
      <c r="B1536" s="6">
        <f t="shared" si="23"/>
        <v>4.2</v>
      </c>
      <c r="C1536" s="8">
        <f>'1_Inputs'!$H$7</f>
        <v>0.0305712824819807</v>
      </c>
      <c r="D1536" s="6">
        <f>D1535*EXP(-'1_Inputs'!$H$7*(1/365))</f>
        <v>0.907304486131358</v>
      </c>
    </row>
    <row r="1537" spans="1:4">
      <c r="A1537" s="10">
        <v>1534</v>
      </c>
      <c r="B1537" s="12">
        <f t="shared" si="23"/>
        <v>4.2027397260274</v>
      </c>
      <c r="C1537" s="14">
        <f>'1_Inputs'!$H$7</f>
        <v>0.0305712824819807</v>
      </c>
      <c r="D1537" s="12">
        <f>D1536*EXP(-'1_Inputs'!$H$7*(1/365))</f>
        <v>0.907228496267871</v>
      </c>
    </row>
    <row r="1538" spans="1:4">
      <c r="A1538" s="4">
        <v>1535</v>
      </c>
      <c r="B1538" s="6">
        <f t="shared" si="23"/>
        <v>4.20547945205479</v>
      </c>
      <c r="C1538" s="8">
        <f>'1_Inputs'!$H$7</f>
        <v>0.0305712824819807</v>
      </c>
      <c r="D1538" s="6">
        <f>D1537*EXP(-'1_Inputs'!$H$7*(1/365))</f>
        <v>0.907152512768796</v>
      </c>
    </row>
    <row r="1539" spans="1:4">
      <c r="A1539" s="10">
        <v>1536</v>
      </c>
      <c r="B1539" s="12">
        <f t="shared" ref="B1539:B1602" si="24">A1539/365</f>
        <v>4.20821917808219</v>
      </c>
      <c r="C1539" s="14">
        <f>'1_Inputs'!$H$7</f>
        <v>0.0305712824819807</v>
      </c>
      <c r="D1539" s="12">
        <f>D1538*EXP(-'1_Inputs'!$H$7*(1/365))</f>
        <v>0.9070765356336</v>
      </c>
    </row>
    <row r="1540" spans="1:4">
      <c r="A1540" s="4">
        <v>1537</v>
      </c>
      <c r="B1540" s="6">
        <f t="shared" si="24"/>
        <v>4.21095890410959</v>
      </c>
      <c r="C1540" s="8">
        <f>'1_Inputs'!$H$7</f>
        <v>0.0305712824819807</v>
      </c>
      <c r="D1540" s="6">
        <f>D1539*EXP(-'1_Inputs'!$H$7*(1/365))</f>
        <v>0.90700056486175</v>
      </c>
    </row>
    <row r="1541" spans="1:4">
      <c r="A1541" s="10">
        <v>1538</v>
      </c>
      <c r="B1541" s="12">
        <f t="shared" si="24"/>
        <v>4.21369863013699</v>
      </c>
      <c r="C1541" s="14">
        <f>'1_Inputs'!$H$7</f>
        <v>0.0305712824819807</v>
      </c>
      <c r="D1541" s="12">
        <f>D1540*EXP(-'1_Inputs'!$H$7*(1/365))</f>
        <v>0.906924600452712</v>
      </c>
    </row>
    <row r="1542" spans="1:4">
      <c r="A1542" s="4">
        <v>1539</v>
      </c>
      <c r="B1542" s="6">
        <f t="shared" si="24"/>
        <v>4.21643835616438</v>
      </c>
      <c r="C1542" s="8">
        <f>'1_Inputs'!$H$7</f>
        <v>0.0305712824819807</v>
      </c>
      <c r="D1542" s="6">
        <f>D1541*EXP(-'1_Inputs'!$H$7*(1/365))</f>
        <v>0.906848642405954</v>
      </c>
    </row>
    <row r="1543" spans="1:4">
      <c r="A1543" s="10">
        <v>1540</v>
      </c>
      <c r="B1543" s="12">
        <f t="shared" si="24"/>
        <v>4.21917808219178</v>
      </c>
      <c r="C1543" s="14">
        <f>'1_Inputs'!$H$7</f>
        <v>0.0305712824819807</v>
      </c>
      <c r="D1543" s="12">
        <f>D1542*EXP(-'1_Inputs'!$H$7*(1/365))</f>
        <v>0.906772690720943</v>
      </c>
    </row>
    <row r="1544" spans="1:4">
      <c r="A1544" s="4">
        <v>1541</v>
      </c>
      <c r="B1544" s="6">
        <f t="shared" si="24"/>
        <v>4.22191780821918</v>
      </c>
      <c r="C1544" s="8">
        <f>'1_Inputs'!$H$7</f>
        <v>0.0305712824819807</v>
      </c>
      <c r="D1544" s="6">
        <f>D1543*EXP(-'1_Inputs'!$H$7*(1/365))</f>
        <v>0.906696745397146</v>
      </c>
    </row>
    <row r="1545" spans="1:4">
      <c r="A1545" s="10">
        <v>1542</v>
      </c>
      <c r="B1545" s="12">
        <f t="shared" si="24"/>
        <v>4.22465753424658</v>
      </c>
      <c r="C1545" s="14">
        <f>'1_Inputs'!$H$7</f>
        <v>0.0305712824819807</v>
      </c>
      <c r="D1545" s="12">
        <f>D1544*EXP(-'1_Inputs'!$H$7*(1/365))</f>
        <v>0.906620806434031</v>
      </c>
    </row>
    <row r="1546" spans="1:4">
      <c r="A1546" s="4">
        <v>1543</v>
      </c>
      <c r="B1546" s="6">
        <f t="shared" si="24"/>
        <v>4.22739726027397</v>
      </c>
      <c r="C1546" s="8">
        <f>'1_Inputs'!$H$7</f>
        <v>0.0305712824819807</v>
      </c>
      <c r="D1546" s="6">
        <f>D1545*EXP(-'1_Inputs'!$H$7*(1/365))</f>
        <v>0.906544873831064</v>
      </c>
    </row>
    <row r="1547" spans="1:4">
      <c r="A1547" s="10">
        <v>1544</v>
      </c>
      <c r="B1547" s="12">
        <f t="shared" si="24"/>
        <v>4.23013698630137</v>
      </c>
      <c r="C1547" s="14">
        <f>'1_Inputs'!$H$7</f>
        <v>0.0305712824819807</v>
      </c>
      <c r="D1547" s="12">
        <f>D1546*EXP(-'1_Inputs'!$H$7*(1/365))</f>
        <v>0.906468947587714</v>
      </c>
    </row>
    <row r="1548" spans="1:4">
      <c r="A1548" s="4">
        <v>1545</v>
      </c>
      <c r="B1548" s="6">
        <f t="shared" si="24"/>
        <v>4.23287671232877</v>
      </c>
      <c r="C1548" s="8">
        <f>'1_Inputs'!$H$7</f>
        <v>0.0305712824819807</v>
      </c>
      <c r="D1548" s="6">
        <f>D1547*EXP(-'1_Inputs'!$H$7*(1/365))</f>
        <v>0.906393027703447</v>
      </c>
    </row>
    <row r="1549" spans="1:4">
      <c r="A1549" s="10">
        <v>1546</v>
      </c>
      <c r="B1549" s="12">
        <f t="shared" si="24"/>
        <v>4.23561643835616</v>
      </c>
      <c r="C1549" s="14">
        <f>'1_Inputs'!$H$7</f>
        <v>0.0305712824819807</v>
      </c>
      <c r="D1549" s="12">
        <f>D1548*EXP(-'1_Inputs'!$H$7*(1/365))</f>
        <v>0.90631711417773</v>
      </c>
    </row>
    <row r="1550" spans="1:4">
      <c r="A1550" s="4">
        <v>1547</v>
      </c>
      <c r="B1550" s="6">
        <f t="shared" si="24"/>
        <v>4.23835616438356</v>
      </c>
      <c r="C1550" s="8">
        <f>'1_Inputs'!$H$7</f>
        <v>0.0305712824819807</v>
      </c>
      <c r="D1550" s="6">
        <f>D1549*EXP(-'1_Inputs'!$H$7*(1/365))</f>
        <v>0.906241207010032</v>
      </c>
    </row>
    <row r="1551" spans="1:4">
      <c r="A1551" s="10">
        <v>1548</v>
      </c>
      <c r="B1551" s="12">
        <f t="shared" si="24"/>
        <v>4.24109589041096</v>
      </c>
      <c r="C1551" s="14">
        <f>'1_Inputs'!$H$7</f>
        <v>0.0305712824819807</v>
      </c>
      <c r="D1551" s="12">
        <f>D1550*EXP(-'1_Inputs'!$H$7*(1/365))</f>
        <v>0.906165306199819</v>
      </c>
    </row>
    <row r="1552" spans="1:4">
      <c r="A1552" s="4">
        <v>1549</v>
      </c>
      <c r="B1552" s="6">
        <f t="shared" si="24"/>
        <v>4.24383561643836</v>
      </c>
      <c r="C1552" s="8">
        <f>'1_Inputs'!$H$7</f>
        <v>0.0305712824819807</v>
      </c>
      <c r="D1552" s="6">
        <f>D1551*EXP(-'1_Inputs'!$H$7*(1/365))</f>
        <v>0.90608941174656</v>
      </c>
    </row>
    <row r="1553" spans="1:5">
      <c r="A1553" s="10">
        <v>1550</v>
      </c>
      <c r="B1553" s="12">
        <f t="shared" si="24"/>
        <v>4.24657534246575</v>
      </c>
      <c r="C1553" s="14">
        <f>'1_Inputs'!$H$7</f>
        <v>0.0305712824819807</v>
      </c>
      <c r="D1553" s="12">
        <f>D1552*EXP(-'1_Inputs'!$H$7*(1/365))</f>
        <v>0.906013523649722</v>
      </c>
    </row>
    <row r="1554" spans="1:5">
      <c r="A1554" s="4">
        <v>1551</v>
      </c>
      <c r="B1554" s="6">
        <f t="shared" si="24"/>
        <v>4.24931506849315</v>
      </c>
      <c r="C1554" s="8">
        <f>'1_Inputs'!$H$7</f>
        <v>0.0305712824819807</v>
      </c>
      <c r="D1554" s="6">
        <f>D1553*EXP(-'1_Inputs'!$H$7*(1/365))</f>
        <v>0.905937641908772</v>
      </c>
      <c r="E1554" s="43" t="s">
        <v>59</v>
      </c>
    </row>
    <row r="1555" spans="1:5">
      <c r="A1555" s="10">
        <v>1552</v>
      </c>
      <c r="B1555" s="12">
        <f t="shared" si="24"/>
        <v>4.25205479452055</v>
      </c>
      <c r="C1555" s="14">
        <f>'1_Inputs'!$H$7</f>
        <v>0.0305712824819807</v>
      </c>
      <c r="D1555" s="12">
        <f>D1554*EXP(-'1_Inputs'!$H$7*(1/365))</f>
        <v>0.905861766523178</v>
      </c>
    </row>
    <row r="1556" spans="1:5">
      <c r="A1556" s="4">
        <v>1553</v>
      </c>
      <c r="B1556" s="6">
        <f t="shared" si="24"/>
        <v>4.25479452054795</v>
      </c>
      <c r="C1556" s="8">
        <f>'1_Inputs'!$H$7</f>
        <v>0.0305712824819807</v>
      </c>
      <c r="D1556" s="6">
        <f>D1555*EXP(-'1_Inputs'!$H$7*(1/365))</f>
        <v>0.905785897492408</v>
      </c>
    </row>
    <row r="1557" spans="1:5">
      <c r="A1557" s="10">
        <v>1554</v>
      </c>
      <c r="B1557" s="12">
        <f t="shared" si="24"/>
        <v>4.25753424657534</v>
      </c>
      <c r="C1557" s="14">
        <f>'1_Inputs'!$H$7</f>
        <v>0.0305712824819807</v>
      </c>
      <c r="D1557" s="12">
        <f>D1556*EXP(-'1_Inputs'!$H$7*(1/365))</f>
        <v>0.90571003481593</v>
      </c>
    </row>
    <row r="1558" spans="1:5">
      <c r="A1558" s="4">
        <v>1555</v>
      </c>
      <c r="B1558" s="6">
        <f t="shared" si="24"/>
        <v>4.26027397260274</v>
      </c>
      <c r="C1558" s="8">
        <f>'1_Inputs'!$H$7</f>
        <v>0.0305712824819807</v>
      </c>
      <c r="D1558" s="6">
        <f>D1557*EXP(-'1_Inputs'!$H$7*(1/365))</f>
        <v>0.905634178493211</v>
      </c>
    </row>
    <row r="1559" spans="1:5">
      <c r="A1559" s="10">
        <v>1556</v>
      </c>
      <c r="B1559" s="12">
        <f t="shared" si="24"/>
        <v>4.26301369863014</v>
      </c>
      <c r="C1559" s="14">
        <f>'1_Inputs'!$H$7</f>
        <v>0.0305712824819807</v>
      </c>
      <c r="D1559" s="12">
        <f>D1558*EXP(-'1_Inputs'!$H$7*(1/365))</f>
        <v>0.905558328523719</v>
      </c>
    </row>
    <row r="1560" spans="1:5">
      <c r="A1560" s="4">
        <v>1557</v>
      </c>
      <c r="B1560" s="6">
        <f t="shared" si="24"/>
        <v>4.26575342465753</v>
      </c>
      <c r="C1560" s="8">
        <f>'1_Inputs'!$H$7</f>
        <v>0.0305712824819807</v>
      </c>
      <c r="D1560" s="6">
        <f>D1559*EXP(-'1_Inputs'!$H$7*(1/365))</f>
        <v>0.905482484906923</v>
      </c>
    </row>
    <row r="1561" spans="1:5">
      <c r="A1561" s="10">
        <v>1558</v>
      </c>
      <c r="B1561" s="12">
        <f t="shared" si="24"/>
        <v>4.26849315068493</v>
      </c>
      <c r="C1561" s="14">
        <f>'1_Inputs'!$H$7</f>
        <v>0.0305712824819807</v>
      </c>
      <c r="D1561" s="12">
        <f>D1560*EXP(-'1_Inputs'!$H$7*(1/365))</f>
        <v>0.905406647642289</v>
      </c>
    </row>
    <row r="1562" spans="1:5">
      <c r="A1562" s="4">
        <v>1559</v>
      </c>
      <c r="B1562" s="6">
        <f t="shared" si="24"/>
        <v>4.27123287671233</v>
      </c>
      <c r="C1562" s="8">
        <f>'1_Inputs'!$H$7</f>
        <v>0.0305712824819807</v>
      </c>
      <c r="D1562" s="6">
        <f>D1561*EXP(-'1_Inputs'!$H$7*(1/365))</f>
        <v>0.905330816729287</v>
      </c>
    </row>
    <row r="1563" spans="1:5">
      <c r="A1563" s="10">
        <v>1560</v>
      </c>
      <c r="B1563" s="12">
        <f t="shared" si="24"/>
        <v>4.27397260273973</v>
      </c>
      <c r="C1563" s="14">
        <f>'1_Inputs'!$H$7</f>
        <v>0.0305712824819807</v>
      </c>
      <c r="D1563" s="12">
        <f>D1562*EXP(-'1_Inputs'!$H$7*(1/365))</f>
        <v>0.905254992167384</v>
      </c>
    </row>
    <row r="1564" spans="1:5">
      <c r="A1564" s="4">
        <v>1561</v>
      </c>
      <c r="B1564" s="6">
        <f t="shared" si="24"/>
        <v>4.27671232876712</v>
      </c>
      <c r="C1564" s="8">
        <f>'1_Inputs'!$H$7</f>
        <v>0.0305712824819807</v>
      </c>
      <c r="D1564" s="6">
        <f>D1563*EXP(-'1_Inputs'!$H$7*(1/365))</f>
        <v>0.905179173956048</v>
      </c>
    </row>
    <row r="1565" spans="1:5">
      <c r="A1565" s="10">
        <v>1562</v>
      </c>
      <c r="B1565" s="12">
        <f t="shared" si="24"/>
        <v>4.27945205479452</v>
      </c>
      <c r="C1565" s="14">
        <f>'1_Inputs'!$H$7</f>
        <v>0.0305712824819807</v>
      </c>
      <c r="D1565" s="12">
        <f>D1564*EXP(-'1_Inputs'!$H$7*(1/365))</f>
        <v>0.905103362094747</v>
      </c>
    </row>
    <row r="1566" spans="1:5">
      <c r="A1566" s="4">
        <v>1563</v>
      </c>
      <c r="B1566" s="6">
        <f t="shared" si="24"/>
        <v>4.28219178082192</v>
      </c>
      <c r="C1566" s="8">
        <f>'1_Inputs'!$H$7</f>
        <v>0.0305712824819807</v>
      </c>
      <c r="D1566" s="6">
        <f>D1565*EXP(-'1_Inputs'!$H$7*(1/365))</f>
        <v>0.90502755658295</v>
      </c>
    </row>
    <row r="1567" spans="1:5">
      <c r="A1567" s="10">
        <v>1564</v>
      </c>
      <c r="B1567" s="12">
        <f t="shared" si="24"/>
        <v>4.28493150684931</v>
      </c>
      <c r="C1567" s="14">
        <f>'1_Inputs'!$H$7</f>
        <v>0.0305712824819807</v>
      </c>
      <c r="D1567" s="12">
        <f>D1566*EXP(-'1_Inputs'!$H$7*(1/365))</f>
        <v>0.904951757420125</v>
      </c>
    </row>
    <row r="1568" spans="1:5">
      <c r="A1568" s="4">
        <v>1565</v>
      </c>
      <c r="B1568" s="6">
        <f t="shared" si="24"/>
        <v>4.28767123287671</v>
      </c>
      <c r="C1568" s="8">
        <f>'1_Inputs'!$H$7</f>
        <v>0.0305712824819807</v>
      </c>
      <c r="D1568" s="6">
        <f>D1567*EXP(-'1_Inputs'!$H$7*(1/365))</f>
        <v>0.904875964605739</v>
      </c>
    </row>
    <row r="1569" spans="1:4">
      <c r="A1569" s="10">
        <v>1566</v>
      </c>
      <c r="B1569" s="12">
        <f t="shared" si="24"/>
        <v>4.29041095890411</v>
      </c>
      <c r="C1569" s="14">
        <f>'1_Inputs'!$H$7</f>
        <v>0.0305712824819807</v>
      </c>
      <c r="D1569" s="12">
        <f>D1568*EXP(-'1_Inputs'!$H$7*(1/365))</f>
        <v>0.904800178139262</v>
      </c>
    </row>
    <row r="1570" spans="1:4">
      <c r="A1570" s="4">
        <v>1567</v>
      </c>
      <c r="B1570" s="6">
        <f t="shared" si="24"/>
        <v>4.29315068493151</v>
      </c>
      <c r="C1570" s="8">
        <f>'1_Inputs'!$H$7</f>
        <v>0.0305712824819807</v>
      </c>
      <c r="D1570" s="6">
        <f>D1569*EXP(-'1_Inputs'!$H$7*(1/365))</f>
        <v>0.904724398020161</v>
      </c>
    </row>
    <row r="1571" spans="1:4">
      <c r="A1571" s="10">
        <v>1568</v>
      </c>
      <c r="B1571" s="12">
        <f t="shared" si="24"/>
        <v>4.2958904109589</v>
      </c>
      <c r="C1571" s="14">
        <f>'1_Inputs'!$H$7</f>
        <v>0.0305712824819807</v>
      </c>
      <c r="D1571" s="12">
        <f>D1570*EXP(-'1_Inputs'!$H$7*(1/365))</f>
        <v>0.904648624247906</v>
      </c>
    </row>
    <row r="1572" spans="1:4">
      <c r="A1572" s="4">
        <v>1569</v>
      </c>
      <c r="B1572" s="6">
        <f t="shared" si="24"/>
        <v>4.2986301369863</v>
      </c>
      <c r="C1572" s="8">
        <f>'1_Inputs'!$H$7</f>
        <v>0.0305712824819807</v>
      </c>
      <c r="D1572" s="6">
        <f>D1571*EXP(-'1_Inputs'!$H$7*(1/365))</f>
        <v>0.904572856821963</v>
      </c>
    </row>
    <row r="1573" spans="1:4">
      <c r="A1573" s="10">
        <v>1570</v>
      </c>
      <c r="B1573" s="12">
        <f t="shared" si="24"/>
        <v>4.3013698630137</v>
      </c>
      <c r="C1573" s="14">
        <f>'1_Inputs'!$H$7</f>
        <v>0.0305712824819807</v>
      </c>
      <c r="D1573" s="12">
        <f>D1572*EXP(-'1_Inputs'!$H$7*(1/365))</f>
        <v>0.904497095741803</v>
      </c>
    </row>
    <row r="1574" spans="1:4">
      <c r="A1574" s="4">
        <v>1571</v>
      </c>
      <c r="B1574" s="6">
        <f t="shared" si="24"/>
        <v>4.3041095890411</v>
      </c>
      <c r="C1574" s="8">
        <f>'1_Inputs'!$H$7</f>
        <v>0.0305712824819807</v>
      </c>
      <c r="D1574" s="6">
        <f>D1573*EXP(-'1_Inputs'!$H$7*(1/365))</f>
        <v>0.904421341006893</v>
      </c>
    </row>
    <row r="1575" spans="1:4">
      <c r="A1575" s="10">
        <v>1572</v>
      </c>
      <c r="B1575" s="12">
        <f t="shared" si="24"/>
        <v>4.30684931506849</v>
      </c>
      <c r="C1575" s="14">
        <f>'1_Inputs'!$H$7</f>
        <v>0.0305712824819807</v>
      </c>
      <c r="D1575" s="12">
        <f>D1574*EXP(-'1_Inputs'!$H$7*(1/365))</f>
        <v>0.904345592616701</v>
      </c>
    </row>
    <row r="1576" spans="1:4">
      <c r="A1576" s="4">
        <v>1573</v>
      </c>
      <c r="B1576" s="6">
        <f t="shared" si="24"/>
        <v>4.30958904109589</v>
      </c>
      <c r="C1576" s="8">
        <f>'1_Inputs'!$H$7</f>
        <v>0.0305712824819807</v>
      </c>
      <c r="D1576" s="6">
        <f>D1575*EXP(-'1_Inputs'!$H$7*(1/365))</f>
        <v>0.904269850570698</v>
      </c>
    </row>
    <row r="1577" spans="1:4">
      <c r="A1577" s="10">
        <v>1574</v>
      </c>
      <c r="B1577" s="12">
        <f t="shared" si="24"/>
        <v>4.31232876712329</v>
      </c>
      <c r="C1577" s="14">
        <f>'1_Inputs'!$H$7</f>
        <v>0.0305712824819807</v>
      </c>
      <c r="D1577" s="12">
        <f>D1576*EXP(-'1_Inputs'!$H$7*(1/365))</f>
        <v>0.90419411486835</v>
      </c>
    </row>
    <row r="1578" spans="1:4">
      <c r="A1578" s="4">
        <v>1575</v>
      </c>
      <c r="B1578" s="6">
        <f t="shared" si="24"/>
        <v>4.31506849315068</v>
      </c>
      <c r="C1578" s="8">
        <f>'1_Inputs'!$H$7</f>
        <v>0.0305712824819807</v>
      </c>
      <c r="D1578" s="6">
        <f>D1577*EXP(-'1_Inputs'!$H$7*(1/365))</f>
        <v>0.904118385509128</v>
      </c>
    </row>
    <row r="1579" spans="1:4">
      <c r="A1579" s="10">
        <v>1576</v>
      </c>
      <c r="B1579" s="12">
        <f t="shared" si="24"/>
        <v>4.31780821917808</v>
      </c>
      <c r="C1579" s="14">
        <f>'1_Inputs'!$H$7</f>
        <v>0.0305712824819807</v>
      </c>
      <c r="D1579" s="12">
        <f>D1578*EXP(-'1_Inputs'!$H$7*(1/365))</f>
        <v>0.904042662492499</v>
      </c>
    </row>
    <row r="1580" spans="1:4">
      <c r="A1580" s="4">
        <v>1577</v>
      </c>
      <c r="B1580" s="6">
        <f t="shared" si="24"/>
        <v>4.32054794520548</v>
      </c>
      <c r="C1580" s="8">
        <f>'1_Inputs'!$H$7</f>
        <v>0.0305712824819807</v>
      </c>
      <c r="D1580" s="6">
        <f>D1579*EXP(-'1_Inputs'!$H$7*(1/365))</f>
        <v>0.903966945817933</v>
      </c>
    </row>
    <row r="1581" spans="1:4">
      <c r="A1581" s="10">
        <v>1578</v>
      </c>
      <c r="B1581" s="12">
        <f t="shared" si="24"/>
        <v>4.32328767123288</v>
      </c>
      <c r="C1581" s="14">
        <f>'1_Inputs'!$H$7</f>
        <v>0.0305712824819807</v>
      </c>
      <c r="D1581" s="12">
        <f>D1580*EXP(-'1_Inputs'!$H$7*(1/365))</f>
        <v>0.903891235484898</v>
      </c>
    </row>
    <row r="1582" spans="1:4">
      <c r="A1582" s="4">
        <v>1579</v>
      </c>
      <c r="B1582" s="6">
        <f t="shared" si="24"/>
        <v>4.32602739726027</v>
      </c>
      <c r="C1582" s="8">
        <f>'1_Inputs'!$H$7</f>
        <v>0.0305712824819807</v>
      </c>
      <c r="D1582" s="6">
        <f>D1581*EXP(-'1_Inputs'!$H$7*(1/365))</f>
        <v>0.903815531492863</v>
      </c>
    </row>
    <row r="1583" spans="1:4">
      <c r="A1583" s="10">
        <v>1580</v>
      </c>
      <c r="B1583" s="12">
        <f t="shared" si="24"/>
        <v>4.32876712328767</v>
      </c>
      <c r="C1583" s="14">
        <f>'1_Inputs'!$H$7</f>
        <v>0.0305712824819807</v>
      </c>
      <c r="D1583" s="12">
        <f>D1582*EXP(-'1_Inputs'!$H$7*(1/365))</f>
        <v>0.903739833841297</v>
      </c>
    </row>
    <row r="1584" spans="1:4">
      <c r="A1584" s="4">
        <v>1581</v>
      </c>
      <c r="B1584" s="6">
        <f t="shared" si="24"/>
        <v>4.33150684931507</v>
      </c>
      <c r="C1584" s="8">
        <f>'1_Inputs'!$H$7</f>
        <v>0.0305712824819807</v>
      </c>
      <c r="D1584" s="6">
        <f>D1583*EXP(-'1_Inputs'!$H$7*(1/365))</f>
        <v>0.903664142529669</v>
      </c>
    </row>
    <row r="1585" spans="1:4">
      <c r="A1585" s="10">
        <v>1582</v>
      </c>
      <c r="B1585" s="12">
        <f t="shared" si="24"/>
        <v>4.33424657534247</v>
      </c>
      <c r="C1585" s="14">
        <f>'1_Inputs'!$H$7</f>
        <v>0.0305712824819807</v>
      </c>
      <c r="D1585" s="12">
        <f>D1584*EXP(-'1_Inputs'!$H$7*(1/365))</f>
        <v>0.903588457557448</v>
      </c>
    </row>
    <row r="1586" spans="1:4">
      <c r="A1586" s="4">
        <v>1583</v>
      </c>
      <c r="B1586" s="6">
        <f t="shared" si="24"/>
        <v>4.33698630136986</v>
      </c>
      <c r="C1586" s="8">
        <f>'1_Inputs'!$H$7</f>
        <v>0.0305712824819807</v>
      </c>
      <c r="D1586" s="6">
        <f>D1585*EXP(-'1_Inputs'!$H$7*(1/365))</f>
        <v>0.903512778924103</v>
      </c>
    </row>
    <row r="1587" spans="1:4">
      <c r="A1587" s="10">
        <v>1584</v>
      </c>
      <c r="B1587" s="12">
        <f t="shared" si="24"/>
        <v>4.33972602739726</v>
      </c>
      <c r="C1587" s="14">
        <f>'1_Inputs'!$H$7</f>
        <v>0.0305712824819807</v>
      </c>
      <c r="D1587" s="12">
        <f>D1586*EXP(-'1_Inputs'!$H$7*(1/365))</f>
        <v>0.903437106629103</v>
      </c>
    </row>
    <row r="1588" spans="1:4">
      <c r="A1588" s="4">
        <v>1585</v>
      </c>
      <c r="B1588" s="6">
        <f t="shared" si="24"/>
        <v>4.34246575342466</v>
      </c>
      <c r="C1588" s="8">
        <f>'1_Inputs'!$H$7</f>
        <v>0.0305712824819807</v>
      </c>
      <c r="D1588" s="6">
        <f>D1587*EXP(-'1_Inputs'!$H$7*(1/365))</f>
        <v>0.903361440671918</v>
      </c>
    </row>
    <row r="1589" spans="1:4">
      <c r="A1589" s="10">
        <v>1586</v>
      </c>
      <c r="B1589" s="12">
        <f t="shared" si="24"/>
        <v>4.34520547945205</v>
      </c>
      <c r="C1589" s="14">
        <f>'1_Inputs'!$H$7</f>
        <v>0.0305712824819807</v>
      </c>
      <c r="D1589" s="12">
        <f>D1588*EXP(-'1_Inputs'!$H$7*(1/365))</f>
        <v>0.903285781052016</v>
      </c>
    </row>
    <row r="1590" spans="1:4">
      <c r="A1590" s="4">
        <v>1587</v>
      </c>
      <c r="B1590" s="6">
        <f t="shared" si="24"/>
        <v>4.34794520547945</v>
      </c>
      <c r="C1590" s="8">
        <f>'1_Inputs'!$H$7</f>
        <v>0.0305712824819807</v>
      </c>
      <c r="D1590" s="6">
        <f>D1589*EXP(-'1_Inputs'!$H$7*(1/365))</f>
        <v>0.903210127768867</v>
      </c>
    </row>
    <row r="1591" spans="1:4">
      <c r="A1591" s="10">
        <v>1588</v>
      </c>
      <c r="B1591" s="12">
        <f t="shared" si="24"/>
        <v>4.35068493150685</v>
      </c>
      <c r="C1591" s="14">
        <f>'1_Inputs'!$H$7</f>
        <v>0.0305712824819807</v>
      </c>
      <c r="D1591" s="12">
        <f>D1590*EXP(-'1_Inputs'!$H$7*(1/365))</f>
        <v>0.90313448082194</v>
      </c>
    </row>
    <row r="1592" spans="1:4">
      <c r="A1592" s="4">
        <v>1589</v>
      </c>
      <c r="B1592" s="6">
        <f t="shared" si="24"/>
        <v>4.35342465753425</v>
      </c>
      <c r="C1592" s="8">
        <f>'1_Inputs'!$H$7</f>
        <v>0.0305712824819807</v>
      </c>
      <c r="D1592" s="6">
        <f>D1591*EXP(-'1_Inputs'!$H$7*(1/365))</f>
        <v>0.903058840210704</v>
      </c>
    </row>
    <row r="1593" spans="1:4">
      <c r="A1593" s="10">
        <v>1590</v>
      </c>
      <c r="B1593" s="12">
        <f t="shared" si="24"/>
        <v>4.35616438356164</v>
      </c>
      <c r="C1593" s="14">
        <f>'1_Inputs'!$H$7</f>
        <v>0.0305712824819807</v>
      </c>
      <c r="D1593" s="12">
        <f>D1592*EXP(-'1_Inputs'!$H$7*(1/365))</f>
        <v>0.902983205934629</v>
      </c>
    </row>
    <row r="1594" spans="1:4">
      <c r="A1594" s="4">
        <v>1591</v>
      </c>
      <c r="B1594" s="6">
        <f t="shared" si="24"/>
        <v>4.35890410958904</v>
      </c>
      <c r="C1594" s="8">
        <f>'1_Inputs'!$H$7</f>
        <v>0.0305712824819807</v>
      </c>
      <c r="D1594" s="6">
        <f>D1593*EXP(-'1_Inputs'!$H$7*(1/365))</f>
        <v>0.902907577993184</v>
      </c>
    </row>
    <row r="1595" spans="1:4">
      <c r="A1595" s="10">
        <v>1592</v>
      </c>
      <c r="B1595" s="12">
        <f t="shared" si="24"/>
        <v>4.36164383561644</v>
      </c>
      <c r="C1595" s="14">
        <f>'1_Inputs'!$H$7</f>
        <v>0.0305712824819807</v>
      </c>
      <c r="D1595" s="12">
        <f>D1594*EXP(-'1_Inputs'!$H$7*(1/365))</f>
        <v>0.902831956385839</v>
      </c>
    </row>
    <row r="1596" spans="1:4">
      <c r="A1596" s="4">
        <v>1593</v>
      </c>
      <c r="B1596" s="6">
        <f t="shared" si="24"/>
        <v>4.36438356164384</v>
      </c>
      <c r="C1596" s="8">
        <f>'1_Inputs'!$H$7</f>
        <v>0.0305712824819807</v>
      </c>
      <c r="D1596" s="6">
        <f>D1595*EXP(-'1_Inputs'!$H$7*(1/365))</f>
        <v>0.902756341112063</v>
      </c>
    </row>
    <row r="1597" spans="1:4">
      <c r="A1597" s="10">
        <v>1594</v>
      </c>
      <c r="B1597" s="12">
        <f t="shared" si="24"/>
        <v>4.36712328767123</v>
      </c>
      <c r="C1597" s="14">
        <f>'1_Inputs'!$H$7</f>
        <v>0.0305712824819807</v>
      </c>
      <c r="D1597" s="12">
        <f>D1596*EXP(-'1_Inputs'!$H$7*(1/365))</f>
        <v>0.902680732171325</v>
      </c>
    </row>
    <row r="1598" spans="1:4">
      <c r="A1598" s="4">
        <v>1595</v>
      </c>
      <c r="B1598" s="6">
        <f t="shared" si="24"/>
        <v>4.36986301369863</v>
      </c>
      <c r="C1598" s="8">
        <f>'1_Inputs'!$H$7</f>
        <v>0.0305712824819807</v>
      </c>
      <c r="D1598" s="6">
        <f>D1597*EXP(-'1_Inputs'!$H$7*(1/365))</f>
        <v>0.902605129563096</v>
      </c>
    </row>
    <row r="1599" spans="1:4">
      <c r="A1599" s="10">
        <v>1596</v>
      </c>
      <c r="B1599" s="12">
        <f t="shared" si="24"/>
        <v>4.37260273972603</v>
      </c>
      <c r="C1599" s="14">
        <f>'1_Inputs'!$H$7</f>
        <v>0.0305712824819807</v>
      </c>
      <c r="D1599" s="12">
        <f>D1598*EXP(-'1_Inputs'!$H$7*(1/365))</f>
        <v>0.902529533286844</v>
      </c>
    </row>
    <row r="1600" spans="1:4">
      <c r="A1600" s="4">
        <v>1597</v>
      </c>
      <c r="B1600" s="6">
        <f t="shared" si="24"/>
        <v>4.37534246575343</v>
      </c>
      <c r="C1600" s="8">
        <f>'1_Inputs'!$H$7</f>
        <v>0.0305712824819807</v>
      </c>
      <c r="D1600" s="6">
        <f>D1599*EXP(-'1_Inputs'!$H$7*(1/365))</f>
        <v>0.90245394334204</v>
      </c>
    </row>
    <row r="1601" spans="1:4">
      <c r="A1601" s="10">
        <v>1598</v>
      </c>
      <c r="B1601" s="12">
        <f t="shared" si="24"/>
        <v>4.37808219178082</v>
      </c>
      <c r="C1601" s="14">
        <f>'1_Inputs'!$H$7</f>
        <v>0.0305712824819807</v>
      </c>
      <c r="D1601" s="12">
        <f>D1600*EXP(-'1_Inputs'!$H$7*(1/365))</f>
        <v>0.902378359728153</v>
      </c>
    </row>
    <row r="1602" spans="1:4">
      <c r="A1602" s="4">
        <v>1599</v>
      </c>
      <c r="B1602" s="6">
        <f t="shared" si="24"/>
        <v>4.38082191780822</v>
      </c>
      <c r="C1602" s="8">
        <f>'1_Inputs'!$H$7</f>
        <v>0.0305712824819807</v>
      </c>
      <c r="D1602" s="6">
        <f>D1601*EXP(-'1_Inputs'!$H$7*(1/365))</f>
        <v>0.902302782444653</v>
      </c>
    </row>
    <row r="1603" spans="1:4">
      <c r="A1603" s="10">
        <v>1600</v>
      </c>
      <c r="B1603" s="12">
        <f t="shared" ref="B1603:B1666" si="25">A1603/365</f>
        <v>4.38356164383562</v>
      </c>
      <c r="C1603" s="14">
        <f>'1_Inputs'!$H$7</f>
        <v>0.0305712824819807</v>
      </c>
      <c r="D1603" s="12">
        <f>D1602*EXP(-'1_Inputs'!$H$7*(1/365))</f>
        <v>0.90222721149101</v>
      </c>
    </row>
    <row r="1604" spans="1:4">
      <c r="A1604" s="4">
        <v>1601</v>
      </c>
      <c r="B1604" s="6">
        <f t="shared" si="25"/>
        <v>4.38630136986301</v>
      </c>
      <c r="C1604" s="8">
        <f>'1_Inputs'!$H$7</f>
        <v>0.0305712824819807</v>
      </c>
      <c r="D1604" s="6">
        <f>D1603*EXP(-'1_Inputs'!$H$7*(1/365))</f>
        <v>0.902151646866693</v>
      </c>
    </row>
    <row r="1605" spans="1:4">
      <c r="A1605" s="10">
        <v>1602</v>
      </c>
      <c r="B1605" s="12">
        <f t="shared" si="25"/>
        <v>4.38904109589041</v>
      </c>
      <c r="C1605" s="14">
        <f>'1_Inputs'!$H$7</f>
        <v>0.0305712824819807</v>
      </c>
      <c r="D1605" s="12">
        <f>D1604*EXP(-'1_Inputs'!$H$7*(1/365))</f>
        <v>0.902076088571173</v>
      </c>
    </row>
    <row r="1606" spans="1:4">
      <c r="A1606" s="4">
        <v>1603</v>
      </c>
      <c r="B1606" s="6">
        <f t="shared" si="25"/>
        <v>4.39178082191781</v>
      </c>
      <c r="C1606" s="8">
        <f>'1_Inputs'!$H$7</f>
        <v>0.0305712824819807</v>
      </c>
      <c r="D1606" s="6">
        <f>D1605*EXP(-'1_Inputs'!$H$7*(1/365))</f>
        <v>0.902000536603919</v>
      </c>
    </row>
    <row r="1607" spans="1:4">
      <c r="A1607" s="10">
        <v>1604</v>
      </c>
      <c r="B1607" s="12">
        <f t="shared" si="25"/>
        <v>4.39452054794521</v>
      </c>
      <c r="C1607" s="14">
        <f>'1_Inputs'!$H$7</f>
        <v>0.0305712824819807</v>
      </c>
      <c r="D1607" s="12">
        <f>D1606*EXP(-'1_Inputs'!$H$7*(1/365))</f>
        <v>0.901924990964402</v>
      </c>
    </row>
    <row r="1608" spans="1:4">
      <c r="A1608" s="4">
        <v>1605</v>
      </c>
      <c r="B1608" s="6">
        <f t="shared" si="25"/>
        <v>4.3972602739726</v>
      </c>
      <c r="C1608" s="8">
        <f>'1_Inputs'!$H$7</f>
        <v>0.0305712824819807</v>
      </c>
      <c r="D1608" s="6">
        <f>D1607*EXP(-'1_Inputs'!$H$7*(1/365))</f>
        <v>0.901849451652092</v>
      </c>
    </row>
    <row r="1609" spans="1:4">
      <c r="A1609" s="10">
        <v>1606</v>
      </c>
      <c r="B1609" s="12">
        <f t="shared" si="25"/>
        <v>4.4</v>
      </c>
      <c r="C1609" s="14">
        <f>'1_Inputs'!$H$7</f>
        <v>0.0305712824819807</v>
      </c>
      <c r="D1609" s="12">
        <f>D1608*EXP(-'1_Inputs'!$H$7*(1/365))</f>
        <v>0.901773918666457</v>
      </c>
    </row>
    <row r="1610" spans="1:4">
      <c r="A1610" s="4">
        <v>1607</v>
      </c>
      <c r="B1610" s="6">
        <f t="shared" si="25"/>
        <v>4.4027397260274</v>
      </c>
      <c r="C1610" s="8">
        <f>'1_Inputs'!$H$7</f>
        <v>0.0305712824819807</v>
      </c>
      <c r="D1610" s="6">
        <f>D1609*EXP(-'1_Inputs'!$H$7*(1/365))</f>
        <v>0.90169839200697</v>
      </c>
    </row>
    <row r="1611" spans="1:4">
      <c r="A1611" s="10">
        <v>1608</v>
      </c>
      <c r="B1611" s="12">
        <f t="shared" si="25"/>
        <v>4.40547945205479</v>
      </c>
      <c r="C1611" s="14">
        <f>'1_Inputs'!$H$7</f>
        <v>0.0305712824819807</v>
      </c>
      <c r="D1611" s="12">
        <f>D1610*EXP(-'1_Inputs'!$H$7*(1/365))</f>
        <v>0.901622871673099</v>
      </c>
    </row>
    <row r="1612" spans="1:4">
      <c r="A1612" s="4">
        <v>1609</v>
      </c>
      <c r="B1612" s="6">
        <f t="shared" si="25"/>
        <v>4.40821917808219</v>
      </c>
      <c r="C1612" s="8">
        <f>'1_Inputs'!$H$7</f>
        <v>0.0305712824819807</v>
      </c>
      <c r="D1612" s="6">
        <f>D1611*EXP(-'1_Inputs'!$H$7*(1/365))</f>
        <v>0.901547357664316</v>
      </c>
    </row>
    <row r="1613" spans="1:4">
      <c r="A1613" s="10">
        <v>1610</v>
      </c>
      <c r="B1613" s="12">
        <f t="shared" si="25"/>
        <v>4.41095890410959</v>
      </c>
      <c r="C1613" s="14">
        <f>'1_Inputs'!$H$7</f>
        <v>0.0305712824819807</v>
      </c>
      <c r="D1613" s="12">
        <f>D1612*EXP(-'1_Inputs'!$H$7*(1/365))</f>
        <v>0.90147184998009</v>
      </c>
    </row>
    <row r="1614" spans="1:4">
      <c r="A1614" s="4">
        <v>1611</v>
      </c>
      <c r="B1614" s="6">
        <f t="shared" si="25"/>
        <v>4.41369863013699</v>
      </c>
      <c r="C1614" s="8">
        <f>'1_Inputs'!$H$7</f>
        <v>0.0305712824819807</v>
      </c>
      <c r="D1614" s="6">
        <f>D1613*EXP(-'1_Inputs'!$H$7*(1/365))</f>
        <v>0.901396348619891</v>
      </c>
    </row>
    <row r="1615" spans="1:4">
      <c r="A1615" s="10">
        <v>1612</v>
      </c>
      <c r="B1615" s="12">
        <f t="shared" si="25"/>
        <v>4.41643835616438</v>
      </c>
      <c r="C1615" s="14">
        <f>'1_Inputs'!$H$7</f>
        <v>0.0305712824819807</v>
      </c>
      <c r="D1615" s="12">
        <f>D1614*EXP(-'1_Inputs'!$H$7*(1/365))</f>
        <v>0.90132085358319</v>
      </c>
    </row>
    <row r="1616" spans="1:4">
      <c r="A1616" s="4">
        <v>1613</v>
      </c>
      <c r="B1616" s="6">
        <f t="shared" si="25"/>
        <v>4.41917808219178</v>
      </c>
      <c r="C1616" s="8">
        <f>'1_Inputs'!$H$7</f>
        <v>0.0305712824819807</v>
      </c>
      <c r="D1616" s="6">
        <f>D1615*EXP(-'1_Inputs'!$H$7*(1/365))</f>
        <v>0.901245364869458</v>
      </c>
    </row>
    <row r="1617" spans="1:4">
      <c r="A1617" s="10">
        <v>1614</v>
      </c>
      <c r="B1617" s="12">
        <f t="shared" si="25"/>
        <v>4.42191780821918</v>
      </c>
      <c r="C1617" s="14">
        <f>'1_Inputs'!$H$7</f>
        <v>0.0305712824819807</v>
      </c>
      <c r="D1617" s="12">
        <f>D1616*EXP(-'1_Inputs'!$H$7*(1/365))</f>
        <v>0.901169882478165</v>
      </c>
    </row>
    <row r="1618" spans="1:4">
      <c r="A1618" s="4">
        <v>1615</v>
      </c>
      <c r="B1618" s="6">
        <f t="shared" si="25"/>
        <v>4.42465753424658</v>
      </c>
      <c r="C1618" s="8">
        <f>'1_Inputs'!$H$7</f>
        <v>0.0305712824819807</v>
      </c>
      <c r="D1618" s="6">
        <f>D1617*EXP(-'1_Inputs'!$H$7*(1/365))</f>
        <v>0.90109440640878</v>
      </c>
    </row>
    <row r="1619" spans="1:4">
      <c r="A1619" s="10">
        <v>1616</v>
      </c>
      <c r="B1619" s="12">
        <f t="shared" si="25"/>
        <v>4.42739726027397</v>
      </c>
      <c r="C1619" s="14">
        <f>'1_Inputs'!$H$7</f>
        <v>0.0305712824819807</v>
      </c>
      <c r="D1619" s="12">
        <f>D1618*EXP(-'1_Inputs'!$H$7*(1/365))</f>
        <v>0.901018936660776</v>
      </c>
    </row>
    <row r="1620" spans="1:4">
      <c r="A1620" s="4">
        <v>1617</v>
      </c>
      <c r="B1620" s="6">
        <f t="shared" si="25"/>
        <v>4.43013698630137</v>
      </c>
      <c r="C1620" s="8">
        <f>'1_Inputs'!$H$7</f>
        <v>0.0305712824819807</v>
      </c>
      <c r="D1620" s="6">
        <f>D1619*EXP(-'1_Inputs'!$H$7*(1/365))</f>
        <v>0.900943473233622</v>
      </c>
    </row>
    <row r="1621" spans="1:4">
      <c r="A1621" s="10">
        <v>1618</v>
      </c>
      <c r="B1621" s="12">
        <f t="shared" si="25"/>
        <v>4.43287671232877</v>
      </c>
      <c r="C1621" s="14">
        <f>'1_Inputs'!$H$7</f>
        <v>0.0305712824819807</v>
      </c>
      <c r="D1621" s="12">
        <f>D1620*EXP(-'1_Inputs'!$H$7*(1/365))</f>
        <v>0.900868016126788</v>
      </c>
    </row>
    <row r="1622" spans="1:4">
      <c r="A1622" s="4">
        <v>1619</v>
      </c>
      <c r="B1622" s="6">
        <f t="shared" si="25"/>
        <v>4.43561643835616</v>
      </c>
      <c r="C1622" s="8">
        <f>'1_Inputs'!$H$7</f>
        <v>0.0305712824819807</v>
      </c>
      <c r="D1622" s="6">
        <f>D1621*EXP(-'1_Inputs'!$H$7*(1/365))</f>
        <v>0.900792565339746</v>
      </c>
    </row>
    <row r="1623" spans="1:4">
      <c r="A1623" s="10">
        <v>1620</v>
      </c>
      <c r="B1623" s="12">
        <f t="shared" si="25"/>
        <v>4.43835616438356</v>
      </c>
      <c r="C1623" s="14">
        <f>'1_Inputs'!$H$7</f>
        <v>0.0305712824819807</v>
      </c>
      <c r="D1623" s="12">
        <f>D1622*EXP(-'1_Inputs'!$H$7*(1/365))</f>
        <v>0.900717120871967</v>
      </c>
    </row>
    <row r="1624" spans="1:4">
      <c r="A1624" s="4">
        <v>1621</v>
      </c>
      <c r="B1624" s="6">
        <f t="shared" si="25"/>
        <v>4.44109589041096</v>
      </c>
      <c r="C1624" s="8">
        <f>'1_Inputs'!$H$7</f>
        <v>0.0305712824819807</v>
      </c>
      <c r="D1624" s="6">
        <f>D1623*EXP(-'1_Inputs'!$H$7*(1/365))</f>
        <v>0.900641682722921</v>
      </c>
    </row>
    <row r="1625" spans="1:4">
      <c r="A1625" s="10">
        <v>1622</v>
      </c>
      <c r="B1625" s="12">
        <f t="shared" si="25"/>
        <v>4.44383561643836</v>
      </c>
      <c r="C1625" s="14">
        <f>'1_Inputs'!$H$7</f>
        <v>0.0305712824819807</v>
      </c>
      <c r="D1625" s="12">
        <f>D1624*EXP(-'1_Inputs'!$H$7*(1/365))</f>
        <v>0.900566250892078</v>
      </c>
    </row>
    <row r="1626" spans="1:4">
      <c r="A1626" s="4">
        <v>1623</v>
      </c>
      <c r="B1626" s="6">
        <f t="shared" si="25"/>
        <v>4.44657534246575</v>
      </c>
      <c r="C1626" s="8">
        <f>'1_Inputs'!$H$7</f>
        <v>0.0305712824819807</v>
      </c>
      <c r="D1626" s="6">
        <f>D1625*EXP(-'1_Inputs'!$H$7*(1/365))</f>
        <v>0.90049082537891</v>
      </c>
    </row>
    <row r="1627" spans="1:4">
      <c r="A1627" s="10">
        <v>1624</v>
      </c>
      <c r="B1627" s="12">
        <f t="shared" si="25"/>
        <v>4.44931506849315</v>
      </c>
      <c r="C1627" s="14">
        <f>'1_Inputs'!$H$7</f>
        <v>0.0305712824819807</v>
      </c>
      <c r="D1627" s="12">
        <f>D1626*EXP(-'1_Inputs'!$H$7*(1/365))</f>
        <v>0.900415406182887</v>
      </c>
    </row>
    <row r="1628" spans="1:4">
      <c r="A1628" s="4">
        <v>1625</v>
      </c>
      <c r="B1628" s="6">
        <f t="shared" si="25"/>
        <v>4.45205479452055</v>
      </c>
      <c r="C1628" s="8">
        <f>'1_Inputs'!$H$7</f>
        <v>0.0305712824819807</v>
      </c>
      <c r="D1628" s="6">
        <f>D1627*EXP(-'1_Inputs'!$H$7*(1/365))</f>
        <v>0.900339993303481</v>
      </c>
    </row>
    <row r="1629" spans="1:4">
      <c r="A1629" s="10">
        <v>1626</v>
      </c>
      <c r="B1629" s="12">
        <f t="shared" si="25"/>
        <v>4.45479452054794</v>
      </c>
      <c r="C1629" s="14">
        <f>'1_Inputs'!$H$7</f>
        <v>0.0305712824819807</v>
      </c>
      <c r="D1629" s="12">
        <f>D1628*EXP(-'1_Inputs'!$H$7*(1/365))</f>
        <v>0.900264586740163</v>
      </c>
    </row>
    <row r="1630" spans="1:4">
      <c r="A1630" s="4">
        <v>1627</v>
      </c>
      <c r="B1630" s="6">
        <f t="shared" si="25"/>
        <v>4.45753424657534</v>
      </c>
      <c r="C1630" s="8">
        <f>'1_Inputs'!$H$7</f>
        <v>0.0305712824819807</v>
      </c>
      <c r="D1630" s="6">
        <f>D1629*EXP(-'1_Inputs'!$H$7*(1/365))</f>
        <v>0.900189186492402</v>
      </c>
    </row>
    <row r="1631" spans="1:4">
      <c r="A1631" s="10">
        <v>1628</v>
      </c>
      <c r="B1631" s="12">
        <f t="shared" si="25"/>
        <v>4.46027397260274</v>
      </c>
      <c r="C1631" s="14">
        <f>'1_Inputs'!$H$7</f>
        <v>0.0305712824819807</v>
      </c>
      <c r="D1631" s="12">
        <f>D1630*EXP(-'1_Inputs'!$H$7*(1/365))</f>
        <v>0.900113792559671</v>
      </c>
    </row>
    <row r="1632" spans="1:4">
      <c r="A1632" s="4">
        <v>1629</v>
      </c>
      <c r="B1632" s="6">
        <f t="shared" si="25"/>
        <v>4.46301369863014</v>
      </c>
      <c r="C1632" s="8">
        <f>'1_Inputs'!$H$7</f>
        <v>0.0305712824819807</v>
      </c>
      <c r="D1632" s="6">
        <f>D1631*EXP(-'1_Inputs'!$H$7*(1/365))</f>
        <v>0.900038404941441</v>
      </c>
    </row>
    <row r="1633" spans="1:5">
      <c r="A1633" s="10">
        <v>1630</v>
      </c>
      <c r="B1633" s="12">
        <f t="shared" si="25"/>
        <v>4.46575342465753</v>
      </c>
      <c r="C1633" s="14">
        <f>'1_Inputs'!$H$7</f>
        <v>0.0305712824819807</v>
      </c>
      <c r="D1633" s="12">
        <f>D1632*EXP(-'1_Inputs'!$H$7*(1/365))</f>
        <v>0.899963023637182</v>
      </c>
    </row>
    <row r="1634" spans="1:5">
      <c r="A1634" s="4">
        <v>1631</v>
      </c>
      <c r="B1634" s="6">
        <f t="shared" si="25"/>
        <v>4.46849315068493</v>
      </c>
      <c r="C1634" s="8">
        <f>'1_Inputs'!$H$7</f>
        <v>0.0305712824819807</v>
      </c>
      <c r="D1634" s="6">
        <f>D1633*EXP(-'1_Inputs'!$H$7*(1/365))</f>
        <v>0.899887648646366</v>
      </c>
    </row>
    <row r="1635" spans="1:5">
      <c r="A1635" s="10">
        <v>1632</v>
      </c>
      <c r="B1635" s="12">
        <f t="shared" si="25"/>
        <v>4.47123287671233</v>
      </c>
      <c r="C1635" s="14">
        <f>'1_Inputs'!$H$7</f>
        <v>0.0305712824819807</v>
      </c>
      <c r="D1635" s="12">
        <f>D1634*EXP(-'1_Inputs'!$H$7*(1/365))</f>
        <v>0.899812279968464</v>
      </c>
    </row>
    <row r="1636" spans="1:5">
      <c r="A1636" s="4">
        <v>1633</v>
      </c>
      <c r="B1636" s="6">
        <f t="shared" si="25"/>
        <v>4.47397260273973</v>
      </c>
      <c r="C1636" s="8">
        <f>'1_Inputs'!$H$7</f>
        <v>0.0305712824819807</v>
      </c>
      <c r="D1636" s="6">
        <f>D1635*EXP(-'1_Inputs'!$H$7*(1/365))</f>
        <v>0.899736917602948</v>
      </c>
    </row>
    <row r="1637" spans="1:5">
      <c r="A1637" s="10">
        <v>1634</v>
      </c>
      <c r="B1637" s="12">
        <f t="shared" si="25"/>
        <v>4.47671232876712</v>
      </c>
      <c r="C1637" s="14">
        <f>'1_Inputs'!$H$7</f>
        <v>0.0305712824819807</v>
      </c>
      <c r="D1637" s="12">
        <f>D1636*EXP(-'1_Inputs'!$H$7*(1/365))</f>
        <v>0.899661561549288</v>
      </c>
    </row>
    <row r="1638" spans="1:5">
      <c r="A1638" s="4">
        <v>1635</v>
      </c>
      <c r="B1638" s="6">
        <f t="shared" si="25"/>
        <v>4.47945205479452</v>
      </c>
      <c r="C1638" s="8">
        <f>'1_Inputs'!$H$7</f>
        <v>0.0305712824819807</v>
      </c>
      <c r="D1638" s="6">
        <f>D1637*EXP(-'1_Inputs'!$H$7*(1/365))</f>
        <v>0.899586211806956</v>
      </c>
    </row>
    <row r="1639" spans="1:5">
      <c r="A1639" s="10">
        <v>1636</v>
      </c>
      <c r="B1639" s="12">
        <f t="shared" si="25"/>
        <v>4.48219178082192</v>
      </c>
      <c r="C1639" s="14">
        <f>'1_Inputs'!$H$7</f>
        <v>0.0305712824819807</v>
      </c>
      <c r="D1639" s="12">
        <f>D1638*EXP(-'1_Inputs'!$H$7*(1/365))</f>
        <v>0.899510868375424</v>
      </c>
    </row>
    <row r="1640" spans="1:5">
      <c r="A1640" s="4">
        <v>1637</v>
      </c>
      <c r="B1640" s="6">
        <f t="shared" si="25"/>
        <v>4.48493150684931</v>
      </c>
      <c r="C1640" s="8">
        <f>'1_Inputs'!$H$7</f>
        <v>0.0305712824819807</v>
      </c>
      <c r="D1640" s="6">
        <f>D1639*EXP(-'1_Inputs'!$H$7*(1/365))</f>
        <v>0.899435531254162</v>
      </c>
    </row>
    <row r="1641" spans="1:5">
      <c r="A1641" s="10">
        <v>1638</v>
      </c>
      <c r="B1641" s="12">
        <f t="shared" si="25"/>
        <v>4.48767123287671</v>
      </c>
      <c r="C1641" s="14">
        <f>'1_Inputs'!$H$7</f>
        <v>0.0305712824819807</v>
      </c>
      <c r="D1641" s="12">
        <f>D1640*EXP(-'1_Inputs'!$H$7*(1/365))</f>
        <v>0.899360200442643</v>
      </c>
    </row>
    <row r="1642" spans="1:5">
      <c r="A1642" s="4">
        <v>1639</v>
      </c>
      <c r="B1642" s="6">
        <f t="shared" si="25"/>
        <v>4.49041095890411</v>
      </c>
      <c r="C1642" s="8">
        <f>'1_Inputs'!$H$7</f>
        <v>0.0305712824819807</v>
      </c>
      <c r="D1642" s="6">
        <f>D1641*EXP(-'1_Inputs'!$H$7*(1/365))</f>
        <v>0.899284875940338</v>
      </c>
    </row>
    <row r="1643" spans="1:5">
      <c r="A1643" s="10">
        <v>1640</v>
      </c>
      <c r="B1643" s="12">
        <f t="shared" si="25"/>
        <v>4.49315068493151</v>
      </c>
      <c r="C1643" s="14">
        <f>'1_Inputs'!$H$7</f>
        <v>0.0305712824819807</v>
      </c>
      <c r="D1643" s="12">
        <f>D1642*EXP(-'1_Inputs'!$H$7*(1/365))</f>
        <v>0.899209557746718</v>
      </c>
    </row>
    <row r="1644" spans="1:5">
      <c r="A1644" s="4">
        <v>1641</v>
      </c>
      <c r="B1644" s="6">
        <f t="shared" si="25"/>
        <v>4.4958904109589</v>
      </c>
      <c r="C1644" s="8">
        <f>'1_Inputs'!$H$7</f>
        <v>0.0305712824819807</v>
      </c>
      <c r="D1644" s="6">
        <f>D1643*EXP(-'1_Inputs'!$H$7*(1/365))</f>
        <v>0.899134245861256</v>
      </c>
    </row>
    <row r="1645" spans="1:5">
      <c r="A1645" s="10">
        <v>1642</v>
      </c>
      <c r="B1645" s="12">
        <f t="shared" si="25"/>
        <v>4.4986301369863</v>
      </c>
      <c r="C1645" s="14">
        <f>'1_Inputs'!$H$7</f>
        <v>0.0305712824819807</v>
      </c>
      <c r="D1645" s="12">
        <f>D1644*EXP(-'1_Inputs'!$H$7*(1/365))</f>
        <v>0.899058940283422</v>
      </c>
      <c r="E1645" s="43" t="s">
        <v>59</v>
      </c>
    </row>
    <row r="1646" spans="1:5">
      <c r="A1646" s="4">
        <v>1643</v>
      </c>
      <c r="B1646" s="6">
        <f t="shared" si="25"/>
        <v>4.5013698630137</v>
      </c>
      <c r="C1646" s="8">
        <f>'1_Inputs'!$H$7</f>
        <v>0.0305712824819807</v>
      </c>
      <c r="D1646" s="6">
        <f>D1645*EXP(-'1_Inputs'!$H$7*(1/365))</f>
        <v>0.898983641012689</v>
      </c>
    </row>
    <row r="1647" spans="1:5">
      <c r="A1647" s="10">
        <v>1644</v>
      </c>
      <c r="B1647" s="12">
        <f t="shared" si="25"/>
        <v>4.5041095890411</v>
      </c>
      <c r="C1647" s="14">
        <f>'1_Inputs'!$H$7</f>
        <v>0.0305712824819807</v>
      </c>
      <c r="D1647" s="12">
        <f>D1646*EXP(-'1_Inputs'!$H$7*(1/365))</f>
        <v>0.898908348048528</v>
      </c>
    </row>
    <row r="1648" spans="1:5">
      <c r="A1648" s="4">
        <v>1645</v>
      </c>
      <c r="B1648" s="6">
        <f t="shared" si="25"/>
        <v>4.50684931506849</v>
      </c>
      <c r="C1648" s="8">
        <f>'1_Inputs'!$H$7</f>
        <v>0.0305712824819807</v>
      </c>
      <c r="D1648" s="6">
        <f>D1647*EXP(-'1_Inputs'!$H$7*(1/365))</f>
        <v>0.898833061390411</v>
      </c>
    </row>
    <row r="1649" spans="1:4">
      <c r="A1649" s="10">
        <v>1646</v>
      </c>
      <c r="B1649" s="12">
        <f t="shared" si="25"/>
        <v>4.50958904109589</v>
      </c>
      <c r="C1649" s="14">
        <f>'1_Inputs'!$H$7</f>
        <v>0.0305712824819807</v>
      </c>
      <c r="D1649" s="12">
        <f>D1648*EXP(-'1_Inputs'!$H$7*(1/365))</f>
        <v>0.89875778103781</v>
      </c>
    </row>
    <row r="1650" spans="1:4">
      <c r="A1650" s="4">
        <v>1647</v>
      </c>
      <c r="B1650" s="6">
        <f t="shared" si="25"/>
        <v>4.51232876712329</v>
      </c>
      <c r="C1650" s="8">
        <f>'1_Inputs'!$H$7</f>
        <v>0.0305712824819807</v>
      </c>
      <c r="D1650" s="6">
        <f>D1649*EXP(-'1_Inputs'!$H$7*(1/365))</f>
        <v>0.898682506990197</v>
      </c>
    </row>
    <row r="1651" spans="1:4">
      <c r="A1651" s="10">
        <v>1648</v>
      </c>
      <c r="B1651" s="12">
        <f t="shared" si="25"/>
        <v>4.51506849315069</v>
      </c>
      <c r="C1651" s="14">
        <f>'1_Inputs'!$H$7</f>
        <v>0.0305712824819807</v>
      </c>
      <c r="D1651" s="12">
        <f>D1650*EXP(-'1_Inputs'!$H$7*(1/365))</f>
        <v>0.898607239247043</v>
      </c>
    </row>
    <row r="1652" spans="1:4">
      <c r="A1652" s="4">
        <v>1649</v>
      </c>
      <c r="B1652" s="6">
        <f t="shared" si="25"/>
        <v>4.51780821917808</v>
      </c>
      <c r="C1652" s="8">
        <f>'1_Inputs'!$H$7</f>
        <v>0.0305712824819807</v>
      </c>
      <c r="D1652" s="6">
        <f>D1651*EXP(-'1_Inputs'!$H$7*(1/365))</f>
        <v>0.898531977807821</v>
      </c>
    </row>
    <row r="1653" spans="1:4">
      <c r="A1653" s="10">
        <v>1650</v>
      </c>
      <c r="B1653" s="12">
        <f t="shared" si="25"/>
        <v>4.52054794520548</v>
      </c>
      <c r="C1653" s="14">
        <f>'1_Inputs'!$H$7</f>
        <v>0.0305712824819807</v>
      </c>
      <c r="D1653" s="12">
        <f>D1652*EXP(-'1_Inputs'!$H$7*(1/365))</f>
        <v>0.898456722672003</v>
      </c>
    </row>
    <row r="1654" spans="1:4">
      <c r="A1654" s="4">
        <v>1651</v>
      </c>
      <c r="B1654" s="6">
        <f t="shared" si="25"/>
        <v>4.52328767123288</v>
      </c>
      <c r="C1654" s="8">
        <f>'1_Inputs'!$H$7</f>
        <v>0.0305712824819807</v>
      </c>
      <c r="D1654" s="6">
        <f>D1653*EXP(-'1_Inputs'!$H$7*(1/365))</f>
        <v>0.898381473839061</v>
      </c>
    </row>
    <row r="1655" spans="1:4">
      <c r="A1655" s="10">
        <v>1652</v>
      </c>
      <c r="B1655" s="12">
        <f t="shared" si="25"/>
        <v>4.52602739726027</v>
      </c>
      <c r="C1655" s="14">
        <f>'1_Inputs'!$H$7</f>
        <v>0.0305712824819807</v>
      </c>
      <c r="D1655" s="12">
        <f>D1654*EXP(-'1_Inputs'!$H$7*(1/365))</f>
        <v>0.898306231308467</v>
      </c>
    </row>
    <row r="1656" spans="1:4">
      <c r="A1656" s="4">
        <v>1653</v>
      </c>
      <c r="B1656" s="6">
        <f t="shared" si="25"/>
        <v>4.52876712328767</v>
      </c>
      <c r="C1656" s="8">
        <f>'1_Inputs'!$H$7</f>
        <v>0.0305712824819807</v>
      </c>
      <c r="D1656" s="6">
        <f>D1655*EXP(-'1_Inputs'!$H$7*(1/365))</f>
        <v>0.898230995079692</v>
      </c>
    </row>
    <row r="1657" spans="1:4">
      <c r="A1657" s="10">
        <v>1654</v>
      </c>
      <c r="B1657" s="12">
        <f t="shared" si="25"/>
        <v>4.53150684931507</v>
      </c>
      <c r="C1657" s="14">
        <f>'1_Inputs'!$H$7</f>
        <v>0.0305712824819807</v>
      </c>
      <c r="D1657" s="12">
        <f>D1656*EXP(-'1_Inputs'!$H$7*(1/365))</f>
        <v>0.89815576515221</v>
      </c>
    </row>
    <row r="1658" spans="1:4">
      <c r="A1658" s="4">
        <v>1655</v>
      </c>
      <c r="B1658" s="6">
        <f t="shared" si="25"/>
        <v>4.53424657534247</v>
      </c>
      <c r="C1658" s="8">
        <f>'1_Inputs'!$H$7</f>
        <v>0.0305712824819807</v>
      </c>
      <c r="D1658" s="6">
        <f>D1657*EXP(-'1_Inputs'!$H$7*(1/365))</f>
        <v>0.898080541525493</v>
      </c>
    </row>
    <row r="1659" spans="1:4">
      <c r="A1659" s="10">
        <v>1656</v>
      </c>
      <c r="B1659" s="12">
        <f t="shared" si="25"/>
        <v>4.53698630136986</v>
      </c>
      <c r="C1659" s="14">
        <f>'1_Inputs'!$H$7</f>
        <v>0.0305712824819807</v>
      </c>
      <c r="D1659" s="12">
        <f>D1658*EXP(-'1_Inputs'!$H$7*(1/365))</f>
        <v>0.898005324199012</v>
      </c>
    </row>
    <row r="1660" spans="1:4">
      <c r="A1660" s="4">
        <v>1657</v>
      </c>
      <c r="B1660" s="6">
        <f t="shared" si="25"/>
        <v>4.53972602739726</v>
      </c>
      <c r="C1660" s="8">
        <f>'1_Inputs'!$H$7</f>
        <v>0.0305712824819807</v>
      </c>
      <c r="D1660" s="6">
        <f>D1659*EXP(-'1_Inputs'!$H$7*(1/365))</f>
        <v>0.897930113172241</v>
      </c>
    </row>
    <row r="1661" spans="1:4">
      <c r="A1661" s="10">
        <v>1658</v>
      </c>
      <c r="B1661" s="12">
        <f t="shared" si="25"/>
        <v>4.54246575342466</v>
      </c>
      <c r="C1661" s="14">
        <f>'1_Inputs'!$H$7</f>
        <v>0.0305712824819807</v>
      </c>
      <c r="D1661" s="12">
        <f>D1660*EXP(-'1_Inputs'!$H$7*(1/365))</f>
        <v>0.897854908444651</v>
      </c>
    </row>
    <row r="1662" spans="1:4">
      <c r="A1662" s="4">
        <v>1659</v>
      </c>
      <c r="B1662" s="6">
        <f t="shared" si="25"/>
        <v>4.54520547945206</v>
      </c>
      <c r="C1662" s="8">
        <f>'1_Inputs'!$H$7</f>
        <v>0.0305712824819807</v>
      </c>
      <c r="D1662" s="6">
        <f>D1661*EXP(-'1_Inputs'!$H$7*(1/365))</f>
        <v>0.897779710015715</v>
      </c>
    </row>
    <row r="1663" spans="1:4">
      <c r="A1663" s="10">
        <v>1660</v>
      </c>
      <c r="B1663" s="12">
        <f t="shared" si="25"/>
        <v>4.54794520547945</v>
      </c>
      <c r="C1663" s="14">
        <f>'1_Inputs'!$H$7</f>
        <v>0.0305712824819807</v>
      </c>
      <c r="D1663" s="12">
        <f>D1662*EXP(-'1_Inputs'!$H$7*(1/365))</f>
        <v>0.897704517884905</v>
      </c>
    </row>
    <row r="1664" spans="1:4">
      <c r="A1664" s="4">
        <v>1661</v>
      </c>
      <c r="B1664" s="6">
        <f t="shared" si="25"/>
        <v>4.55068493150685</v>
      </c>
      <c r="C1664" s="8">
        <f>'1_Inputs'!$H$7</f>
        <v>0.0305712824819807</v>
      </c>
      <c r="D1664" s="6">
        <f>D1663*EXP(-'1_Inputs'!$H$7*(1/365))</f>
        <v>0.897629332051695</v>
      </c>
    </row>
    <row r="1665" spans="1:4">
      <c r="A1665" s="10">
        <v>1662</v>
      </c>
      <c r="B1665" s="12">
        <f t="shared" si="25"/>
        <v>4.55342465753425</v>
      </c>
      <c r="C1665" s="14">
        <f>'1_Inputs'!$H$7</f>
        <v>0.0305712824819807</v>
      </c>
      <c r="D1665" s="12">
        <f>D1664*EXP(-'1_Inputs'!$H$7*(1/365))</f>
        <v>0.897554152515555</v>
      </c>
    </row>
    <row r="1666" spans="1:4">
      <c r="A1666" s="4">
        <v>1663</v>
      </c>
      <c r="B1666" s="6">
        <f t="shared" si="25"/>
        <v>4.55616438356164</v>
      </c>
      <c r="C1666" s="8">
        <f>'1_Inputs'!$H$7</f>
        <v>0.0305712824819807</v>
      </c>
      <c r="D1666" s="6">
        <f>D1665*EXP(-'1_Inputs'!$H$7*(1/365))</f>
        <v>0.89747897927596</v>
      </c>
    </row>
    <row r="1667" spans="1:4">
      <c r="A1667" s="10">
        <v>1664</v>
      </c>
      <c r="B1667" s="12">
        <f t="shared" ref="B1667:B1730" si="26">A1667/365</f>
        <v>4.55890410958904</v>
      </c>
      <c r="C1667" s="14">
        <f>'1_Inputs'!$H$7</f>
        <v>0.0305712824819807</v>
      </c>
      <c r="D1667" s="12">
        <f>D1666*EXP(-'1_Inputs'!$H$7*(1/365))</f>
        <v>0.897403812332382</v>
      </c>
    </row>
    <row r="1668" spans="1:4">
      <c r="A1668" s="4">
        <v>1665</v>
      </c>
      <c r="B1668" s="6">
        <f t="shared" si="26"/>
        <v>4.56164383561644</v>
      </c>
      <c r="C1668" s="8">
        <f>'1_Inputs'!$H$7</f>
        <v>0.0305712824819807</v>
      </c>
      <c r="D1668" s="6">
        <f>D1667*EXP(-'1_Inputs'!$H$7*(1/365))</f>
        <v>0.897328651684293</v>
      </c>
    </row>
    <row r="1669" spans="1:4">
      <c r="A1669" s="10">
        <v>1666</v>
      </c>
      <c r="B1669" s="12">
        <f t="shared" si="26"/>
        <v>4.56438356164384</v>
      </c>
      <c r="C1669" s="14">
        <f>'1_Inputs'!$H$7</f>
        <v>0.0305712824819807</v>
      </c>
      <c r="D1669" s="12">
        <f>D1668*EXP(-'1_Inputs'!$H$7*(1/365))</f>
        <v>0.897253497331166</v>
      </c>
    </row>
    <row r="1670" spans="1:4">
      <c r="A1670" s="4">
        <v>1667</v>
      </c>
      <c r="B1670" s="6">
        <f t="shared" si="26"/>
        <v>4.56712328767123</v>
      </c>
      <c r="C1670" s="8">
        <f>'1_Inputs'!$H$7</f>
        <v>0.0305712824819807</v>
      </c>
      <c r="D1670" s="6">
        <f>D1669*EXP(-'1_Inputs'!$H$7*(1/365))</f>
        <v>0.897178349272474</v>
      </c>
    </row>
    <row r="1671" spans="1:4">
      <c r="A1671" s="10">
        <v>1668</v>
      </c>
      <c r="B1671" s="12">
        <f t="shared" si="26"/>
        <v>4.56986301369863</v>
      </c>
      <c r="C1671" s="14">
        <f>'1_Inputs'!$H$7</f>
        <v>0.0305712824819807</v>
      </c>
      <c r="D1671" s="12">
        <f>D1670*EXP(-'1_Inputs'!$H$7*(1/365))</f>
        <v>0.89710320750769</v>
      </c>
    </row>
    <row r="1672" spans="1:4">
      <c r="A1672" s="4">
        <v>1669</v>
      </c>
      <c r="B1672" s="6">
        <f t="shared" si="26"/>
        <v>4.57260273972603</v>
      </c>
      <c r="C1672" s="8">
        <f>'1_Inputs'!$H$7</f>
        <v>0.0305712824819807</v>
      </c>
      <c r="D1672" s="6">
        <f>D1671*EXP(-'1_Inputs'!$H$7*(1/365))</f>
        <v>0.897028072036286</v>
      </c>
    </row>
    <row r="1673" spans="1:4">
      <c r="A1673" s="10">
        <v>1670</v>
      </c>
      <c r="B1673" s="12">
        <f t="shared" si="26"/>
        <v>4.57534246575342</v>
      </c>
      <c r="C1673" s="14">
        <f>'1_Inputs'!$H$7</f>
        <v>0.0305712824819807</v>
      </c>
      <c r="D1673" s="12">
        <f>D1672*EXP(-'1_Inputs'!$H$7*(1/365))</f>
        <v>0.896952942857736</v>
      </c>
    </row>
    <row r="1674" spans="1:4">
      <c r="A1674" s="4">
        <v>1671</v>
      </c>
      <c r="B1674" s="6">
        <f t="shared" si="26"/>
        <v>4.57808219178082</v>
      </c>
      <c r="C1674" s="8">
        <f>'1_Inputs'!$H$7</f>
        <v>0.0305712824819807</v>
      </c>
      <c r="D1674" s="6">
        <f>D1673*EXP(-'1_Inputs'!$H$7*(1/365))</f>
        <v>0.896877819971513</v>
      </c>
    </row>
    <row r="1675" spans="1:4">
      <c r="A1675" s="10">
        <v>1672</v>
      </c>
      <c r="B1675" s="12">
        <f t="shared" si="26"/>
        <v>4.58082191780822</v>
      </c>
      <c r="C1675" s="14">
        <f>'1_Inputs'!$H$7</f>
        <v>0.0305712824819807</v>
      </c>
      <c r="D1675" s="12">
        <f>D1674*EXP(-'1_Inputs'!$H$7*(1/365))</f>
        <v>0.896802703377088</v>
      </c>
    </row>
    <row r="1676" spans="1:4">
      <c r="A1676" s="4">
        <v>1673</v>
      </c>
      <c r="B1676" s="6">
        <f t="shared" si="26"/>
        <v>4.58356164383562</v>
      </c>
      <c r="C1676" s="8">
        <f>'1_Inputs'!$H$7</f>
        <v>0.0305712824819807</v>
      </c>
      <c r="D1676" s="6">
        <f>D1675*EXP(-'1_Inputs'!$H$7*(1/365))</f>
        <v>0.896727593073937</v>
      </c>
    </row>
    <row r="1677" spans="1:4">
      <c r="A1677" s="10">
        <v>1674</v>
      </c>
      <c r="B1677" s="12">
        <f t="shared" si="26"/>
        <v>4.58630136986301</v>
      </c>
      <c r="C1677" s="14">
        <f>'1_Inputs'!$H$7</f>
        <v>0.0305712824819807</v>
      </c>
      <c r="D1677" s="12">
        <f>D1676*EXP(-'1_Inputs'!$H$7*(1/365))</f>
        <v>0.896652489061531</v>
      </c>
    </row>
    <row r="1678" spans="1:4">
      <c r="A1678" s="4">
        <v>1675</v>
      </c>
      <c r="B1678" s="6">
        <f t="shared" si="26"/>
        <v>4.58904109589041</v>
      </c>
      <c r="C1678" s="8">
        <f>'1_Inputs'!$H$7</f>
        <v>0.0305712824819807</v>
      </c>
      <c r="D1678" s="6">
        <f>D1677*EXP(-'1_Inputs'!$H$7*(1/365))</f>
        <v>0.896577391339343</v>
      </c>
    </row>
    <row r="1679" spans="1:4">
      <c r="A1679" s="10">
        <v>1676</v>
      </c>
      <c r="B1679" s="12">
        <f t="shared" si="26"/>
        <v>4.59178082191781</v>
      </c>
      <c r="C1679" s="14">
        <f>'1_Inputs'!$H$7</f>
        <v>0.0305712824819807</v>
      </c>
      <c r="D1679" s="12">
        <f>D1678*EXP(-'1_Inputs'!$H$7*(1/365))</f>
        <v>0.896502299906848</v>
      </c>
    </row>
    <row r="1680" spans="1:4">
      <c r="A1680" s="4">
        <v>1677</v>
      </c>
      <c r="B1680" s="6">
        <f t="shared" si="26"/>
        <v>4.59452054794521</v>
      </c>
      <c r="C1680" s="8">
        <f>'1_Inputs'!$H$7</f>
        <v>0.0305712824819807</v>
      </c>
      <c r="D1680" s="6">
        <f>D1679*EXP(-'1_Inputs'!$H$7*(1/365))</f>
        <v>0.896427214763517</v>
      </c>
    </row>
    <row r="1681" spans="1:4">
      <c r="A1681" s="10">
        <v>1678</v>
      </c>
      <c r="B1681" s="12">
        <f t="shared" si="26"/>
        <v>4.5972602739726</v>
      </c>
      <c r="C1681" s="14">
        <f>'1_Inputs'!$H$7</f>
        <v>0.0305712824819807</v>
      </c>
      <c r="D1681" s="12">
        <f>D1680*EXP(-'1_Inputs'!$H$7*(1/365))</f>
        <v>0.896352135908825</v>
      </c>
    </row>
    <row r="1682" spans="1:4">
      <c r="A1682" s="4">
        <v>1679</v>
      </c>
      <c r="B1682" s="6">
        <f t="shared" si="26"/>
        <v>4.6</v>
      </c>
      <c r="C1682" s="8">
        <f>'1_Inputs'!$H$7</f>
        <v>0.0305712824819807</v>
      </c>
      <c r="D1682" s="6">
        <f>D1681*EXP(-'1_Inputs'!$H$7*(1/365))</f>
        <v>0.896277063342245</v>
      </c>
    </row>
    <row r="1683" spans="1:4">
      <c r="A1683" s="10">
        <v>1680</v>
      </c>
      <c r="B1683" s="12">
        <f t="shared" si="26"/>
        <v>4.6027397260274</v>
      </c>
      <c r="C1683" s="14">
        <f>'1_Inputs'!$H$7</f>
        <v>0.0305712824819807</v>
      </c>
      <c r="D1683" s="12">
        <f>D1682*EXP(-'1_Inputs'!$H$7*(1/365))</f>
        <v>0.896201997063249</v>
      </c>
    </row>
    <row r="1684" spans="1:4">
      <c r="A1684" s="4">
        <v>1681</v>
      </c>
      <c r="B1684" s="6">
        <f t="shared" si="26"/>
        <v>4.60547945205479</v>
      </c>
      <c r="C1684" s="8">
        <f>'1_Inputs'!$H$7</f>
        <v>0.0305712824819807</v>
      </c>
      <c r="D1684" s="6">
        <f>D1683*EXP(-'1_Inputs'!$H$7*(1/365))</f>
        <v>0.896126937071312</v>
      </c>
    </row>
    <row r="1685" spans="1:4">
      <c r="A1685" s="10">
        <v>1682</v>
      </c>
      <c r="B1685" s="12">
        <f t="shared" si="26"/>
        <v>4.60821917808219</v>
      </c>
      <c r="C1685" s="14">
        <f>'1_Inputs'!$H$7</f>
        <v>0.0305712824819807</v>
      </c>
      <c r="D1685" s="12">
        <f>D1684*EXP(-'1_Inputs'!$H$7*(1/365))</f>
        <v>0.896051883365907</v>
      </c>
    </row>
    <row r="1686" spans="1:4">
      <c r="A1686" s="4">
        <v>1683</v>
      </c>
      <c r="B1686" s="6">
        <f t="shared" si="26"/>
        <v>4.61095890410959</v>
      </c>
      <c r="C1686" s="8">
        <f>'1_Inputs'!$H$7</f>
        <v>0.0305712824819807</v>
      </c>
      <c r="D1686" s="6">
        <f>D1685*EXP(-'1_Inputs'!$H$7*(1/365))</f>
        <v>0.895976835946507</v>
      </c>
    </row>
    <row r="1687" spans="1:4">
      <c r="A1687" s="10">
        <v>1684</v>
      </c>
      <c r="B1687" s="12">
        <f t="shared" si="26"/>
        <v>4.61369863013699</v>
      </c>
      <c r="C1687" s="14">
        <f>'1_Inputs'!$H$7</f>
        <v>0.0305712824819807</v>
      </c>
      <c r="D1687" s="12">
        <f>D1686*EXP(-'1_Inputs'!$H$7*(1/365))</f>
        <v>0.895901794812586</v>
      </c>
    </row>
    <row r="1688" spans="1:4">
      <c r="A1688" s="4">
        <v>1685</v>
      </c>
      <c r="B1688" s="6">
        <f t="shared" si="26"/>
        <v>4.61643835616438</v>
      </c>
      <c r="C1688" s="8">
        <f>'1_Inputs'!$H$7</f>
        <v>0.0305712824819807</v>
      </c>
      <c r="D1688" s="6">
        <f>D1687*EXP(-'1_Inputs'!$H$7*(1/365))</f>
        <v>0.895826759963618</v>
      </c>
    </row>
    <row r="1689" spans="1:4">
      <c r="A1689" s="10">
        <v>1686</v>
      </c>
      <c r="B1689" s="12">
        <f t="shared" si="26"/>
        <v>4.61917808219178</v>
      </c>
      <c r="C1689" s="14">
        <f>'1_Inputs'!$H$7</f>
        <v>0.0305712824819807</v>
      </c>
      <c r="D1689" s="12">
        <f>D1688*EXP(-'1_Inputs'!$H$7*(1/365))</f>
        <v>0.895751731399075</v>
      </c>
    </row>
    <row r="1690" spans="1:4">
      <c r="A1690" s="4">
        <v>1687</v>
      </c>
      <c r="B1690" s="6">
        <f t="shared" si="26"/>
        <v>4.62191780821918</v>
      </c>
      <c r="C1690" s="8">
        <f>'1_Inputs'!$H$7</f>
        <v>0.0305712824819807</v>
      </c>
      <c r="D1690" s="6">
        <f>D1689*EXP(-'1_Inputs'!$H$7*(1/365))</f>
        <v>0.895676709118432</v>
      </c>
    </row>
    <row r="1691" spans="1:4">
      <c r="A1691" s="10">
        <v>1688</v>
      </c>
      <c r="B1691" s="12">
        <f t="shared" si="26"/>
        <v>4.62465753424657</v>
      </c>
      <c r="C1691" s="14">
        <f>'1_Inputs'!$H$7</f>
        <v>0.0305712824819807</v>
      </c>
      <c r="D1691" s="12">
        <f>D1690*EXP(-'1_Inputs'!$H$7*(1/365))</f>
        <v>0.895601693121163</v>
      </c>
    </row>
    <row r="1692" spans="1:4">
      <c r="A1692" s="4">
        <v>1689</v>
      </c>
      <c r="B1692" s="6">
        <f t="shared" si="26"/>
        <v>4.62739726027397</v>
      </c>
      <c r="C1692" s="8">
        <f>'1_Inputs'!$H$7</f>
        <v>0.0305712824819807</v>
      </c>
      <c r="D1692" s="6">
        <f>D1691*EXP(-'1_Inputs'!$H$7*(1/365))</f>
        <v>0.895526683406741</v>
      </c>
    </row>
    <row r="1693" spans="1:4">
      <c r="A1693" s="10">
        <v>1690</v>
      </c>
      <c r="B1693" s="12">
        <f t="shared" si="26"/>
        <v>4.63013698630137</v>
      </c>
      <c r="C1693" s="14">
        <f>'1_Inputs'!$H$7</f>
        <v>0.0305712824819807</v>
      </c>
      <c r="D1693" s="12">
        <f>D1692*EXP(-'1_Inputs'!$H$7*(1/365))</f>
        <v>0.895451679974639</v>
      </c>
    </row>
    <row r="1694" spans="1:4">
      <c r="A1694" s="4">
        <v>1691</v>
      </c>
      <c r="B1694" s="6">
        <f t="shared" si="26"/>
        <v>4.63287671232877</v>
      </c>
      <c r="C1694" s="8">
        <f>'1_Inputs'!$H$7</f>
        <v>0.0305712824819807</v>
      </c>
      <c r="D1694" s="6">
        <f>D1693*EXP(-'1_Inputs'!$H$7*(1/365))</f>
        <v>0.895376682824332</v>
      </c>
    </row>
    <row r="1695" spans="1:4">
      <c r="A1695" s="10">
        <v>1692</v>
      </c>
      <c r="B1695" s="12">
        <f t="shared" si="26"/>
        <v>4.63561643835616</v>
      </c>
      <c r="C1695" s="14">
        <f>'1_Inputs'!$H$7</f>
        <v>0.0305712824819807</v>
      </c>
      <c r="D1695" s="12">
        <f>D1694*EXP(-'1_Inputs'!$H$7*(1/365))</f>
        <v>0.895301691955294</v>
      </c>
    </row>
    <row r="1696" spans="1:4">
      <c r="A1696" s="4">
        <v>1693</v>
      </c>
      <c r="B1696" s="6">
        <f t="shared" si="26"/>
        <v>4.63835616438356</v>
      </c>
      <c r="C1696" s="8">
        <f>'1_Inputs'!$H$7</f>
        <v>0.0305712824819807</v>
      </c>
      <c r="D1696" s="6">
        <f>D1695*EXP(-'1_Inputs'!$H$7*(1/365))</f>
        <v>0.895226707366999</v>
      </c>
    </row>
    <row r="1697" spans="1:4">
      <c r="A1697" s="10">
        <v>1694</v>
      </c>
      <c r="B1697" s="12">
        <f t="shared" si="26"/>
        <v>4.64109589041096</v>
      </c>
      <c r="C1697" s="14">
        <f>'1_Inputs'!$H$7</f>
        <v>0.0305712824819807</v>
      </c>
      <c r="D1697" s="12">
        <f>D1696*EXP(-'1_Inputs'!$H$7*(1/365))</f>
        <v>0.89515172905892</v>
      </c>
    </row>
    <row r="1698" spans="1:4">
      <c r="A1698" s="4">
        <v>1695</v>
      </c>
      <c r="B1698" s="6">
        <f t="shared" si="26"/>
        <v>4.64383561643836</v>
      </c>
      <c r="C1698" s="8">
        <f>'1_Inputs'!$H$7</f>
        <v>0.0305712824819807</v>
      </c>
      <c r="D1698" s="6">
        <f>D1697*EXP(-'1_Inputs'!$H$7*(1/365))</f>
        <v>0.895076757030532</v>
      </c>
    </row>
    <row r="1699" spans="1:4">
      <c r="A1699" s="10">
        <v>1696</v>
      </c>
      <c r="B1699" s="12">
        <f t="shared" si="26"/>
        <v>4.64657534246575</v>
      </c>
      <c r="C1699" s="14">
        <f>'1_Inputs'!$H$7</f>
        <v>0.0305712824819807</v>
      </c>
      <c r="D1699" s="12">
        <f>D1698*EXP(-'1_Inputs'!$H$7*(1/365))</f>
        <v>0.895001791281308</v>
      </c>
    </row>
    <row r="1700" spans="1:4">
      <c r="A1700" s="4">
        <v>1697</v>
      </c>
      <c r="B1700" s="6">
        <f t="shared" si="26"/>
        <v>4.64931506849315</v>
      </c>
      <c r="C1700" s="8">
        <f>'1_Inputs'!$H$7</f>
        <v>0.0305712824819807</v>
      </c>
      <c r="D1700" s="6">
        <f>D1699*EXP(-'1_Inputs'!$H$7*(1/365))</f>
        <v>0.894926831810723</v>
      </c>
    </row>
    <row r="1701" spans="1:4">
      <c r="A1701" s="10">
        <v>1698</v>
      </c>
      <c r="B1701" s="12">
        <f t="shared" si="26"/>
        <v>4.65205479452055</v>
      </c>
      <c r="C1701" s="14">
        <f>'1_Inputs'!$H$7</f>
        <v>0.0305712824819807</v>
      </c>
      <c r="D1701" s="12">
        <f>D1700*EXP(-'1_Inputs'!$H$7*(1/365))</f>
        <v>0.89485187861825</v>
      </c>
    </row>
    <row r="1702" spans="1:4">
      <c r="A1702" s="4">
        <v>1699</v>
      </c>
      <c r="B1702" s="6">
        <f t="shared" si="26"/>
        <v>4.65479452054795</v>
      </c>
      <c r="C1702" s="8">
        <f>'1_Inputs'!$H$7</f>
        <v>0.0305712824819807</v>
      </c>
      <c r="D1702" s="6">
        <f>D1701*EXP(-'1_Inputs'!$H$7*(1/365))</f>
        <v>0.894776931703365</v>
      </c>
    </row>
    <row r="1703" spans="1:4">
      <c r="A1703" s="10">
        <v>1700</v>
      </c>
      <c r="B1703" s="12">
        <f t="shared" si="26"/>
        <v>4.65753424657534</v>
      </c>
      <c r="C1703" s="14">
        <f>'1_Inputs'!$H$7</f>
        <v>0.0305712824819807</v>
      </c>
      <c r="D1703" s="12">
        <f>D1702*EXP(-'1_Inputs'!$H$7*(1/365))</f>
        <v>0.894701991065541</v>
      </c>
    </row>
    <row r="1704" spans="1:4">
      <c r="A1704" s="4">
        <v>1701</v>
      </c>
      <c r="B1704" s="6">
        <f t="shared" si="26"/>
        <v>4.66027397260274</v>
      </c>
      <c r="C1704" s="8">
        <f>'1_Inputs'!$H$7</f>
        <v>0.0305712824819807</v>
      </c>
      <c r="D1704" s="6">
        <f>D1703*EXP(-'1_Inputs'!$H$7*(1/365))</f>
        <v>0.894627056704253</v>
      </c>
    </row>
    <row r="1705" spans="1:4">
      <c r="A1705" s="10">
        <v>1702</v>
      </c>
      <c r="B1705" s="12">
        <f t="shared" si="26"/>
        <v>4.66301369863014</v>
      </c>
      <c r="C1705" s="14">
        <f>'1_Inputs'!$H$7</f>
        <v>0.0305712824819807</v>
      </c>
      <c r="D1705" s="12">
        <f>D1704*EXP(-'1_Inputs'!$H$7*(1/365))</f>
        <v>0.894552128618974</v>
      </c>
    </row>
    <row r="1706" spans="1:4">
      <c r="A1706" s="4">
        <v>1703</v>
      </c>
      <c r="B1706" s="6">
        <f t="shared" si="26"/>
        <v>4.66575342465753</v>
      </c>
      <c r="C1706" s="8">
        <f>'1_Inputs'!$H$7</f>
        <v>0.0305712824819807</v>
      </c>
      <c r="D1706" s="6">
        <f>D1705*EXP(-'1_Inputs'!$H$7*(1/365))</f>
        <v>0.89447720680918</v>
      </c>
    </row>
    <row r="1707" spans="1:4">
      <c r="A1707" s="10">
        <v>1704</v>
      </c>
      <c r="B1707" s="12">
        <f t="shared" si="26"/>
        <v>4.66849315068493</v>
      </c>
      <c r="C1707" s="14">
        <f>'1_Inputs'!$H$7</f>
        <v>0.0305712824819807</v>
      </c>
      <c r="D1707" s="12">
        <f>D1706*EXP(-'1_Inputs'!$H$7*(1/365))</f>
        <v>0.894402291274344</v>
      </c>
    </row>
    <row r="1708" spans="1:4">
      <c r="A1708" s="4">
        <v>1705</v>
      </c>
      <c r="B1708" s="6">
        <f t="shared" si="26"/>
        <v>4.67123287671233</v>
      </c>
      <c r="C1708" s="8">
        <f>'1_Inputs'!$H$7</f>
        <v>0.0305712824819807</v>
      </c>
      <c r="D1708" s="6">
        <f>D1707*EXP(-'1_Inputs'!$H$7*(1/365))</f>
        <v>0.894327382013941</v>
      </c>
    </row>
    <row r="1709" spans="1:4">
      <c r="A1709" s="10">
        <v>1706</v>
      </c>
      <c r="B1709" s="12">
        <f t="shared" si="26"/>
        <v>4.67397260273973</v>
      </c>
      <c r="C1709" s="14">
        <f>'1_Inputs'!$H$7</f>
        <v>0.0305712824819807</v>
      </c>
      <c r="D1709" s="12">
        <f>D1708*EXP(-'1_Inputs'!$H$7*(1/365))</f>
        <v>0.894252479027446</v>
      </c>
    </row>
    <row r="1710" spans="1:4">
      <c r="A1710" s="4">
        <v>1707</v>
      </c>
      <c r="B1710" s="6">
        <f t="shared" si="26"/>
        <v>4.67671232876712</v>
      </c>
      <c r="C1710" s="8">
        <f>'1_Inputs'!$H$7</f>
        <v>0.0305712824819807</v>
      </c>
      <c r="D1710" s="6">
        <f>D1709*EXP(-'1_Inputs'!$H$7*(1/365))</f>
        <v>0.894177582314333</v>
      </c>
    </row>
    <row r="1711" spans="1:4">
      <c r="A1711" s="10">
        <v>1708</v>
      </c>
      <c r="B1711" s="12">
        <f t="shared" si="26"/>
        <v>4.67945205479452</v>
      </c>
      <c r="C1711" s="14">
        <f>'1_Inputs'!$H$7</f>
        <v>0.0305712824819807</v>
      </c>
      <c r="D1711" s="12">
        <f>D1710*EXP(-'1_Inputs'!$H$7*(1/365))</f>
        <v>0.894102691874076</v>
      </c>
    </row>
    <row r="1712" spans="1:4">
      <c r="A1712" s="4">
        <v>1709</v>
      </c>
      <c r="B1712" s="6">
        <f t="shared" si="26"/>
        <v>4.68219178082192</v>
      </c>
      <c r="C1712" s="8">
        <f>'1_Inputs'!$H$7</f>
        <v>0.0305712824819807</v>
      </c>
      <c r="D1712" s="6">
        <f>D1711*EXP(-'1_Inputs'!$H$7*(1/365))</f>
        <v>0.894027807706151</v>
      </c>
    </row>
    <row r="1713" spans="1:4">
      <c r="A1713" s="10">
        <v>1710</v>
      </c>
      <c r="B1713" s="12">
        <f t="shared" si="26"/>
        <v>4.68493150684932</v>
      </c>
      <c r="C1713" s="14">
        <f>'1_Inputs'!$H$7</f>
        <v>0.0305712824819807</v>
      </c>
      <c r="D1713" s="12">
        <f>D1712*EXP(-'1_Inputs'!$H$7*(1/365))</f>
        <v>0.893952929810032</v>
      </c>
    </row>
    <row r="1714" spans="1:4">
      <c r="A1714" s="4">
        <v>1711</v>
      </c>
      <c r="B1714" s="6">
        <f t="shared" si="26"/>
        <v>4.68767123287671</v>
      </c>
      <c r="C1714" s="8">
        <f>'1_Inputs'!$H$7</f>
        <v>0.0305712824819807</v>
      </c>
      <c r="D1714" s="6">
        <f>D1713*EXP(-'1_Inputs'!$H$7*(1/365))</f>
        <v>0.893878058185194</v>
      </c>
    </row>
    <row r="1715" spans="1:4">
      <c r="A1715" s="10">
        <v>1712</v>
      </c>
      <c r="B1715" s="12">
        <f t="shared" si="26"/>
        <v>4.69041095890411</v>
      </c>
      <c r="C1715" s="14">
        <f>'1_Inputs'!$H$7</f>
        <v>0.0305712824819807</v>
      </c>
      <c r="D1715" s="12">
        <f>D1714*EXP(-'1_Inputs'!$H$7*(1/365))</f>
        <v>0.89380319283111</v>
      </c>
    </row>
    <row r="1716" spans="1:4">
      <c r="A1716" s="4">
        <v>1713</v>
      </c>
      <c r="B1716" s="6">
        <f t="shared" si="26"/>
        <v>4.69315068493151</v>
      </c>
      <c r="C1716" s="8">
        <f>'1_Inputs'!$H$7</f>
        <v>0.0305712824819807</v>
      </c>
      <c r="D1716" s="6">
        <f>D1715*EXP(-'1_Inputs'!$H$7*(1/365))</f>
        <v>0.893728333747258</v>
      </c>
    </row>
    <row r="1717" spans="1:4">
      <c r="A1717" s="10">
        <v>1714</v>
      </c>
      <c r="B1717" s="12">
        <f t="shared" si="26"/>
        <v>4.6958904109589</v>
      </c>
      <c r="C1717" s="14">
        <f>'1_Inputs'!$H$7</f>
        <v>0.0305712824819807</v>
      </c>
      <c r="D1717" s="12">
        <f>D1716*EXP(-'1_Inputs'!$H$7*(1/365))</f>
        <v>0.89365348093311</v>
      </c>
    </row>
    <row r="1718" spans="1:4">
      <c r="A1718" s="4">
        <v>1715</v>
      </c>
      <c r="B1718" s="6">
        <f t="shared" si="26"/>
        <v>4.6986301369863</v>
      </c>
      <c r="C1718" s="8">
        <f>'1_Inputs'!$H$7</f>
        <v>0.0305712824819807</v>
      </c>
      <c r="D1718" s="6">
        <f>D1717*EXP(-'1_Inputs'!$H$7*(1/365))</f>
        <v>0.893578634388142</v>
      </c>
    </row>
    <row r="1719" spans="1:4">
      <c r="A1719" s="10">
        <v>1716</v>
      </c>
      <c r="B1719" s="12">
        <f t="shared" si="26"/>
        <v>4.7013698630137</v>
      </c>
      <c r="C1719" s="14">
        <f>'1_Inputs'!$H$7</f>
        <v>0.0305712824819807</v>
      </c>
      <c r="D1719" s="12">
        <f>D1718*EXP(-'1_Inputs'!$H$7*(1/365))</f>
        <v>0.89350379411183</v>
      </c>
    </row>
    <row r="1720" spans="1:4">
      <c r="A1720" s="4">
        <v>1717</v>
      </c>
      <c r="B1720" s="6">
        <f t="shared" si="26"/>
        <v>4.7041095890411</v>
      </c>
      <c r="C1720" s="8">
        <f>'1_Inputs'!$H$7</f>
        <v>0.0305712824819807</v>
      </c>
      <c r="D1720" s="6">
        <f>D1719*EXP(-'1_Inputs'!$H$7*(1/365))</f>
        <v>0.893428960103647</v>
      </c>
    </row>
    <row r="1721" spans="1:4">
      <c r="A1721" s="10">
        <v>1718</v>
      </c>
      <c r="B1721" s="12">
        <f t="shared" si="26"/>
        <v>4.70684931506849</v>
      </c>
      <c r="C1721" s="14">
        <f>'1_Inputs'!$H$7</f>
        <v>0.0305712824819807</v>
      </c>
      <c r="D1721" s="12">
        <f>D1720*EXP(-'1_Inputs'!$H$7*(1/365))</f>
        <v>0.893354132363069</v>
      </c>
    </row>
    <row r="1722" spans="1:4">
      <c r="A1722" s="4">
        <v>1719</v>
      </c>
      <c r="B1722" s="6">
        <f t="shared" si="26"/>
        <v>4.70958904109589</v>
      </c>
      <c r="C1722" s="8">
        <f>'1_Inputs'!$H$7</f>
        <v>0.0305712824819807</v>
      </c>
      <c r="D1722" s="6">
        <f>D1721*EXP(-'1_Inputs'!$H$7*(1/365))</f>
        <v>0.893279310889571</v>
      </c>
    </row>
    <row r="1723" spans="1:4">
      <c r="A1723" s="10">
        <v>1720</v>
      </c>
      <c r="B1723" s="12">
        <f t="shared" si="26"/>
        <v>4.71232876712329</v>
      </c>
      <c r="C1723" s="14">
        <f>'1_Inputs'!$H$7</f>
        <v>0.0305712824819807</v>
      </c>
      <c r="D1723" s="12">
        <f>D1722*EXP(-'1_Inputs'!$H$7*(1/365))</f>
        <v>0.893204495682628</v>
      </c>
    </row>
    <row r="1724" spans="1:4">
      <c r="A1724" s="4">
        <v>1721</v>
      </c>
      <c r="B1724" s="6">
        <f t="shared" si="26"/>
        <v>4.71506849315069</v>
      </c>
      <c r="C1724" s="8">
        <f>'1_Inputs'!$H$7</f>
        <v>0.0305712824819807</v>
      </c>
      <c r="D1724" s="6">
        <f>D1723*EXP(-'1_Inputs'!$H$7*(1/365))</f>
        <v>0.893129686741715</v>
      </c>
    </row>
    <row r="1725" spans="1:4">
      <c r="A1725" s="10">
        <v>1722</v>
      </c>
      <c r="B1725" s="12">
        <f t="shared" si="26"/>
        <v>4.71780821917808</v>
      </c>
      <c r="C1725" s="14">
        <f>'1_Inputs'!$H$7</f>
        <v>0.0305712824819807</v>
      </c>
      <c r="D1725" s="12">
        <f>D1724*EXP(-'1_Inputs'!$H$7*(1/365))</f>
        <v>0.893054884066308</v>
      </c>
    </row>
    <row r="1726" spans="1:4">
      <c r="A1726" s="4">
        <v>1723</v>
      </c>
      <c r="B1726" s="6">
        <f t="shared" si="26"/>
        <v>4.72054794520548</v>
      </c>
      <c r="C1726" s="8">
        <f>'1_Inputs'!$H$7</f>
        <v>0.0305712824819807</v>
      </c>
      <c r="D1726" s="6">
        <f>D1725*EXP(-'1_Inputs'!$H$7*(1/365))</f>
        <v>0.892980087655882</v>
      </c>
    </row>
    <row r="1727" spans="1:4">
      <c r="A1727" s="10">
        <v>1724</v>
      </c>
      <c r="B1727" s="12">
        <f t="shared" si="26"/>
        <v>4.72328767123288</v>
      </c>
      <c r="C1727" s="14">
        <f>'1_Inputs'!$H$7</f>
        <v>0.0305712824819807</v>
      </c>
      <c r="D1727" s="12">
        <f>D1726*EXP(-'1_Inputs'!$H$7*(1/365))</f>
        <v>0.892905297509911</v>
      </c>
    </row>
    <row r="1728" spans="1:4">
      <c r="A1728" s="4">
        <v>1725</v>
      </c>
      <c r="B1728" s="6">
        <f t="shared" si="26"/>
        <v>4.72602739726027</v>
      </c>
      <c r="C1728" s="8">
        <f>'1_Inputs'!$H$7</f>
        <v>0.0305712824819807</v>
      </c>
      <c r="D1728" s="6">
        <f>D1727*EXP(-'1_Inputs'!$H$7*(1/365))</f>
        <v>0.892830513627872</v>
      </c>
    </row>
    <row r="1729" spans="1:5">
      <c r="A1729" s="10">
        <v>1726</v>
      </c>
      <c r="B1729" s="12">
        <f t="shared" si="26"/>
        <v>4.72876712328767</v>
      </c>
      <c r="C1729" s="14">
        <f>'1_Inputs'!$H$7</f>
        <v>0.0305712824819807</v>
      </c>
      <c r="D1729" s="12">
        <f>D1728*EXP(-'1_Inputs'!$H$7*(1/365))</f>
        <v>0.89275573600924</v>
      </c>
    </row>
    <row r="1730" spans="1:5">
      <c r="A1730" s="4">
        <v>1727</v>
      </c>
      <c r="B1730" s="6">
        <f t="shared" si="26"/>
        <v>4.73150684931507</v>
      </c>
      <c r="C1730" s="8">
        <f>'1_Inputs'!$H$7</f>
        <v>0.0305712824819807</v>
      </c>
      <c r="D1730" s="6">
        <f>D1729*EXP(-'1_Inputs'!$H$7*(1/365))</f>
        <v>0.892680964653489</v>
      </c>
    </row>
    <row r="1731" spans="1:5">
      <c r="A1731" s="10">
        <v>1728</v>
      </c>
      <c r="B1731" s="12">
        <f t="shared" ref="B1731:B1794" si="27">A1731/365</f>
        <v>4.73424657534247</v>
      </c>
      <c r="C1731" s="14">
        <f>'1_Inputs'!$H$7</f>
        <v>0.0305712824819807</v>
      </c>
      <c r="D1731" s="12">
        <f>D1730*EXP(-'1_Inputs'!$H$7*(1/365))</f>
        <v>0.892606199560097</v>
      </c>
    </row>
    <row r="1732" spans="1:5">
      <c r="A1732" s="4">
        <v>1729</v>
      </c>
      <c r="B1732" s="6">
        <f t="shared" si="27"/>
        <v>4.73698630136986</v>
      </c>
      <c r="C1732" s="8">
        <f>'1_Inputs'!$H$7</f>
        <v>0.0305712824819807</v>
      </c>
      <c r="D1732" s="6">
        <f>D1731*EXP(-'1_Inputs'!$H$7*(1/365))</f>
        <v>0.892531440728537</v>
      </c>
    </row>
    <row r="1733" spans="1:5">
      <c r="A1733" s="10">
        <v>1730</v>
      </c>
      <c r="B1733" s="12">
        <f t="shared" si="27"/>
        <v>4.73972602739726</v>
      </c>
      <c r="C1733" s="14">
        <f>'1_Inputs'!$H$7</f>
        <v>0.0305712824819807</v>
      </c>
      <c r="D1733" s="12">
        <f>D1732*EXP(-'1_Inputs'!$H$7*(1/365))</f>
        <v>0.892456688158286</v>
      </c>
    </row>
    <row r="1734" spans="1:5">
      <c r="A1734" s="4">
        <v>1731</v>
      </c>
      <c r="B1734" s="6">
        <f t="shared" si="27"/>
        <v>4.74246575342466</v>
      </c>
      <c r="C1734" s="8">
        <f>'1_Inputs'!$H$7</f>
        <v>0.0305712824819807</v>
      </c>
      <c r="D1734" s="6">
        <f>D1733*EXP(-'1_Inputs'!$H$7*(1/365))</f>
        <v>0.892381941848819</v>
      </c>
    </row>
    <row r="1735" spans="1:5">
      <c r="A1735" s="10">
        <v>1732</v>
      </c>
      <c r="B1735" s="12">
        <f t="shared" si="27"/>
        <v>4.74520547945205</v>
      </c>
      <c r="C1735" s="14">
        <f>'1_Inputs'!$H$7</f>
        <v>0.0305712824819807</v>
      </c>
      <c r="D1735" s="12">
        <f>D1734*EXP(-'1_Inputs'!$H$7*(1/365))</f>
        <v>0.892307201799612</v>
      </c>
    </row>
    <row r="1736" spans="1:5">
      <c r="A1736" s="4">
        <v>1733</v>
      </c>
      <c r="B1736" s="6">
        <f t="shared" si="27"/>
        <v>4.74794520547945</v>
      </c>
      <c r="C1736" s="8">
        <f>'1_Inputs'!$H$7</f>
        <v>0.0305712824819807</v>
      </c>
      <c r="D1736" s="6">
        <f>D1735*EXP(-'1_Inputs'!$H$7*(1/365))</f>
        <v>0.892232468010141</v>
      </c>
      <c r="E1736" s="43" t="s">
        <v>59</v>
      </c>
    </row>
    <row r="1737" spans="1:5">
      <c r="A1737" s="10">
        <v>1734</v>
      </c>
      <c r="B1737" s="12">
        <f t="shared" si="27"/>
        <v>4.75068493150685</v>
      </c>
      <c r="C1737" s="14">
        <f>'1_Inputs'!$H$7</f>
        <v>0.0305712824819807</v>
      </c>
      <c r="D1737" s="12">
        <f>D1736*EXP(-'1_Inputs'!$H$7*(1/365))</f>
        <v>0.892157740479881</v>
      </c>
    </row>
    <row r="1738" spans="1:5">
      <c r="A1738" s="4">
        <v>1735</v>
      </c>
      <c r="B1738" s="6">
        <f t="shared" si="27"/>
        <v>4.75342465753425</v>
      </c>
      <c r="C1738" s="8">
        <f>'1_Inputs'!$H$7</f>
        <v>0.0305712824819807</v>
      </c>
      <c r="D1738" s="6">
        <f>D1737*EXP(-'1_Inputs'!$H$7*(1/365))</f>
        <v>0.892083019208307</v>
      </c>
    </row>
    <row r="1739" spans="1:5">
      <c r="A1739" s="10">
        <v>1736</v>
      </c>
      <c r="B1739" s="12">
        <f t="shared" si="27"/>
        <v>4.75616438356164</v>
      </c>
      <c r="C1739" s="14">
        <f>'1_Inputs'!$H$7</f>
        <v>0.0305712824819807</v>
      </c>
      <c r="D1739" s="12">
        <f>D1738*EXP(-'1_Inputs'!$H$7*(1/365))</f>
        <v>0.892008304194897</v>
      </c>
    </row>
    <row r="1740" spans="1:5">
      <c r="A1740" s="4">
        <v>1737</v>
      </c>
      <c r="B1740" s="6">
        <f t="shared" si="27"/>
        <v>4.75890410958904</v>
      </c>
      <c r="C1740" s="8">
        <f>'1_Inputs'!$H$7</f>
        <v>0.0305712824819807</v>
      </c>
      <c r="D1740" s="6">
        <f>D1739*EXP(-'1_Inputs'!$H$7*(1/365))</f>
        <v>0.891933595439125</v>
      </c>
    </row>
    <row r="1741" spans="1:5">
      <c r="A1741" s="10">
        <v>1738</v>
      </c>
      <c r="B1741" s="12">
        <f t="shared" si="27"/>
        <v>4.76164383561644</v>
      </c>
      <c r="C1741" s="14">
        <f>'1_Inputs'!$H$7</f>
        <v>0.0305712824819807</v>
      </c>
      <c r="D1741" s="12">
        <f>D1740*EXP(-'1_Inputs'!$H$7*(1/365))</f>
        <v>0.891858892940468</v>
      </c>
    </row>
    <row r="1742" spans="1:5">
      <c r="A1742" s="4">
        <v>1739</v>
      </c>
      <c r="B1742" s="6">
        <f t="shared" si="27"/>
        <v>4.76438356164384</v>
      </c>
      <c r="C1742" s="8">
        <f>'1_Inputs'!$H$7</f>
        <v>0.0305712824819807</v>
      </c>
      <c r="D1742" s="6">
        <f>D1741*EXP(-'1_Inputs'!$H$7*(1/365))</f>
        <v>0.891784196698402</v>
      </c>
    </row>
    <row r="1743" spans="1:5">
      <c r="A1743" s="10">
        <v>1740</v>
      </c>
      <c r="B1743" s="12">
        <f t="shared" si="27"/>
        <v>4.76712328767123</v>
      </c>
      <c r="C1743" s="14">
        <f>'1_Inputs'!$H$7</f>
        <v>0.0305712824819807</v>
      </c>
      <c r="D1743" s="12">
        <f>D1742*EXP(-'1_Inputs'!$H$7*(1/365))</f>
        <v>0.891709506712402</v>
      </c>
    </row>
    <row r="1744" spans="1:5">
      <c r="A1744" s="4">
        <v>1741</v>
      </c>
      <c r="B1744" s="6">
        <f t="shared" si="27"/>
        <v>4.76986301369863</v>
      </c>
      <c r="C1744" s="8">
        <f>'1_Inputs'!$H$7</f>
        <v>0.0305712824819807</v>
      </c>
      <c r="D1744" s="6">
        <f>D1743*EXP(-'1_Inputs'!$H$7*(1/365))</f>
        <v>0.891634822981945</v>
      </c>
    </row>
    <row r="1745" spans="1:4">
      <c r="A1745" s="10">
        <v>1742</v>
      </c>
      <c r="B1745" s="12">
        <f t="shared" si="27"/>
        <v>4.77260273972603</v>
      </c>
      <c r="C1745" s="14">
        <f>'1_Inputs'!$H$7</f>
        <v>0.0305712824819807</v>
      </c>
      <c r="D1745" s="12">
        <f>D1744*EXP(-'1_Inputs'!$H$7*(1/365))</f>
        <v>0.891560145506506</v>
      </c>
    </row>
    <row r="1746" spans="1:4">
      <c r="A1746" s="4">
        <v>1743</v>
      </c>
      <c r="B1746" s="6">
        <f t="shared" si="27"/>
        <v>4.77534246575342</v>
      </c>
      <c r="C1746" s="8">
        <f>'1_Inputs'!$H$7</f>
        <v>0.0305712824819807</v>
      </c>
      <c r="D1746" s="6">
        <f>D1745*EXP(-'1_Inputs'!$H$7*(1/365))</f>
        <v>0.891485474285562</v>
      </c>
    </row>
    <row r="1747" spans="1:4">
      <c r="A1747" s="10">
        <v>1744</v>
      </c>
      <c r="B1747" s="12">
        <f t="shared" si="27"/>
        <v>4.77808219178082</v>
      </c>
      <c r="C1747" s="14">
        <f>'1_Inputs'!$H$7</f>
        <v>0.0305712824819807</v>
      </c>
      <c r="D1747" s="12">
        <f>D1746*EXP(-'1_Inputs'!$H$7*(1/365))</f>
        <v>0.891410809318589</v>
      </c>
    </row>
    <row r="1748" spans="1:4">
      <c r="A1748" s="4">
        <v>1745</v>
      </c>
      <c r="B1748" s="6">
        <f t="shared" si="27"/>
        <v>4.78082191780822</v>
      </c>
      <c r="C1748" s="8">
        <f>'1_Inputs'!$H$7</f>
        <v>0.0305712824819807</v>
      </c>
      <c r="D1748" s="6">
        <f>D1747*EXP(-'1_Inputs'!$H$7*(1/365))</f>
        <v>0.891336150605063</v>
      </c>
    </row>
    <row r="1749" spans="1:4">
      <c r="A1749" s="10">
        <v>1746</v>
      </c>
      <c r="B1749" s="12">
        <f t="shared" si="27"/>
        <v>4.78356164383562</v>
      </c>
      <c r="C1749" s="14">
        <f>'1_Inputs'!$H$7</f>
        <v>0.0305712824819807</v>
      </c>
      <c r="D1749" s="12">
        <f>D1748*EXP(-'1_Inputs'!$H$7*(1/365))</f>
        <v>0.891261498144461</v>
      </c>
    </row>
    <row r="1750" spans="1:4">
      <c r="A1750" s="4">
        <v>1747</v>
      </c>
      <c r="B1750" s="6">
        <f t="shared" si="27"/>
        <v>4.78630136986301</v>
      </c>
      <c r="C1750" s="8">
        <f>'1_Inputs'!$H$7</f>
        <v>0.0305712824819807</v>
      </c>
      <c r="D1750" s="6">
        <f>D1749*EXP(-'1_Inputs'!$H$7*(1/365))</f>
        <v>0.891186851936258</v>
      </c>
    </row>
    <row r="1751" spans="1:4">
      <c r="A1751" s="10">
        <v>1748</v>
      </c>
      <c r="B1751" s="12">
        <f t="shared" si="27"/>
        <v>4.78904109589041</v>
      </c>
      <c r="C1751" s="14">
        <f>'1_Inputs'!$H$7</f>
        <v>0.0305712824819807</v>
      </c>
      <c r="D1751" s="12">
        <f>D1750*EXP(-'1_Inputs'!$H$7*(1/365))</f>
        <v>0.891112211979931</v>
      </c>
    </row>
    <row r="1752" spans="1:4">
      <c r="A1752" s="4">
        <v>1749</v>
      </c>
      <c r="B1752" s="6">
        <f t="shared" si="27"/>
        <v>4.79178082191781</v>
      </c>
      <c r="C1752" s="8">
        <f>'1_Inputs'!$H$7</f>
        <v>0.0305712824819807</v>
      </c>
      <c r="D1752" s="6">
        <f>D1751*EXP(-'1_Inputs'!$H$7*(1/365))</f>
        <v>0.891037578274957</v>
      </c>
    </row>
    <row r="1753" spans="1:4">
      <c r="A1753" s="10">
        <v>1750</v>
      </c>
      <c r="B1753" s="12">
        <f t="shared" si="27"/>
        <v>4.79452054794521</v>
      </c>
      <c r="C1753" s="14">
        <f>'1_Inputs'!$H$7</f>
        <v>0.0305712824819807</v>
      </c>
      <c r="D1753" s="12">
        <f>D1752*EXP(-'1_Inputs'!$H$7*(1/365))</f>
        <v>0.890962950820812</v>
      </c>
    </row>
    <row r="1754" spans="1:4">
      <c r="A1754" s="4">
        <v>1751</v>
      </c>
      <c r="B1754" s="6">
        <f t="shared" si="27"/>
        <v>4.7972602739726</v>
      </c>
      <c r="C1754" s="8">
        <f>'1_Inputs'!$H$7</f>
        <v>0.0305712824819807</v>
      </c>
      <c r="D1754" s="6">
        <f>D1753*EXP(-'1_Inputs'!$H$7*(1/365))</f>
        <v>0.890888329616971</v>
      </c>
    </row>
    <row r="1755" spans="1:4">
      <c r="A1755" s="10">
        <v>1752</v>
      </c>
      <c r="B1755" s="12">
        <f t="shared" si="27"/>
        <v>4.8</v>
      </c>
      <c r="C1755" s="14">
        <f>'1_Inputs'!$H$7</f>
        <v>0.0305712824819807</v>
      </c>
      <c r="D1755" s="12">
        <f>D1754*EXP(-'1_Inputs'!$H$7*(1/365))</f>
        <v>0.890813714662913</v>
      </c>
    </row>
    <row r="1756" spans="1:4">
      <c r="A1756" s="4">
        <v>1753</v>
      </c>
      <c r="B1756" s="6">
        <f t="shared" si="27"/>
        <v>4.8027397260274</v>
      </c>
      <c r="C1756" s="8">
        <f>'1_Inputs'!$H$7</f>
        <v>0.0305712824819807</v>
      </c>
      <c r="D1756" s="6">
        <f>D1755*EXP(-'1_Inputs'!$H$7*(1/365))</f>
        <v>0.890739105958113</v>
      </c>
    </row>
    <row r="1757" spans="1:4">
      <c r="A1757" s="10">
        <v>1754</v>
      </c>
      <c r="B1757" s="12">
        <f t="shared" si="27"/>
        <v>4.80547945205479</v>
      </c>
      <c r="C1757" s="14">
        <f>'1_Inputs'!$H$7</f>
        <v>0.0305712824819807</v>
      </c>
      <c r="D1757" s="12">
        <f>D1756*EXP(-'1_Inputs'!$H$7*(1/365))</f>
        <v>0.890664503502048</v>
      </c>
    </row>
    <row r="1758" spans="1:4">
      <c r="A1758" s="4">
        <v>1755</v>
      </c>
      <c r="B1758" s="6">
        <f t="shared" si="27"/>
        <v>4.80821917808219</v>
      </c>
      <c r="C1758" s="8">
        <f>'1_Inputs'!$H$7</f>
        <v>0.0305712824819807</v>
      </c>
      <c r="D1758" s="6">
        <f>D1757*EXP(-'1_Inputs'!$H$7*(1/365))</f>
        <v>0.890589907294195</v>
      </c>
    </row>
    <row r="1759" spans="1:4">
      <c r="A1759" s="10">
        <v>1756</v>
      </c>
      <c r="B1759" s="12">
        <f t="shared" si="27"/>
        <v>4.81095890410959</v>
      </c>
      <c r="C1759" s="14">
        <f>'1_Inputs'!$H$7</f>
        <v>0.0305712824819807</v>
      </c>
      <c r="D1759" s="12">
        <f>D1758*EXP(-'1_Inputs'!$H$7*(1/365))</f>
        <v>0.89051531733403</v>
      </c>
    </row>
    <row r="1760" spans="1:4">
      <c r="A1760" s="4">
        <v>1757</v>
      </c>
      <c r="B1760" s="6">
        <f t="shared" si="27"/>
        <v>4.81369863013699</v>
      </c>
      <c r="C1760" s="8">
        <f>'1_Inputs'!$H$7</f>
        <v>0.0305712824819807</v>
      </c>
      <c r="D1760" s="6">
        <f>D1759*EXP(-'1_Inputs'!$H$7*(1/365))</f>
        <v>0.89044073362103</v>
      </c>
    </row>
    <row r="1761" spans="1:4">
      <c r="A1761" s="10">
        <v>1758</v>
      </c>
      <c r="B1761" s="12">
        <f t="shared" si="27"/>
        <v>4.81643835616438</v>
      </c>
      <c r="C1761" s="14">
        <f>'1_Inputs'!$H$7</f>
        <v>0.0305712824819807</v>
      </c>
      <c r="D1761" s="12">
        <f>D1760*EXP(-'1_Inputs'!$H$7*(1/365))</f>
        <v>0.890366156154672</v>
      </c>
    </row>
    <row r="1762" spans="1:4">
      <c r="A1762" s="4">
        <v>1759</v>
      </c>
      <c r="B1762" s="6">
        <f t="shared" si="27"/>
        <v>4.81917808219178</v>
      </c>
      <c r="C1762" s="8">
        <f>'1_Inputs'!$H$7</f>
        <v>0.0305712824819807</v>
      </c>
      <c r="D1762" s="6">
        <f>D1761*EXP(-'1_Inputs'!$H$7*(1/365))</f>
        <v>0.890291584934433</v>
      </c>
    </row>
    <row r="1763" spans="1:4">
      <c r="A1763" s="10">
        <v>1760</v>
      </c>
      <c r="B1763" s="12">
        <f t="shared" si="27"/>
        <v>4.82191780821918</v>
      </c>
      <c r="C1763" s="14">
        <f>'1_Inputs'!$H$7</f>
        <v>0.0305712824819807</v>
      </c>
      <c r="D1763" s="12">
        <f>D1762*EXP(-'1_Inputs'!$H$7*(1/365))</f>
        <v>0.890217019959789</v>
      </c>
    </row>
    <row r="1764" spans="1:4">
      <c r="A1764" s="4">
        <v>1761</v>
      </c>
      <c r="B1764" s="6">
        <f t="shared" si="27"/>
        <v>4.82465753424658</v>
      </c>
      <c r="C1764" s="8">
        <f>'1_Inputs'!$H$7</f>
        <v>0.0305712824819807</v>
      </c>
      <c r="D1764" s="6">
        <f>D1763*EXP(-'1_Inputs'!$H$7*(1/365))</f>
        <v>0.890142461230217</v>
      </c>
    </row>
    <row r="1765" spans="1:4">
      <c r="A1765" s="10">
        <v>1762</v>
      </c>
      <c r="B1765" s="12">
        <f t="shared" si="27"/>
        <v>4.82739726027397</v>
      </c>
      <c r="C1765" s="14">
        <f>'1_Inputs'!$H$7</f>
        <v>0.0305712824819807</v>
      </c>
      <c r="D1765" s="12">
        <f>D1764*EXP(-'1_Inputs'!$H$7*(1/365))</f>
        <v>0.890067908745195</v>
      </c>
    </row>
    <row r="1766" spans="1:4">
      <c r="A1766" s="4">
        <v>1763</v>
      </c>
      <c r="B1766" s="6">
        <f t="shared" si="27"/>
        <v>4.83013698630137</v>
      </c>
      <c r="C1766" s="8">
        <f>'1_Inputs'!$H$7</f>
        <v>0.0305712824819807</v>
      </c>
      <c r="D1766" s="6">
        <f>D1765*EXP(-'1_Inputs'!$H$7*(1/365))</f>
        <v>0.8899933625042</v>
      </c>
    </row>
    <row r="1767" spans="1:4">
      <c r="A1767" s="10">
        <v>1764</v>
      </c>
      <c r="B1767" s="12">
        <f t="shared" si="27"/>
        <v>4.83287671232877</v>
      </c>
      <c r="C1767" s="14">
        <f>'1_Inputs'!$H$7</f>
        <v>0.0305712824819807</v>
      </c>
      <c r="D1767" s="12">
        <f>D1766*EXP(-'1_Inputs'!$H$7*(1/365))</f>
        <v>0.889918822506708</v>
      </c>
    </row>
    <row r="1768" spans="1:4">
      <c r="A1768" s="4">
        <v>1765</v>
      </c>
      <c r="B1768" s="6">
        <f t="shared" si="27"/>
        <v>4.83561643835616</v>
      </c>
      <c r="C1768" s="8">
        <f>'1_Inputs'!$H$7</f>
        <v>0.0305712824819807</v>
      </c>
      <c r="D1768" s="6">
        <f>D1767*EXP(-'1_Inputs'!$H$7*(1/365))</f>
        <v>0.889844288752196</v>
      </c>
    </row>
    <row r="1769" spans="1:4">
      <c r="A1769" s="10">
        <v>1766</v>
      </c>
      <c r="B1769" s="12">
        <f t="shared" si="27"/>
        <v>4.83835616438356</v>
      </c>
      <c r="C1769" s="14">
        <f>'1_Inputs'!$H$7</f>
        <v>0.0305712824819807</v>
      </c>
      <c r="D1769" s="12">
        <f>D1768*EXP(-'1_Inputs'!$H$7*(1/365))</f>
        <v>0.889769761240142</v>
      </c>
    </row>
    <row r="1770" spans="1:4">
      <c r="A1770" s="4">
        <v>1767</v>
      </c>
      <c r="B1770" s="6">
        <f t="shared" si="27"/>
        <v>4.84109589041096</v>
      </c>
      <c r="C1770" s="8">
        <f>'1_Inputs'!$H$7</f>
        <v>0.0305712824819807</v>
      </c>
      <c r="D1770" s="6">
        <f>D1769*EXP(-'1_Inputs'!$H$7*(1/365))</f>
        <v>0.889695239970023</v>
      </c>
    </row>
    <row r="1771" spans="1:4">
      <c r="A1771" s="10">
        <v>1768</v>
      </c>
      <c r="B1771" s="12">
        <f t="shared" si="27"/>
        <v>4.84383561643836</v>
      </c>
      <c r="C1771" s="14">
        <f>'1_Inputs'!$H$7</f>
        <v>0.0305712824819807</v>
      </c>
      <c r="D1771" s="12">
        <f>D1770*EXP(-'1_Inputs'!$H$7*(1/365))</f>
        <v>0.889620724941316</v>
      </c>
    </row>
    <row r="1772" spans="1:4">
      <c r="A1772" s="4">
        <v>1769</v>
      </c>
      <c r="B1772" s="6">
        <f t="shared" si="27"/>
        <v>4.84657534246575</v>
      </c>
      <c r="C1772" s="8">
        <f>'1_Inputs'!$H$7</f>
        <v>0.0305712824819807</v>
      </c>
      <c r="D1772" s="6">
        <f>D1771*EXP(-'1_Inputs'!$H$7*(1/365))</f>
        <v>0.889546216153498</v>
      </c>
    </row>
    <row r="1773" spans="1:4">
      <c r="A1773" s="10">
        <v>1770</v>
      </c>
      <c r="B1773" s="12">
        <f t="shared" si="27"/>
        <v>4.84931506849315</v>
      </c>
      <c r="C1773" s="14">
        <f>'1_Inputs'!$H$7</f>
        <v>0.0305712824819807</v>
      </c>
      <c r="D1773" s="12">
        <f>D1772*EXP(-'1_Inputs'!$H$7*(1/365))</f>
        <v>0.889471713606047</v>
      </c>
    </row>
    <row r="1774" spans="1:4">
      <c r="A1774" s="4">
        <v>1771</v>
      </c>
      <c r="B1774" s="6">
        <f t="shared" si="27"/>
        <v>4.85205479452055</v>
      </c>
      <c r="C1774" s="8">
        <f>'1_Inputs'!$H$7</f>
        <v>0.0305712824819807</v>
      </c>
      <c r="D1774" s="6">
        <f>D1773*EXP(-'1_Inputs'!$H$7*(1/365))</f>
        <v>0.88939721729844</v>
      </c>
    </row>
    <row r="1775" spans="1:4">
      <c r="A1775" s="10">
        <v>1772</v>
      </c>
      <c r="B1775" s="12">
        <f t="shared" si="27"/>
        <v>4.85479452054795</v>
      </c>
      <c r="C1775" s="14">
        <f>'1_Inputs'!$H$7</f>
        <v>0.0305712824819807</v>
      </c>
      <c r="D1775" s="12">
        <f>D1774*EXP(-'1_Inputs'!$H$7*(1/365))</f>
        <v>0.889322727230154</v>
      </c>
    </row>
    <row r="1776" spans="1:4">
      <c r="A1776" s="4">
        <v>1773</v>
      </c>
      <c r="B1776" s="6">
        <f t="shared" si="27"/>
        <v>4.85753424657534</v>
      </c>
      <c r="C1776" s="8">
        <f>'1_Inputs'!$H$7</f>
        <v>0.0305712824819807</v>
      </c>
      <c r="D1776" s="6">
        <f>D1775*EXP(-'1_Inputs'!$H$7*(1/365))</f>
        <v>0.889248243400666</v>
      </c>
    </row>
    <row r="1777" spans="1:4">
      <c r="A1777" s="10">
        <v>1774</v>
      </c>
      <c r="B1777" s="12">
        <f t="shared" si="27"/>
        <v>4.86027397260274</v>
      </c>
      <c r="C1777" s="14">
        <f>'1_Inputs'!$H$7</f>
        <v>0.0305712824819807</v>
      </c>
      <c r="D1777" s="12">
        <f>D1776*EXP(-'1_Inputs'!$H$7*(1/365))</f>
        <v>0.889173765809456</v>
      </c>
    </row>
    <row r="1778" spans="1:4">
      <c r="A1778" s="4">
        <v>1775</v>
      </c>
      <c r="B1778" s="6">
        <f t="shared" si="27"/>
        <v>4.86301369863014</v>
      </c>
      <c r="C1778" s="8">
        <f>'1_Inputs'!$H$7</f>
        <v>0.0305712824819807</v>
      </c>
      <c r="D1778" s="6">
        <f>D1777*EXP(-'1_Inputs'!$H$7*(1/365))</f>
        <v>0.889099294455998</v>
      </c>
    </row>
    <row r="1779" spans="1:4">
      <c r="A1779" s="10">
        <v>1776</v>
      </c>
      <c r="B1779" s="12">
        <f t="shared" si="27"/>
        <v>4.86575342465753</v>
      </c>
      <c r="C1779" s="14">
        <f>'1_Inputs'!$H$7</f>
        <v>0.0305712824819807</v>
      </c>
      <c r="D1779" s="12">
        <f>D1778*EXP(-'1_Inputs'!$H$7*(1/365))</f>
        <v>0.889024829339773</v>
      </c>
    </row>
    <row r="1780" spans="1:4">
      <c r="A1780" s="4">
        <v>1777</v>
      </c>
      <c r="B1780" s="6">
        <f t="shared" si="27"/>
        <v>4.86849315068493</v>
      </c>
      <c r="C1780" s="8">
        <f>'1_Inputs'!$H$7</f>
        <v>0.0305712824819807</v>
      </c>
      <c r="D1780" s="6">
        <f>D1779*EXP(-'1_Inputs'!$H$7*(1/365))</f>
        <v>0.888950370460256</v>
      </c>
    </row>
    <row r="1781" spans="1:4">
      <c r="A1781" s="10">
        <v>1778</v>
      </c>
      <c r="B1781" s="12">
        <f t="shared" si="27"/>
        <v>4.87123287671233</v>
      </c>
      <c r="C1781" s="14">
        <f>'1_Inputs'!$H$7</f>
        <v>0.0305712824819807</v>
      </c>
      <c r="D1781" s="12">
        <f>D1780*EXP(-'1_Inputs'!$H$7*(1/365))</f>
        <v>0.888875917816926</v>
      </c>
    </row>
    <row r="1782" spans="1:4">
      <c r="A1782" s="4">
        <v>1779</v>
      </c>
      <c r="B1782" s="6">
        <f t="shared" si="27"/>
        <v>4.87397260273973</v>
      </c>
      <c r="C1782" s="8">
        <f>'1_Inputs'!$H$7</f>
        <v>0.0305712824819807</v>
      </c>
      <c r="D1782" s="6">
        <f>D1781*EXP(-'1_Inputs'!$H$7*(1/365))</f>
        <v>0.88880147140926</v>
      </c>
    </row>
    <row r="1783" spans="1:4">
      <c r="A1783" s="10">
        <v>1780</v>
      </c>
      <c r="B1783" s="12">
        <f t="shared" si="27"/>
        <v>4.87671232876712</v>
      </c>
      <c r="C1783" s="14">
        <f>'1_Inputs'!$H$7</f>
        <v>0.0305712824819807</v>
      </c>
      <c r="D1783" s="12">
        <f>D1782*EXP(-'1_Inputs'!$H$7*(1/365))</f>
        <v>0.888727031236736</v>
      </c>
    </row>
    <row r="1784" spans="1:4">
      <c r="A1784" s="4">
        <v>1781</v>
      </c>
      <c r="B1784" s="6">
        <f t="shared" si="27"/>
        <v>4.87945205479452</v>
      </c>
      <c r="C1784" s="8">
        <f>'1_Inputs'!$H$7</f>
        <v>0.0305712824819807</v>
      </c>
      <c r="D1784" s="6">
        <f>D1783*EXP(-'1_Inputs'!$H$7*(1/365))</f>
        <v>0.888652597298832</v>
      </c>
    </row>
    <row r="1785" spans="1:4">
      <c r="A1785" s="10">
        <v>1782</v>
      </c>
      <c r="B1785" s="12">
        <f t="shared" si="27"/>
        <v>4.88219178082192</v>
      </c>
      <c r="C1785" s="14">
        <f>'1_Inputs'!$H$7</f>
        <v>0.0305712824819807</v>
      </c>
      <c r="D1785" s="12">
        <f>D1784*EXP(-'1_Inputs'!$H$7*(1/365))</f>
        <v>0.888578169595026</v>
      </c>
    </row>
    <row r="1786" spans="1:4">
      <c r="A1786" s="4">
        <v>1783</v>
      </c>
      <c r="B1786" s="6">
        <f t="shared" si="27"/>
        <v>4.88493150684932</v>
      </c>
      <c r="C1786" s="8">
        <f>'1_Inputs'!$H$7</f>
        <v>0.0305712824819807</v>
      </c>
      <c r="D1786" s="6">
        <f>D1785*EXP(-'1_Inputs'!$H$7*(1/365))</f>
        <v>0.888503748124795</v>
      </c>
    </row>
    <row r="1787" spans="1:4">
      <c r="A1787" s="10">
        <v>1784</v>
      </c>
      <c r="B1787" s="12">
        <f t="shared" si="27"/>
        <v>4.88767123287671</v>
      </c>
      <c r="C1787" s="14">
        <f>'1_Inputs'!$H$7</f>
        <v>0.0305712824819807</v>
      </c>
      <c r="D1787" s="12">
        <f>D1786*EXP(-'1_Inputs'!$H$7*(1/365))</f>
        <v>0.888429332887618</v>
      </c>
    </row>
    <row r="1788" spans="1:4">
      <c r="A1788" s="4">
        <v>1785</v>
      </c>
      <c r="B1788" s="6">
        <f t="shared" si="27"/>
        <v>4.89041095890411</v>
      </c>
      <c r="C1788" s="8">
        <f>'1_Inputs'!$H$7</f>
        <v>0.0305712824819807</v>
      </c>
      <c r="D1788" s="6">
        <f>D1787*EXP(-'1_Inputs'!$H$7*(1/365))</f>
        <v>0.888354923882972</v>
      </c>
    </row>
    <row r="1789" spans="1:4">
      <c r="A1789" s="10">
        <v>1786</v>
      </c>
      <c r="B1789" s="12">
        <f t="shared" si="27"/>
        <v>4.89315068493151</v>
      </c>
      <c r="C1789" s="14">
        <f>'1_Inputs'!$H$7</f>
        <v>0.0305712824819807</v>
      </c>
      <c r="D1789" s="12">
        <f>D1788*EXP(-'1_Inputs'!$H$7*(1/365))</f>
        <v>0.888280521110335</v>
      </c>
    </row>
    <row r="1790" spans="1:4">
      <c r="A1790" s="4">
        <v>1787</v>
      </c>
      <c r="B1790" s="6">
        <f t="shared" si="27"/>
        <v>4.8958904109589</v>
      </c>
      <c r="C1790" s="8">
        <f>'1_Inputs'!$H$7</f>
        <v>0.0305712824819807</v>
      </c>
      <c r="D1790" s="6">
        <f>D1789*EXP(-'1_Inputs'!$H$7*(1/365))</f>
        <v>0.888206124569186</v>
      </c>
    </row>
    <row r="1791" spans="1:4">
      <c r="A1791" s="10">
        <v>1788</v>
      </c>
      <c r="B1791" s="12">
        <f t="shared" si="27"/>
        <v>4.8986301369863</v>
      </c>
      <c r="C1791" s="14">
        <f>'1_Inputs'!$H$7</f>
        <v>0.0305712824819807</v>
      </c>
      <c r="D1791" s="12">
        <f>D1790*EXP(-'1_Inputs'!$H$7*(1/365))</f>
        <v>0.888131734259003</v>
      </c>
    </row>
    <row r="1792" spans="1:4">
      <c r="A1792" s="4">
        <v>1789</v>
      </c>
      <c r="B1792" s="6">
        <f t="shared" si="27"/>
        <v>4.9013698630137</v>
      </c>
      <c r="C1792" s="8">
        <f>'1_Inputs'!$H$7</f>
        <v>0.0305712824819807</v>
      </c>
      <c r="D1792" s="6">
        <f>D1791*EXP(-'1_Inputs'!$H$7*(1/365))</f>
        <v>0.888057350179263</v>
      </c>
    </row>
    <row r="1793" spans="1:4">
      <c r="A1793" s="10">
        <v>1790</v>
      </c>
      <c r="B1793" s="12">
        <f t="shared" si="27"/>
        <v>4.9041095890411</v>
      </c>
      <c r="C1793" s="14">
        <f>'1_Inputs'!$H$7</f>
        <v>0.0305712824819807</v>
      </c>
      <c r="D1793" s="12">
        <f>D1792*EXP(-'1_Inputs'!$H$7*(1/365))</f>
        <v>0.887982972329445</v>
      </c>
    </row>
    <row r="1794" spans="1:4">
      <c r="A1794" s="4">
        <v>1791</v>
      </c>
      <c r="B1794" s="6">
        <f t="shared" si="27"/>
        <v>4.90684931506849</v>
      </c>
      <c r="C1794" s="8">
        <f>'1_Inputs'!$H$7</f>
        <v>0.0305712824819807</v>
      </c>
      <c r="D1794" s="6">
        <f>D1793*EXP(-'1_Inputs'!$H$7*(1/365))</f>
        <v>0.887908600709027</v>
      </c>
    </row>
    <row r="1795" spans="1:4">
      <c r="A1795" s="10">
        <v>1792</v>
      </c>
      <c r="B1795" s="12">
        <f t="shared" ref="B1795:B1828" si="28">A1795/365</f>
        <v>4.90958904109589</v>
      </c>
      <c r="C1795" s="14">
        <f>'1_Inputs'!$H$7</f>
        <v>0.0305712824819807</v>
      </c>
      <c r="D1795" s="12">
        <f>D1794*EXP(-'1_Inputs'!$H$7*(1/365))</f>
        <v>0.887834235317488</v>
      </c>
    </row>
    <row r="1796" spans="1:4">
      <c r="A1796" s="4">
        <v>1793</v>
      </c>
      <c r="B1796" s="6">
        <f t="shared" si="28"/>
        <v>4.91232876712329</v>
      </c>
      <c r="C1796" s="8">
        <f>'1_Inputs'!$H$7</f>
        <v>0.0305712824819807</v>
      </c>
      <c r="D1796" s="6">
        <f>D1795*EXP(-'1_Inputs'!$H$7*(1/365))</f>
        <v>0.887759876154305</v>
      </c>
    </row>
    <row r="1797" spans="1:4">
      <c r="A1797" s="10">
        <v>1794</v>
      </c>
      <c r="B1797" s="12">
        <f t="shared" si="28"/>
        <v>4.91506849315068</v>
      </c>
      <c r="C1797" s="14">
        <f>'1_Inputs'!$H$7</f>
        <v>0.0305712824819807</v>
      </c>
      <c r="D1797" s="12">
        <f>D1796*EXP(-'1_Inputs'!$H$7*(1/365))</f>
        <v>0.887685523218957</v>
      </c>
    </row>
    <row r="1798" spans="1:4">
      <c r="A1798" s="4">
        <v>1795</v>
      </c>
      <c r="B1798" s="6">
        <f t="shared" si="28"/>
        <v>4.91780821917808</v>
      </c>
      <c r="C1798" s="8">
        <f>'1_Inputs'!$H$7</f>
        <v>0.0305712824819807</v>
      </c>
      <c r="D1798" s="6">
        <f>D1797*EXP(-'1_Inputs'!$H$7*(1/365))</f>
        <v>0.887611176510923</v>
      </c>
    </row>
    <row r="1799" spans="1:4">
      <c r="A1799" s="10">
        <v>1796</v>
      </c>
      <c r="B1799" s="12">
        <f t="shared" si="28"/>
        <v>4.92054794520548</v>
      </c>
      <c r="C1799" s="14">
        <f>'1_Inputs'!$H$7</f>
        <v>0.0305712824819807</v>
      </c>
      <c r="D1799" s="12">
        <f>D1798*EXP(-'1_Inputs'!$H$7*(1/365))</f>
        <v>0.887536836029681</v>
      </c>
    </row>
    <row r="1800" spans="1:4">
      <c r="A1800" s="4">
        <v>1797</v>
      </c>
      <c r="B1800" s="6">
        <f t="shared" si="28"/>
        <v>4.92328767123288</v>
      </c>
      <c r="C1800" s="8">
        <f>'1_Inputs'!$H$7</f>
        <v>0.0305712824819807</v>
      </c>
      <c r="D1800" s="6">
        <f>D1799*EXP(-'1_Inputs'!$H$7*(1/365))</f>
        <v>0.887462501774709</v>
      </c>
    </row>
    <row r="1801" spans="1:4">
      <c r="A1801" s="10">
        <v>1798</v>
      </c>
      <c r="B1801" s="12">
        <f t="shared" si="28"/>
        <v>4.92602739726027</v>
      </c>
      <c r="C1801" s="14">
        <f>'1_Inputs'!$H$7</f>
        <v>0.0305712824819807</v>
      </c>
      <c r="D1801" s="12">
        <f>D1800*EXP(-'1_Inputs'!$H$7*(1/365))</f>
        <v>0.887388173745485</v>
      </c>
    </row>
    <row r="1802" spans="1:4">
      <c r="A1802" s="4">
        <v>1799</v>
      </c>
      <c r="B1802" s="6">
        <f t="shared" si="28"/>
        <v>4.92876712328767</v>
      </c>
      <c r="C1802" s="8">
        <f>'1_Inputs'!$H$7</f>
        <v>0.0305712824819807</v>
      </c>
      <c r="D1802" s="6">
        <f>D1801*EXP(-'1_Inputs'!$H$7*(1/365))</f>
        <v>0.88731385194149</v>
      </c>
    </row>
    <row r="1803" spans="1:4">
      <c r="A1803" s="10">
        <v>1800</v>
      </c>
      <c r="B1803" s="12">
        <f t="shared" si="28"/>
        <v>4.93150684931507</v>
      </c>
      <c r="C1803" s="14">
        <f>'1_Inputs'!$H$7</f>
        <v>0.0305712824819807</v>
      </c>
      <c r="D1803" s="12">
        <f>D1802*EXP(-'1_Inputs'!$H$7*(1/365))</f>
        <v>0.8872395363622</v>
      </c>
    </row>
    <row r="1804" spans="1:4">
      <c r="A1804" s="4">
        <v>1801</v>
      </c>
      <c r="B1804" s="6">
        <f t="shared" si="28"/>
        <v>4.93424657534247</v>
      </c>
      <c r="C1804" s="8">
        <f>'1_Inputs'!$H$7</f>
        <v>0.0305712824819807</v>
      </c>
      <c r="D1804" s="6">
        <f>D1803*EXP(-'1_Inputs'!$H$7*(1/365))</f>
        <v>0.887165227007095</v>
      </c>
    </row>
    <row r="1805" spans="1:4">
      <c r="A1805" s="10">
        <v>1802</v>
      </c>
      <c r="B1805" s="12">
        <f t="shared" si="28"/>
        <v>4.93698630136986</v>
      </c>
      <c r="C1805" s="14">
        <f>'1_Inputs'!$H$7</f>
        <v>0.0305712824819807</v>
      </c>
      <c r="D1805" s="12">
        <f>D1804*EXP(-'1_Inputs'!$H$7*(1/365))</f>
        <v>0.887090923875653</v>
      </c>
    </row>
    <row r="1806" spans="1:4">
      <c r="A1806" s="4">
        <v>1803</v>
      </c>
      <c r="B1806" s="6">
        <f t="shared" si="28"/>
        <v>4.93972602739726</v>
      </c>
      <c r="C1806" s="8">
        <f>'1_Inputs'!$H$7</f>
        <v>0.0305712824819807</v>
      </c>
      <c r="D1806" s="6">
        <f>D1805*EXP(-'1_Inputs'!$H$7*(1/365))</f>
        <v>0.887016626967354</v>
      </c>
    </row>
    <row r="1807" spans="1:4">
      <c r="A1807" s="10">
        <v>1804</v>
      </c>
      <c r="B1807" s="12">
        <f t="shared" si="28"/>
        <v>4.94246575342466</v>
      </c>
      <c r="C1807" s="14">
        <f>'1_Inputs'!$H$7</f>
        <v>0.0305712824819807</v>
      </c>
      <c r="D1807" s="12">
        <f>D1806*EXP(-'1_Inputs'!$H$7*(1/365))</f>
        <v>0.886942336281676</v>
      </c>
    </row>
    <row r="1808" spans="1:4">
      <c r="A1808" s="4">
        <v>1805</v>
      </c>
      <c r="B1808" s="6">
        <f t="shared" si="28"/>
        <v>4.94520547945205</v>
      </c>
      <c r="C1808" s="8">
        <f>'1_Inputs'!$H$7</f>
        <v>0.0305712824819807</v>
      </c>
      <c r="D1808" s="6">
        <f>D1807*EXP(-'1_Inputs'!$H$7*(1/365))</f>
        <v>0.886868051818097</v>
      </c>
    </row>
    <row r="1809" spans="1:4">
      <c r="A1809" s="10">
        <v>1806</v>
      </c>
      <c r="B1809" s="12">
        <f t="shared" si="28"/>
        <v>4.94794520547945</v>
      </c>
      <c r="C1809" s="14">
        <f>'1_Inputs'!$H$7</f>
        <v>0.0305712824819807</v>
      </c>
      <c r="D1809" s="12">
        <f>D1808*EXP(-'1_Inputs'!$H$7*(1/365))</f>
        <v>0.886793773576097</v>
      </c>
    </row>
    <row r="1810" spans="1:4">
      <c r="A1810" s="4">
        <v>1807</v>
      </c>
      <c r="B1810" s="6">
        <f t="shared" si="28"/>
        <v>4.95068493150685</v>
      </c>
      <c r="C1810" s="8">
        <f>'1_Inputs'!$H$7</f>
        <v>0.0305712824819807</v>
      </c>
      <c r="D1810" s="6">
        <f>D1809*EXP(-'1_Inputs'!$H$7*(1/365))</f>
        <v>0.886719501555155</v>
      </c>
    </row>
    <row r="1811" spans="1:4">
      <c r="A1811" s="10">
        <v>1808</v>
      </c>
      <c r="B1811" s="12">
        <f t="shared" si="28"/>
        <v>4.95342465753425</v>
      </c>
      <c r="C1811" s="14">
        <f>'1_Inputs'!$H$7</f>
        <v>0.0305712824819807</v>
      </c>
      <c r="D1811" s="12">
        <f>D1810*EXP(-'1_Inputs'!$H$7*(1/365))</f>
        <v>0.886645235754749</v>
      </c>
    </row>
    <row r="1812" spans="1:4">
      <c r="A1812" s="4">
        <v>1809</v>
      </c>
      <c r="B1812" s="6">
        <f t="shared" si="28"/>
        <v>4.95616438356164</v>
      </c>
      <c r="C1812" s="8">
        <f>'1_Inputs'!$H$7</f>
        <v>0.0305712824819807</v>
      </c>
      <c r="D1812" s="6">
        <f>D1811*EXP(-'1_Inputs'!$H$7*(1/365))</f>
        <v>0.886570976174359</v>
      </c>
    </row>
    <row r="1813" spans="1:4">
      <c r="A1813" s="10">
        <v>1810</v>
      </c>
      <c r="B1813" s="12">
        <f t="shared" si="28"/>
        <v>4.95890410958904</v>
      </c>
      <c r="C1813" s="14">
        <f>'1_Inputs'!$H$7</f>
        <v>0.0305712824819807</v>
      </c>
      <c r="D1813" s="12">
        <f>D1812*EXP(-'1_Inputs'!$H$7*(1/365))</f>
        <v>0.886496722813463</v>
      </c>
    </row>
    <row r="1814" spans="1:4">
      <c r="A1814" s="4">
        <v>1811</v>
      </c>
      <c r="B1814" s="6">
        <f t="shared" si="28"/>
        <v>4.96164383561644</v>
      </c>
      <c r="C1814" s="8">
        <f>'1_Inputs'!$H$7</f>
        <v>0.0305712824819807</v>
      </c>
      <c r="D1814" s="6">
        <f>D1813*EXP(-'1_Inputs'!$H$7*(1/365))</f>
        <v>0.886422475671541</v>
      </c>
    </row>
    <row r="1815" spans="1:4">
      <c r="A1815" s="10">
        <v>1812</v>
      </c>
      <c r="B1815" s="12">
        <f t="shared" si="28"/>
        <v>4.96438356164384</v>
      </c>
      <c r="C1815" s="14">
        <f>'1_Inputs'!$H$7</f>
        <v>0.0305712824819807</v>
      </c>
      <c r="D1815" s="12">
        <f>D1814*EXP(-'1_Inputs'!$H$7*(1/365))</f>
        <v>0.886348234748072</v>
      </c>
    </row>
    <row r="1816" spans="1:4">
      <c r="A1816" s="4">
        <v>1813</v>
      </c>
      <c r="B1816" s="6">
        <f t="shared" si="28"/>
        <v>4.96712328767123</v>
      </c>
      <c r="C1816" s="8">
        <f>'1_Inputs'!$H$7</f>
        <v>0.0305712824819807</v>
      </c>
      <c r="D1816" s="6">
        <f>D1815*EXP(-'1_Inputs'!$H$7*(1/365))</f>
        <v>0.886274000042536</v>
      </c>
    </row>
    <row r="1817" spans="1:4">
      <c r="A1817" s="10">
        <v>1814</v>
      </c>
      <c r="B1817" s="12">
        <f t="shared" si="28"/>
        <v>4.96986301369863</v>
      </c>
      <c r="C1817" s="14">
        <f>'1_Inputs'!$H$7</f>
        <v>0.0305712824819807</v>
      </c>
      <c r="D1817" s="12">
        <f>D1816*EXP(-'1_Inputs'!$H$7*(1/365))</f>
        <v>0.88619977155441</v>
      </c>
    </row>
    <row r="1818" spans="1:4">
      <c r="A1818" s="4">
        <v>1815</v>
      </c>
      <c r="B1818" s="6">
        <f t="shared" si="28"/>
        <v>4.97260273972603</v>
      </c>
      <c r="C1818" s="8">
        <f>'1_Inputs'!$H$7</f>
        <v>0.0305712824819807</v>
      </c>
      <c r="D1818" s="6">
        <f>D1817*EXP(-'1_Inputs'!$H$7*(1/365))</f>
        <v>0.886125549283175</v>
      </c>
    </row>
    <row r="1819" spans="1:4">
      <c r="A1819" s="10">
        <v>1816</v>
      </c>
      <c r="B1819" s="12">
        <f t="shared" si="28"/>
        <v>4.97534246575342</v>
      </c>
      <c r="C1819" s="14">
        <f>'1_Inputs'!$H$7</f>
        <v>0.0305712824819807</v>
      </c>
      <c r="D1819" s="12">
        <f>D1818*EXP(-'1_Inputs'!$H$7*(1/365))</f>
        <v>0.88605133322831</v>
      </c>
    </row>
    <row r="1820" spans="1:4">
      <c r="A1820" s="4">
        <v>1817</v>
      </c>
      <c r="B1820" s="6">
        <f t="shared" si="28"/>
        <v>4.97808219178082</v>
      </c>
      <c r="C1820" s="8">
        <f>'1_Inputs'!$H$7</f>
        <v>0.0305712824819807</v>
      </c>
      <c r="D1820" s="6">
        <f>D1819*EXP(-'1_Inputs'!$H$7*(1/365))</f>
        <v>0.885977123389293</v>
      </c>
    </row>
    <row r="1821" spans="1:4">
      <c r="A1821" s="10">
        <v>1818</v>
      </c>
      <c r="B1821" s="12">
        <f t="shared" si="28"/>
        <v>4.98082191780822</v>
      </c>
      <c r="C1821" s="14">
        <f>'1_Inputs'!$H$7</f>
        <v>0.0305712824819807</v>
      </c>
      <c r="D1821" s="12">
        <f>D1820*EXP(-'1_Inputs'!$H$7*(1/365))</f>
        <v>0.885902919765606</v>
      </c>
    </row>
    <row r="1822" spans="1:4">
      <c r="A1822" s="4">
        <v>1819</v>
      </c>
      <c r="B1822" s="6">
        <f t="shared" si="28"/>
        <v>4.98356164383562</v>
      </c>
      <c r="C1822" s="8">
        <f>'1_Inputs'!$H$7</f>
        <v>0.0305712824819807</v>
      </c>
      <c r="D1822" s="6">
        <f>D1821*EXP(-'1_Inputs'!$H$7*(1/365))</f>
        <v>0.885828722356727</v>
      </c>
    </row>
    <row r="1823" spans="1:4">
      <c r="A1823" s="10">
        <v>1820</v>
      </c>
      <c r="B1823" s="12">
        <f t="shared" si="28"/>
        <v>4.98630136986301</v>
      </c>
      <c r="C1823" s="14">
        <f>'1_Inputs'!$H$7</f>
        <v>0.0305712824819807</v>
      </c>
      <c r="D1823" s="12">
        <f>D1822*EXP(-'1_Inputs'!$H$7*(1/365))</f>
        <v>0.885754531162135</v>
      </c>
    </row>
    <row r="1824" spans="1:4">
      <c r="A1824" s="4">
        <v>1821</v>
      </c>
      <c r="B1824" s="6">
        <f t="shared" si="28"/>
        <v>4.98904109589041</v>
      </c>
      <c r="C1824" s="8">
        <f>'1_Inputs'!$H$7</f>
        <v>0.0305712824819807</v>
      </c>
      <c r="D1824" s="6">
        <f>D1823*EXP(-'1_Inputs'!$H$7*(1/365))</f>
        <v>0.88568034618131</v>
      </c>
    </row>
    <row r="1825" spans="1:5">
      <c r="A1825" s="10">
        <v>1822</v>
      </c>
      <c r="B1825" s="12">
        <f t="shared" si="28"/>
        <v>4.99178082191781</v>
      </c>
      <c r="C1825" s="14">
        <f>'1_Inputs'!$H$7</f>
        <v>0.0305712824819807</v>
      </c>
      <c r="D1825" s="12">
        <f>D1824*EXP(-'1_Inputs'!$H$7*(1/365))</f>
        <v>0.885606167413732</v>
      </c>
    </row>
    <row r="1826" spans="1:5">
      <c r="A1826" s="4">
        <v>1823</v>
      </c>
      <c r="B1826" s="6">
        <f t="shared" si="28"/>
        <v>4.99452054794521</v>
      </c>
      <c r="C1826" s="8">
        <f>'1_Inputs'!$H$7</f>
        <v>0.0305712824819807</v>
      </c>
      <c r="D1826" s="6">
        <f>D1825*EXP(-'1_Inputs'!$H$7*(1/365))</f>
        <v>0.88553199485888</v>
      </c>
    </row>
    <row r="1827" spans="1:5">
      <c r="A1827" s="10">
        <v>1824</v>
      </c>
      <c r="B1827" s="12">
        <f t="shared" si="28"/>
        <v>4.9972602739726</v>
      </c>
      <c r="C1827" s="14">
        <f>'1_Inputs'!$H$7</f>
        <v>0.0305712824819807</v>
      </c>
      <c r="D1827" s="12">
        <f>D1826*EXP(-'1_Inputs'!$H$7*(1/365))</f>
        <v>0.885457828516235</v>
      </c>
    </row>
    <row r="1828" spans="1:5">
      <c r="A1828" s="4">
        <v>1825</v>
      </c>
      <c r="B1828" s="6">
        <f t="shared" si="28"/>
        <v>5</v>
      </c>
      <c r="C1828" s="8">
        <f>'1_Inputs'!$H$7</f>
        <v>0.0305712824819807</v>
      </c>
      <c r="D1828" s="6">
        <f>D1827*EXP(-'1_Inputs'!$H$7*(1/365))</f>
        <v>0.885383668385274</v>
      </c>
      <c r="E1828" s="43" t="s">
        <v>59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7"/>
  <sheetViews>
    <sheetView zoomScale="140" zoomScaleNormal="140" workbookViewId="0">
      <pane ySplit="2" topLeftCell="A90" activePane="bottomLeft" state="frozen"/>
      <selection/>
      <selection pane="bottomLeft" activeCell="H91" sqref="H91"/>
    </sheetView>
  </sheetViews>
  <sheetFormatPr defaultColWidth="8.6796875" defaultRowHeight="16.8"/>
  <cols>
    <col min="1" max="1" width="8" customWidth="1"/>
    <col min="2" max="4" width="12" customWidth="1"/>
    <col min="5" max="8" width="14" customWidth="1"/>
    <col min="9" max="9" width="10" customWidth="1"/>
    <col min="10" max="10" width="9.109375" customWidth="1"/>
  </cols>
  <sheetData>
    <row r="1" ht="15" customHeight="1" spans="1:10">
      <c r="A1" s="28" t="s">
        <v>64</v>
      </c>
      <c r="B1" s="28"/>
      <c r="C1" s="28"/>
      <c r="D1" s="28"/>
      <c r="E1" s="28"/>
      <c r="F1" s="28"/>
      <c r="G1" s="28"/>
      <c r="H1" s="28"/>
      <c r="I1" s="28"/>
    </row>
    <row r="2" spans="1:10">
      <c r="A2" s="2" t="s">
        <v>30</v>
      </c>
      <c r="B2" s="2" t="s">
        <v>31</v>
      </c>
      <c r="C2" s="2" t="s">
        <v>65</v>
      </c>
      <c r="D2" s="2" t="s">
        <v>66</v>
      </c>
      <c r="E2" s="2" t="s">
        <v>57</v>
      </c>
      <c r="F2" s="2" t="s">
        <v>67</v>
      </c>
      <c r="G2" s="2" t="s">
        <v>68</v>
      </c>
      <c r="H2" s="2" t="s">
        <v>69</v>
      </c>
      <c r="I2" s="15" t="s">
        <v>70</v>
      </c>
    </row>
    <row r="3" spans="1:10">
      <c r="A3" s="4">
        <v>1</v>
      </c>
      <c r="B3" s="6">
        <f>'2_Discount_Factors'!B4</f>
        <v>0.00273972602739726</v>
      </c>
      <c r="C3" s="6">
        <f>EXP(-r_free*(('2_Discount_Factors'!B3+'2_Discount_Factors'!B4)/2))</f>
        <v>0.999958904954014</v>
      </c>
      <c r="D3" s="6">
        <f>'3_Survival_Probs'!D3</f>
        <v>1</v>
      </c>
      <c r="E3" s="6">
        <f>'3_Survival_Probs'!D4</f>
        <v>0.999968252001742</v>
      </c>
      <c r="F3" s="8">
        <f t="shared" ref="F3:F66" si="0">D3-E3</f>
        <v>3.17479982584468e-5</v>
      </c>
      <c r="G3" s="29">
        <f>(1-recovery)*notional*C3*F3</f>
        <v>190.48016143799</v>
      </c>
      <c r="H3" s="8">
        <f t="shared" ref="H3:H66" si="1">C3*(B3-0)*F3</f>
        <v>8.69772426657489e-8</v>
      </c>
      <c r="I3" s="30"/>
      <c r="J3" s="31"/>
    </row>
    <row r="4" spans="1:10">
      <c r="A4" s="10">
        <v>2</v>
      </c>
      <c r="B4" s="12">
        <f>'2_Discount_Factors'!B5</f>
        <v>0.00547945205479452</v>
      </c>
      <c r="C4" s="12">
        <f>EXP(-r_free*(('2_Discount_Factors'!B4+'2_Discount_Factors'!B5)/2))</f>
        <v>0.99987671992838</v>
      </c>
      <c r="D4" s="12">
        <f>'3_Survival_Probs'!D4</f>
        <v>0.999968252001742</v>
      </c>
      <c r="E4" s="12">
        <f>'3_Survival_Probs'!D5</f>
        <v>0.999936505011419</v>
      </c>
      <c r="F4" s="14">
        <f t="shared" si="0"/>
        <v>3.1746990323045e-5</v>
      </c>
      <c r="G4" s="32">
        <f>(1-recovery)*notional*C4*F4</f>
        <v>190.458459310825</v>
      </c>
      <c r="H4" s="14">
        <f t="shared" si="1"/>
        <v>1.73934666037283e-7</v>
      </c>
      <c r="I4" s="33"/>
      <c r="J4" s="31"/>
    </row>
    <row r="5" spans="1:10">
      <c r="A5" s="4">
        <v>3</v>
      </c>
      <c r="B5" s="6">
        <f>'2_Discount_Factors'!B6</f>
        <v>0.00821917808219178</v>
      </c>
      <c r="C5" s="6">
        <f>EXP(-r_free*(('2_Discount_Factors'!B5+'2_Discount_Factors'!B6)/2))</f>
        <v>0.999794541657402</v>
      </c>
      <c r="D5" s="6">
        <f>'3_Survival_Probs'!D5</f>
        <v>0.999936505011419</v>
      </c>
      <c r="E5" s="6">
        <f>'3_Survival_Probs'!D6</f>
        <v>0.999904759028999</v>
      </c>
      <c r="F5" s="8">
        <f t="shared" si="0"/>
        <v>3.17459824196176e-5</v>
      </c>
      <c r="G5" s="29">
        <f>(1-recovery)*notional*C5*F5</f>
        <v>190.436759656113</v>
      </c>
      <c r="H5" s="8">
        <f t="shared" si="1"/>
        <v>2.60872273501525e-7</v>
      </c>
      <c r="I5" s="30"/>
      <c r="J5" s="31"/>
    </row>
    <row r="6" spans="1:10">
      <c r="A6" s="10">
        <v>4</v>
      </c>
      <c r="B6" s="12">
        <f>'2_Discount_Factors'!B7</f>
        <v>0.010958904109589</v>
      </c>
      <c r="C6" s="12">
        <f>EXP(-r_free*(('2_Discount_Factors'!B6+'2_Discount_Factors'!B7)/2))</f>
        <v>0.999712370140525</v>
      </c>
      <c r="D6" s="12">
        <f>'3_Survival_Probs'!D6</f>
        <v>0.999904759028999</v>
      </c>
      <c r="E6" s="12">
        <f>'3_Survival_Probs'!D7</f>
        <v>0.999873014054451</v>
      </c>
      <c r="F6" s="14">
        <f t="shared" si="0"/>
        <v>3.17449745482756e-5</v>
      </c>
      <c r="G6" s="32">
        <f>(1-recovery)*notional*C6*F6</f>
        <v>190.415062474244</v>
      </c>
      <c r="H6" s="14">
        <f t="shared" si="1"/>
        <v>3.47790068446107e-7</v>
      </c>
      <c r="I6" s="33"/>
      <c r="J6" s="31"/>
    </row>
    <row r="7" spans="1:10">
      <c r="A7" s="4">
        <v>5</v>
      </c>
      <c r="B7" s="6">
        <f>'2_Discount_Factors'!B8</f>
        <v>0.0136986301369863</v>
      </c>
      <c r="C7" s="6">
        <f>EXP(-r_free*(('2_Discount_Factors'!B7+'2_Discount_Factors'!B8)/2))</f>
        <v>0.999630205377194</v>
      </c>
      <c r="D7" s="6">
        <f>'3_Survival_Probs'!D7</f>
        <v>0.999873014054451</v>
      </c>
      <c r="E7" s="6">
        <f>'3_Survival_Probs'!D8</f>
        <v>0.999841270087742</v>
      </c>
      <c r="F7" s="8">
        <f t="shared" si="0"/>
        <v>3.17439667089081e-5</v>
      </c>
      <c r="G7" s="29">
        <f>(1-recovery)*notional*C7*F7</f>
        <v>190.393367764276</v>
      </c>
      <c r="H7" s="8">
        <f t="shared" si="1"/>
        <v>4.34688054256337e-7</v>
      </c>
      <c r="I7" s="30"/>
      <c r="J7" s="31"/>
    </row>
    <row r="8" spans="1:10">
      <c r="A8" s="10">
        <v>6</v>
      </c>
      <c r="B8" s="12">
        <f>'2_Discount_Factors'!B9</f>
        <v>0.0164383561643836</v>
      </c>
      <c r="C8" s="12">
        <f>EXP(-r_free*(('2_Discount_Factors'!B8+'2_Discount_Factors'!B9)/2))</f>
        <v>0.999548047366853</v>
      </c>
      <c r="D8" s="12">
        <f>'3_Survival_Probs'!D8</f>
        <v>0.999841270087742</v>
      </c>
      <c r="E8" s="12">
        <f>'3_Survival_Probs'!D9</f>
        <v>0.99980952712884</v>
      </c>
      <c r="F8" s="14">
        <f t="shared" si="0"/>
        <v>3.1742958901515e-5</v>
      </c>
      <c r="G8" s="32">
        <f>(1-recovery)*notional*C8*F8</f>
        <v>190.371675525934</v>
      </c>
      <c r="H8" s="14">
        <f t="shared" si="1"/>
        <v>5.21566234317626e-7</v>
      </c>
      <c r="I8" s="33"/>
      <c r="J8" s="31"/>
    </row>
    <row r="9" spans="1:10">
      <c r="A9" s="4">
        <v>7</v>
      </c>
      <c r="B9" s="6">
        <f>'2_Discount_Factors'!B10</f>
        <v>0.0191780821917808</v>
      </c>
      <c r="C9" s="6">
        <f>EXP(-r_free*(('2_Discount_Factors'!B9+'2_Discount_Factors'!B10)/2))</f>
        <v>0.999465896108949</v>
      </c>
      <c r="D9" s="6">
        <f>'3_Survival_Probs'!D9</f>
        <v>0.99980952712884</v>
      </c>
      <c r="E9" s="6">
        <f>'3_Survival_Probs'!D10</f>
        <v>0.999777785177714</v>
      </c>
      <c r="F9" s="8">
        <f t="shared" si="0"/>
        <v>3.17419511260963e-5</v>
      </c>
      <c r="G9" s="29">
        <f>(1-recovery)*notional*C9*F9</f>
        <v>190.349985758942</v>
      </c>
      <c r="H9" s="8">
        <f t="shared" si="1"/>
        <v>6.08424612014883e-7</v>
      </c>
      <c r="I9" s="30"/>
      <c r="J9" s="31"/>
    </row>
    <row r="10" spans="1:10">
      <c r="A10" s="10">
        <v>8</v>
      </c>
      <c r="B10" s="12">
        <f>'2_Discount_Factors'!B11</f>
        <v>0.0219178082191781</v>
      </c>
      <c r="C10" s="12">
        <f>EXP(-r_free*(('2_Discount_Factors'!B10+'2_Discount_Factors'!B11)/2))</f>
        <v>0.999383751602924</v>
      </c>
      <c r="D10" s="12">
        <f>'3_Survival_Probs'!D10</f>
        <v>0.999777785177714</v>
      </c>
      <c r="E10" s="12">
        <f>'3_Survival_Probs'!D11</f>
        <v>0.999746044234331</v>
      </c>
      <c r="F10" s="14">
        <f t="shared" si="0"/>
        <v>3.17409433826521e-5</v>
      </c>
      <c r="G10" s="32">
        <f>(1-recovery)*notional*C10*F10</f>
        <v>190.328298463025</v>
      </c>
      <c r="H10" s="14">
        <f t="shared" si="1"/>
        <v>6.95263190732512e-7</v>
      </c>
      <c r="I10" s="33"/>
      <c r="J10" s="31"/>
    </row>
    <row r="11" spans="1:10">
      <c r="A11" s="4">
        <v>9</v>
      </c>
      <c r="B11" s="6">
        <f>'2_Discount_Factors'!B12</f>
        <v>0.0246575342465753</v>
      </c>
      <c r="C11" s="6">
        <f>EXP(-r_free*(('2_Discount_Factors'!B11+'2_Discount_Factors'!B12)/2))</f>
        <v>0.999301613848226</v>
      </c>
      <c r="D11" s="6">
        <f>'3_Survival_Probs'!D11</f>
        <v>0.999746044234331</v>
      </c>
      <c r="E11" s="6">
        <f>'3_Survival_Probs'!D12</f>
        <v>0.99971430429866</v>
      </c>
      <c r="F11" s="8">
        <f t="shared" si="0"/>
        <v>3.17399356712933e-5</v>
      </c>
      <c r="G11" s="29">
        <f>(1-recovery)*notional*C11*F11</f>
        <v>190.306613638574</v>
      </c>
      <c r="H11" s="8">
        <f t="shared" si="1"/>
        <v>7.82081973857152e-7</v>
      </c>
      <c r="I11" s="30"/>
      <c r="J11" s="31"/>
    </row>
    <row r="12" spans="1:10">
      <c r="A12" s="10">
        <v>10</v>
      </c>
      <c r="B12" s="12">
        <f>'2_Discount_Factors'!B13</f>
        <v>0.0273972602739726</v>
      </c>
      <c r="C12" s="12">
        <f>EXP(-r_free*(('2_Discount_Factors'!B12+'2_Discount_Factors'!B13)/2))</f>
        <v>0.999219482844299</v>
      </c>
      <c r="D12" s="12">
        <f>'3_Survival_Probs'!D12</f>
        <v>0.99971430429866</v>
      </c>
      <c r="E12" s="12">
        <f>'3_Survival_Probs'!D13</f>
        <v>0.999682565370668</v>
      </c>
      <c r="F12" s="14">
        <f t="shared" si="0"/>
        <v>3.17389279917979e-5</v>
      </c>
      <c r="G12" s="32">
        <f>(1-recovery)*notional*C12*F12</f>
        <v>190.28493128398</v>
      </c>
      <c r="H12" s="14">
        <f t="shared" si="1"/>
        <v>8.68880964767034e-7</v>
      </c>
      <c r="I12" s="33"/>
      <c r="J12" s="31"/>
    </row>
    <row r="13" spans="1:10">
      <c r="A13" s="4">
        <v>11</v>
      </c>
      <c r="B13" s="6">
        <f>'2_Discount_Factors'!B14</f>
        <v>0.0301369863013699</v>
      </c>
      <c r="C13" s="6">
        <f>EXP(-r_free*(('2_Discount_Factors'!B13+'2_Discount_Factors'!B14)/2))</f>
        <v>0.999137358590587</v>
      </c>
      <c r="D13" s="6">
        <f>'3_Survival_Probs'!D13</f>
        <v>0.999682565370668</v>
      </c>
      <c r="E13" s="6">
        <f>'3_Survival_Probs'!D14</f>
        <v>0.999650827450324</v>
      </c>
      <c r="F13" s="8">
        <f t="shared" si="0"/>
        <v>3.17379203443879e-5</v>
      </c>
      <c r="G13" s="29">
        <f>(1-recovery)*notional*C13*F13</f>
        <v>190.263251400301</v>
      </c>
      <c r="H13" s="8">
        <f t="shared" si="1"/>
        <v>9.55660166850829e-7</v>
      </c>
      <c r="I13" s="30"/>
      <c r="J13" s="31"/>
    </row>
    <row r="14" spans="1:10">
      <c r="A14" s="10">
        <v>12</v>
      </c>
      <c r="B14" s="12">
        <f>'2_Discount_Factors'!B15</f>
        <v>0.0328767123287671</v>
      </c>
      <c r="C14" s="12">
        <f>EXP(-r_free*(('2_Discount_Factors'!B14+'2_Discount_Factors'!B15)/2))</f>
        <v>0.999055241086537</v>
      </c>
      <c r="D14" s="12">
        <f>'3_Survival_Probs'!D14</f>
        <v>0.999650827450324</v>
      </c>
      <c r="E14" s="12">
        <f>'3_Survival_Probs'!D15</f>
        <v>0.999619090537595</v>
      </c>
      <c r="F14" s="14">
        <f t="shared" si="0"/>
        <v>3.17369127289524e-5</v>
      </c>
      <c r="G14" s="32">
        <f>(1-recovery)*notional*C14*F14</f>
        <v>190.241573986596</v>
      </c>
      <c r="H14" s="14">
        <f t="shared" si="1"/>
        <v>1.0424195834882e-6</v>
      </c>
      <c r="I14" s="33"/>
      <c r="J14" s="31"/>
    </row>
    <row r="15" spans="1:10">
      <c r="A15" s="4">
        <v>13</v>
      </c>
      <c r="B15" s="6">
        <f>'2_Discount_Factors'!B16</f>
        <v>0.0356164383561644</v>
      </c>
      <c r="C15" s="6">
        <f>EXP(-r_free*(('2_Discount_Factors'!B15+'2_Discount_Factors'!B16)/2))</f>
        <v>0.998973130331594</v>
      </c>
      <c r="D15" s="6">
        <f>'3_Survival_Probs'!D15</f>
        <v>0.999619090537595</v>
      </c>
      <c r="E15" s="6">
        <f>'3_Survival_Probs'!D16</f>
        <v>0.99958735463245</v>
      </c>
      <c r="F15" s="8">
        <f t="shared" si="0"/>
        <v>3.17359051454913e-5</v>
      </c>
      <c r="G15" s="29">
        <f>(1-recovery)*notional*C15*F15</f>
        <v>190.219899042588</v>
      </c>
      <c r="H15" s="8">
        <f t="shared" si="1"/>
        <v>1.12915921806102e-6</v>
      </c>
      <c r="I15" s="30"/>
      <c r="J15" s="31"/>
    </row>
    <row r="16" spans="1:10">
      <c r="A16" s="10">
        <v>14</v>
      </c>
      <c r="B16" s="12">
        <f>'2_Discount_Factors'!B17</f>
        <v>0.0383561643835616</v>
      </c>
      <c r="C16" s="12">
        <f>EXP(-r_free*(('2_Discount_Factors'!B16+'2_Discount_Factors'!B17)/2))</f>
        <v>0.998891026325202</v>
      </c>
      <c r="D16" s="12">
        <f>'3_Survival_Probs'!D16</f>
        <v>0.99958735463245</v>
      </c>
      <c r="E16" s="12">
        <f>'3_Survival_Probs'!D17</f>
        <v>0.999555619734856</v>
      </c>
      <c r="F16" s="14">
        <f t="shared" si="0"/>
        <v>3.17348975940046e-5</v>
      </c>
      <c r="G16" s="32">
        <f>(1-recovery)*notional*C16*F16</f>
        <v>190.198226568003</v>
      </c>
      <c r="H16" s="14">
        <f t="shared" si="1"/>
        <v>1.2158790739507e-6</v>
      </c>
      <c r="I16" s="33"/>
      <c r="J16" s="31"/>
    </row>
    <row r="17" spans="1:10">
      <c r="A17" s="4">
        <v>15</v>
      </c>
      <c r="B17" s="6">
        <f>'2_Discount_Factors'!B18</f>
        <v>0.0410958904109589</v>
      </c>
      <c r="C17" s="6">
        <f>EXP(-r_free*(('2_Discount_Factors'!B17+'2_Discount_Factors'!B18)/2))</f>
        <v>0.998808929066807</v>
      </c>
      <c r="D17" s="6">
        <f>'3_Survival_Probs'!D17</f>
        <v>0.999555619734856</v>
      </c>
      <c r="E17" s="6">
        <f>'3_Survival_Probs'!D18</f>
        <v>0.999523885844781</v>
      </c>
      <c r="F17" s="8">
        <f t="shared" si="0"/>
        <v>3.17338900746034e-5</v>
      </c>
      <c r="G17" s="29">
        <f>(1-recovery)*notional*C17*F17</f>
        <v>190.17655656323</v>
      </c>
      <c r="H17" s="8">
        <f t="shared" si="1"/>
        <v>1.30257915454267e-6</v>
      </c>
      <c r="I17" s="30"/>
      <c r="J17" s="31"/>
    </row>
    <row r="18" spans="1:10">
      <c r="A18" s="10">
        <v>16</v>
      </c>
      <c r="B18" s="12">
        <f>'2_Discount_Factors'!B19</f>
        <v>0.0438356164383562</v>
      </c>
      <c r="C18" s="12">
        <f>EXP(-r_free*(('2_Discount_Factors'!B18+'2_Discount_Factors'!B19)/2))</f>
        <v>0.998726838555855</v>
      </c>
      <c r="D18" s="12">
        <f>'3_Survival_Probs'!D18</f>
        <v>0.999523885844781</v>
      </c>
      <c r="E18" s="12">
        <f>'3_Survival_Probs'!D19</f>
        <v>0.999492152962194</v>
      </c>
      <c r="F18" s="14">
        <f t="shared" si="0"/>
        <v>3.17328825870655e-5</v>
      </c>
      <c r="G18" s="32">
        <f>(1-recovery)*notional*C18*F18</f>
        <v>190.154889026665</v>
      </c>
      <c r="H18" s="14">
        <f t="shared" si="1"/>
        <v>1.38925946320851e-6</v>
      </c>
      <c r="I18" s="33"/>
      <c r="J18" s="31"/>
    </row>
    <row r="19" spans="1:10">
      <c r="A19" s="4">
        <v>17</v>
      </c>
      <c r="B19" s="6">
        <f>'2_Discount_Factors'!B20</f>
        <v>0.0465753424657534</v>
      </c>
      <c r="C19" s="6">
        <f>EXP(-r_free*(('2_Discount_Factors'!B19+'2_Discount_Factors'!B20)/2))</f>
        <v>0.998644754791791</v>
      </c>
      <c r="D19" s="6">
        <f>'3_Survival_Probs'!D19</f>
        <v>0.999492152962194</v>
      </c>
      <c r="E19" s="6">
        <f>'3_Survival_Probs'!D20</f>
        <v>0.999460421087062</v>
      </c>
      <c r="F19" s="8">
        <f t="shared" si="0"/>
        <v>3.17318751316131e-5</v>
      </c>
      <c r="G19" s="29">
        <f>(1-recovery)*notional*C19*F19</f>
        <v>190.133223959361</v>
      </c>
      <c r="H19" s="8">
        <f t="shared" si="1"/>
        <v>1.47592000333751e-6</v>
      </c>
      <c r="I19" s="30"/>
      <c r="J19" s="31"/>
    </row>
    <row r="20" spans="1:10">
      <c r="A20" s="10">
        <v>18</v>
      </c>
      <c r="B20" s="12">
        <f>'2_Discount_Factors'!B21</f>
        <v>0.0493150684931507</v>
      </c>
      <c r="C20" s="12">
        <f>EXP(-r_free*(('2_Discount_Factors'!B20+'2_Discount_Factors'!B21)/2))</f>
        <v>0.998562677774061</v>
      </c>
      <c r="D20" s="12">
        <f>'3_Survival_Probs'!D20</f>
        <v>0.999460421087062</v>
      </c>
      <c r="E20" s="12">
        <f>'3_Survival_Probs'!D21</f>
        <v>0.999428690219354</v>
      </c>
      <c r="F20" s="14">
        <f t="shared" si="0"/>
        <v>3.17308677080241e-5</v>
      </c>
      <c r="G20" s="32">
        <f>(1-recovery)*notional*C20*F20</f>
        <v>190.111561359714</v>
      </c>
      <c r="H20" s="14">
        <f t="shared" si="1"/>
        <v>1.56256077829902e-6</v>
      </c>
      <c r="I20" s="33"/>
      <c r="J20" s="31"/>
    </row>
    <row r="21" spans="1:10">
      <c r="A21" s="4">
        <v>19</v>
      </c>
      <c r="B21" s="6">
        <f>'2_Discount_Factors'!B22</f>
        <v>0.0520547945205479</v>
      </c>
      <c r="C21" s="6">
        <f>EXP(-r_free*(('2_Discount_Factors'!B21+'2_Discount_Factors'!B22)/2))</f>
        <v>0.998480607502109</v>
      </c>
      <c r="D21" s="6">
        <f>'3_Survival_Probs'!D21</f>
        <v>0.999428690219354</v>
      </c>
      <c r="E21" s="6">
        <f>'3_Survival_Probs'!D22</f>
        <v>0.999396960359038</v>
      </c>
      <c r="F21" s="8">
        <f t="shared" si="0"/>
        <v>3.17298603165206e-5</v>
      </c>
      <c r="G21" s="29">
        <f>(1-recovery)*notional*C21*F21</f>
        <v>190.089901228779</v>
      </c>
      <c r="H21" s="8">
        <f t="shared" si="1"/>
        <v>1.64918179148256e-6</v>
      </c>
      <c r="I21" s="30"/>
      <c r="J21" s="31"/>
    </row>
    <row r="22" spans="1:10">
      <c r="A22" s="10">
        <v>20</v>
      </c>
      <c r="B22" s="12">
        <f>'2_Discount_Factors'!B23</f>
        <v>0.0547945205479452</v>
      </c>
      <c r="C22" s="12">
        <f>EXP(-r_free*(('2_Discount_Factors'!B22+'2_Discount_Factors'!B23)/2))</f>
        <v>0.998398543975383</v>
      </c>
      <c r="D22" s="12">
        <f>'3_Survival_Probs'!D22</f>
        <v>0.999396960359038</v>
      </c>
      <c r="E22" s="12">
        <f>'3_Survival_Probs'!D23</f>
        <v>0.999365231506081</v>
      </c>
      <c r="F22" s="14">
        <f t="shared" si="0"/>
        <v>3.17288529569915e-5</v>
      </c>
      <c r="G22" s="32">
        <f>(1-recovery)*notional*C22*F22</f>
        <v>190.068243565616</v>
      </c>
      <c r="H22" s="14">
        <f t="shared" si="1"/>
        <v>1.73578304626133e-6</v>
      </c>
      <c r="I22" s="33"/>
      <c r="J22" s="31"/>
    </row>
    <row r="23" spans="1:10">
      <c r="A23" s="4">
        <v>21</v>
      </c>
      <c r="B23" s="6">
        <f>'2_Discount_Factors'!B24</f>
        <v>0.0575342465753425</v>
      </c>
      <c r="C23" s="6">
        <f>EXP(-r_free*(('2_Discount_Factors'!B23+'2_Discount_Factors'!B24)/2))</f>
        <v>0.998316487193326</v>
      </c>
      <c r="D23" s="6">
        <f>'3_Survival_Probs'!D23</f>
        <v>0.999365231506081</v>
      </c>
      <c r="E23" s="6">
        <f>'3_Survival_Probs'!D24</f>
        <v>0.999333503660451</v>
      </c>
      <c r="F23" s="8">
        <f t="shared" si="0"/>
        <v>3.17278456294368e-5</v>
      </c>
      <c r="G23" s="29">
        <f>(1-recovery)*notional*C23*F23</f>
        <v>190.046588369949</v>
      </c>
      <c r="H23" s="8">
        <f t="shared" si="1"/>
        <v>1.82236454601321e-6</v>
      </c>
      <c r="I23" s="30"/>
      <c r="J23" s="31"/>
    </row>
    <row r="24" spans="1:10">
      <c r="A24" s="10">
        <v>22</v>
      </c>
      <c r="B24" s="12">
        <f>'2_Discount_Factors'!B25</f>
        <v>0.0602739726027397</v>
      </c>
      <c r="C24" s="12">
        <f>EXP(-r_free*(('2_Discount_Factors'!B24+'2_Discount_Factors'!B25)/2))</f>
        <v>0.998234437155385</v>
      </c>
      <c r="D24" s="12">
        <f>'3_Survival_Probs'!D24</f>
        <v>0.999333503660451</v>
      </c>
      <c r="E24" s="12">
        <f>'3_Survival_Probs'!D25</f>
        <v>0.999301776822117</v>
      </c>
      <c r="F24" s="14">
        <f t="shared" si="0"/>
        <v>3.17268383338565e-5</v>
      </c>
      <c r="G24" s="32">
        <f>(1-recovery)*notional*C24*F24</f>
        <v>190.024935641503</v>
      </c>
      <c r="H24" s="14">
        <f t="shared" si="1"/>
        <v>1.90892629411555e-6</v>
      </c>
      <c r="I24" s="33"/>
      <c r="J24" s="31"/>
    </row>
    <row r="25" spans="1:10">
      <c r="A25" s="4">
        <v>23</v>
      </c>
      <c r="B25" s="6">
        <f>'2_Discount_Factors'!B26</f>
        <v>0.063013698630137</v>
      </c>
      <c r="C25" s="6">
        <f>EXP(-r_free*(('2_Discount_Factors'!B25+'2_Discount_Factors'!B26)/2))</f>
        <v>0.998152393861006</v>
      </c>
      <c r="D25" s="6">
        <f>'3_Survival_Probs'!D25</f>
        <v>0.999301776822117</v>
      </c>
      <c r="E25" s="6">
        <f>'3_Survival_Probs'!D26</f>
        <v>0.999270050991047</v>
      </c>
      <c r="F25" s="8">
        <f t="shared" si="0"/>
        <v>3.17258310702506e-5</v>
      </c>
      <c r="G25" s="29">
        <f>(1-recovery)*notional*C25*F25</f>
        <v>190.003285380003</v>
      </c>
      <c r="H25" s="8">
        <f t="shared" si="1"/>
        <v>1.99546829394524e-6</v>
      </c>
      <c r="I25" s="30"/>
      <c r="J25" s="31"/>
    </row>
    <row r="26" spans="1:10">
      <c r="A26" s="10">
        <v>24</v>
      </c>
      <c r="B26" s="12">
        <f>'2_Discount_Factors'!B27</f>
        <v>0.0657534246575342</v>
      </c>
      <c r="C26" s="12">
        <f>EXP(-r_free*(('2_Discount_Factors'!B26+'2_Discount_Factors'!B27)/2))</f>
        <v>0.998070357309634</v>
      </c>
      <c r="D26" s="12">
        <f>'3_Survival_Probs'!D26</f>
        <v>0.999270050991047</v>
      </c>
      <c r="E26" s="12">
        <f>'3_Survival_Probs'!D27</f>
        <v>0.999238326167209</v>
      </c>
      <c r="F26" s="14">
        <f t="shared" si="0"/>
        <v>3.17248238386192e-5</v>
      </c>
      <c r="G26" s="32">
        <f>(1-recovery)*notional*C26*F26</f>
        <v>189.981637585175</v>
      </c>
      <c r="H26" s="14">
        <f t="shared" si="1"/>
        <v>2.08199054887863e-6</v>
      </c>
      <c r="I26" s="33"/>
      <c r="J26" s="31"/>
    </row>
    <row r="27" spans="1:10">
      <c r="A27" s="4">
        <v>25</v>
      </c>
      <c r="B27" s="6">
        <f>'2_Discount_Factors'!B28</f>
        <v>0.0684931506849315</v>
      </c>
      <c r="C27" s="6">
        <f>EXP(-r_free*(('2_Discount_Factors'!B27+'2_Discount_Factors'!B28)/2))</f>
        <v>0.997988327500716</v>
      </c>
      <c r="D27" s="6">
        <f>'3_Survival_Probs'!D27</f>
        <v>0.999238326167209</v>
      </c>
      <c r="E27" s="6">
        <f>'3_Survival_Probs'!D28</f>
        <v>0.99920660235057</v>
      </c>
      <c r="F27" s="8">
        <f t="shared" si="0"/>
        <v>3.17238166389622e-5</v>
      </c>
      <c r="G27" s="29">
        <f>(1-recovery)*notional*C27*F27</f>
        <v>189.959992256743</v>
      </c>
      <c r="H27" s="8">
        <f t="shared" si="1"/>
        <v>2.16849306229159e-6</v>
      </c>
      <c r="I27" s="30"/>
      <c r="J27" s="31"/>
    </row>
    <row r="28" spans="1:10">
      <c r="A28" s="10">
        <v>26</v>
      </c>
      <c r="B28" s="12">
        <f>'2_Discount_Factors'!B29</f>
        <v>0.0712328767123288</v>
      </c>
      <c r="C28" s="12">
        <f>EXP(-r_free*(('2_Discount_Factors'!B28+'2_Discount_Factors'!B29)/2))</f>
        <v>0.997906304433696</v>
      </c>
      <c r="D28" s="12">
        <f>'3_Survival_Probs'!D28</f>
        <v>0.99920660235057</v>
      </c>
      <c r="E28" s="12">
        <f>'3_Survival_Probs'!D29</f>
        <v>0.999174879541098</v>
      </c>
      <c r="F28" s="14">
        <f t="shared" si="0"/>
        <v>3.17228094712796e-5</v>
      </c>
      <c r="G28" s="32">
        <f>(1-recovery)*notional*C28*F28</f>
        <v>189.938349394433</v>
      </c>
      <c r="H28" s="14">
        <f t="shared" si="1"/>
        <v>2.25497583755948e-6</v>
      </c>
      <c r="I28" s="33"/>
      <c r="J28" s="31"/>
    </row>
    <row r="29" spans="1:10">
      <c r="A29" s="4">
        <v>27</v>
      </c>
      <c r="B29" s="6">
        <f>'2_Discount_Factors'!B30</f>
        <v>0.073972602739726</v>
      </c>
      <c r="C29" s="6">
        <f>EXP(-r_free*(('2_Discount_Factors'!B29+'2_Discount_Factors'!B30)/2))</f>
        <v>0.997824288108021</v>
      </c>
      <c r="D29" s="6">
        <f>'3_Survival_Probs'!D29</f>
        <v>0.999174879541098</v>
      </c>
      <c r="E29" s="6">
        <f>'3_Survival_Probs'!D30</f>
        <v>0.999143157738763</v>
      </c>
      <c r="F29" s="8">
        <f t="shared" si="0"/>
        <v>3.17218023355714e-5</v>
      </c>
      <c r="G29" s="29">
        <f>(1-recovery)*notional*C29*F29</f>
        <v>189.91670899797</v>
      </c>
      <c r="H29" s="8">
        <f t="shared" si="1"/>
        <v>2.34143887805716e-6</v>
      </c>
      <c r="I29" s="30"/>
      <c r="J29" s="31"/>
    </row>
    <row r="30" spans="1:10">
      <c r="A30" s="10">
        <v>28</v>
      </c>
      <c r="B30" s="12">
        <f>'2_Discount_Factors'!B31</f>
        <v>0.0767123287671233</v>
      </c>
      <c r="C30" s="12">
        <f>EXP(-r_free*(('2_Discount_Factors'!B30+'2_Discount_Factors'!B31)/2))</f>
        <v>0.997742278523137</v>
      </c>
      <c r="D30" s="12">
        <f>'3_Survival_Probs'!D30</f>
        <v>0.999143157738763</v>
      </c>
      <c r="E30" s="12">
        <f>'3_Survival_Probs'!D31</f>
        <v>0.999111436943531</v>
      </c>
      <c r="F30" s="14">
        <f t="shared" si="0"/>
        <v>3.17207952318377e-5</v>
      </c>
      <c r="G30" s="32">
        <f>(1-recovery)*notional*C30*F30</f>
        <v>189.895071067078</v>
      </c>
      <c r="H30" s="14">
        <f t="shared" si="1"/>
        <v>2.42788218715898e-6</v>
      </c>
      <c r="I30" s="33"/>
      <c r="J30" s="31"/>
    </row>
    <row r="31" spans="1:10">
      <c r="A31" s="4">
        <v>29</v>
      </c>
      <c r="B31" s="6">
        <f>'2_Discount_Factors'!B32</f>
        <v>0.0794520547945206</v>
      </c>
      <c r="C31" s="6">
        <f>EXP(-r_free*(('2_Discount_Factors'!B31+'2_Discount_Factors'!B32)/2))</f>
        <v>0.99766027567849</v>
      </c>
      <c r="D31" s="6">
        <f>'3_Survival_Probs'!D31</f>
        <v>0.999111436943531</v>
      </c>
      <c r="E31" s="6">
        <f>'3_Survival_Probs'!D32</f>
        <v>0.999079717155371</v>
      </c>
      <c r="F31" s="8">
        <f t="shared" si="0"/>
        <v>3.17197881600784e-5</v>
      </c>
      <c r="G31" s="29">
        <f>(1-recovery)*notional*C31*F31</f>
        <v>189.873435601483</v>
      </c>
      <c r="H31" s="8">
        <f t="shared" si="1"/>
        <v>2.51430576823881e-6</v>
      </c>
      <c r="I31" s="30"/>
      <c r="J31" s="31"/>
    </row>
    <row r="32" spans="1:10">
      <c r="A32" s="10">
        <v>30</v>
      </c>
      <c r="B32" s="12">
        <f>'2_Discount_Factors'!B33</f>
        <v>0.0821917808219178</v>
      </c>
      <c r="C32" s="12">
        <f>EXP(-r_free*(('2_Discount_Factors'!B32+'2_Discount_Factors'!B33)/2))</f>
        <v>0.997578279573526</v>
      </c>
      <c r="D32" s="12">
        <f>'3_Survival_Probs'!D32</f>
        <v>0.999079717155371</v>
      </c>
      <c r="E32" s="12">
        <f>'3_Survival_Probs'!D33</f>
        <v>0.999047998374251</v>
      </c>
      <c r="F32" s="14">
        <f t="shared" si="0"/>
        <v>3.17187811202935e-5</v>
      </c>
      <c r="G32" s="32">
        <f>(1-recovery)*notional*C32*F32</f>
        <v>189.85180260091</v>
      </c>
      <c r="H32" s="14">
        <f t="shared" si="1"/>
        <v>2.60070962466999e-6</v>
      </c>
      <c r="I32" s="33"/>
      <c r="J32" s="31"/>
    </row>
    <row r="33" spans="1:10">
      <c r="A33" s="4">
        <v>31</v>
      </c>
      <c r="B33" s="6">
        <f>'2_Discount_Factors'!B34</f>
        <v>0.0849315068493151</v>
      </c>
      <c r="C33" s="6">
        <f>EXP(-r_free*(('2_Discount_Factors'!B33+'2_Discount_Factors'!B34)/2))</f>
        <v>0.997496290207691</v>
      </c>
      <c r="D33" s="6">
        <f>'3_Survival_Probs'!D33</f>
        <v>0.999047998374251</v>
      </c>
      <c r="E33" s="6">
        <f>'3_Survival_Probs'!D34</f>
        <v>0.999016280600138</v>
      </c>
      <c r="F33" s="8">
        <f t="shared" si="0"/>
        <v>3.1717774112483e-5</v>
      </c>
      <c r="G33" s="29">
        <f>(1-recovery)*notional*C33*F33</f>
        <v>189.830172065084</v>
      </c>
      <c r="H33" s="8">
        <f t="shared" si="1"/>
        <v>2.68709375982539e-6</v>
      </c>
      <c r="I33" s="30"/>
      <c r="J33" s="31"/>
    </row>
    <row r="34" spans="1:10">
      <c r="A34" s="10">
        <v>32</v>
      </c>
      <c r="B34" s="12">
        <f>'2_Discount_Factors'!B35</f>
        <v>0.0876712328767123</v>
      </c>
      <c r="C34" s="12">
        <f>EXP(-r_free*(('2_Discount_Factors'!B34+'2_Discount_Factors'!B35)/2))</f>
        <v>0.997414307580431</v>
      </c>
      <c r="D34" s="12">
        <f>'3_Survival_Probs'!D34</f>
        <v>0.999016280600138</v>
      </c>
      <c r="E34" s="12">
        <f>'3_Survival_Probs'!D35</f>
        <v>0.998984563833001</v>
      </c>
      <c r="F34" s="14">
        <f t="shared" si="0"/>
        <v>3.1716767136647e-5</v>
      </c>
      <c r="G34" s="32">
        <f>(1-recovery)*notional*C34*F34</f>
        <v>189.808543993731</v>
      </c>
      <c r="H34" s="14">
        <f t="shared" si="1"/>
        <v>2.77345817707735e-6</v>
      </c>
      <c r="I34" s="33"/>
      <c r="J34" s="31"/>
    </row>
    <row r="35" spans="1:10">
      <c r="A35" s="4">
        <v>33</v>
      </c>
      <c r="B35" s="6">
        <f>'2_Discount_Factors'!B36</f>
        <v>0.0904109589041096</v>
      </c>
      <c r="C35" s="6">
        <f>EXP(-r_free*(('2_Discount_Factors'!B35+'2_Discount_Factors'!B36)/2))</f>
        <v>0.997332331691192</v>
      </c>
      <c r="D35" s="6">
        <f>'3_Survival_Probs'!D35</f>
        <v>0.998984563833001</v>
      </c>
      <c r="E35" s="6">
        <f>'3_Survival_Probs'!D36</f>
        <v>0.998952848072809</v>
      </c>
      <c r="F35" s="8">
        <f t="shared" si="0"/>
        <v>3.17157601927853e-5</v>
      </c>
      <c r="G35" s="29">
        <f>(1-recovery)*notional*C35*F35</f>
        <v>189.786918386576</v>
      </c>
      <c r="H35" s="8">
        <f t="shared" si="1"/>
        <v>2.85980287979771e-6</v>
      </c>
      <c r="I35" s="30"/>
      <c r="J35" s="31"/>
    </row>
    <row r="36" spans="1:10">
      <c r="A36" s="10">
        <v>34</v>
      </c>
      <c r="B36" s="12">
        <f>'2_Discount_Factors'!B37</f>
        <v>0.0931506849315069</v>
      </c>
      <c r="C36" s="12">
        <f>EXP(-r_free*(('2_Discount_Factors'!B36+'2_Discount_Factors'!B37)/2))</f>
        <v>0.99725036253942</v>
      </c>
      <c r="D36" s="12">
        <f>'3_Survival_Probs'!D36</f>
        <v>0.998952848072809</v>
      </c>
      <c r="E36" s="12">
        <f>'3_Survival_Probs'!D37</f>
        <v>0.998921133319528</v>
      </c>
      <c r="F36" s="14">
        <f t="shared" si="0"/>
        <v>3.17147532808981e-5</v>
      </c>
      <c r="G36" s="32">
        <f>(1-recovery)*notional*C36*F36</f>
        <v>189.765295243344</v>
      </c>
      <c r="H36" s="14">
        <f t="shared" si="1"/>
        <v>2.94612787135784e-6</v>
      </c>
      <c r="I36" s="33"/>
      <c r="J36" s="31"/>
    </row>
    <row r="37" spans="1:10">
      <c r="A37" s="4">
        <v>35</v>
      </c>
      <c r="B37" s="6">
        <f>'2_Discount_Factors'!B38</f>
        <v>0.0958904109589041</v>
      </c>
      <c r="C37" s="6">
        <f>EXP(-r_free*(('2_Discount_Factors'!B37+'2_Discount_Factors'!B38)/2))</f>
        <v>0.997168400124562</v>
      </c>
      <c r="D37" s="6">
        <f>'3_Survival_Probs'!D37</f>
        <v>0.998921133319528</v>
      </c>
      <c r="E37" s="6">
        <f>'3_Survival_Probs'!D38</f>
        <v>0.998889419573127</v>
      </c>
      <c r="F37" s="8">
        <f t="shared" si="0"/>
        <v>3.17137464009853e-5</v>
      </c>
      <c r="G37" s="29">
        <f>(1-recovery)*notional*C37*F37</f>
        <v>189.74367456376</v>
      </c>
      <c r="H37" s="8">
        <f t="shared" si="1"/>
        <v>3.03243315512858e-6</v>
      </c>
      <c r="I37" s="30"/>
      <c r="J37" s="31"/>
    </row>
    <row r="38" spans="1:10">
      <c r="A38" s="10">
        <v>36</v>
      </c>
      <c r="B38" s="12">
        <f>'2_Discount_Factors'!B39</f>
        <v>0.0986301369863014</v>
      </c>
      <c r="C38" s="12">
        <f>EXP(-r_free*(('2_Discount_Factors'!B38+'2_Discount_Factors'!B39)/2))</f>
        <v>0.997086444446065</v>
      </c>
      <c r="D38" s="12">
        <f>'3_Survival_Probs'!D38</f>
        <v>0.998889419573127</v>
      </c>
      <c r="E38" s="12">
        <f>'3_Survival_Probs'!D39</f>
        <v>0.998857706833574</v>
      </c>
      <c r="F38" s="14">
        <f t="shared" si="0"/>
        <v>3.1712739552936e-5</v>
      </c>
      <c r="G38" s="32">
        <f>(1-recovery)*notional*C38*F38</f>
        <v>189.722056346886</v>
      </c>
      <c r="H38" s="14">
        <f t="shared" si="1"/>
        <v>3.11871873446936e-6</v>
      </c>
      <c r="I38" s="33"/>
      <c r="J38" s="31"/>
    </row>
    <row r="39" spans="1:10">
      <c r="A39" s="4">
        <v>37</v>
      </c>
      <c r="B39" s="6">
        <f>'2_Discount_Factors'!B40</f>
        <v>0.101369863013699</v>
      </c>
      <c r="C39" s="6">
        <f>EXP(-r_free*(('2_Discount_Factors'!B39+'2_Discount_Factors'!B40)/2))</f>
        <v>0.997004495503373</v>
      </c>
      <c r="D39" s="6">
        <f>'3_Survival_Probs'!D39</f>
        <v>0.998857706833574</v>
      </c>
      <c r="E39" s="6">
        <f>'3_Survival_Probs'!D40</f>
        <v>0.998825995100837</v>
      </c>
      <c r="F39" s="8">
        <f t="shared" si="0"/>
        <v>3.1711732736972e-5</v>
      </c>
      <c r="G39" s="29">
        <f>(1-recovery)*notional*C39*F39</f>
        <v>189.700440593776</v>
      </c>
      <c r="H39" s="8">
        <f t="shared" si="1"/>
        <v>3.20498461277155e-6</v>
      </c>
      <c r="I39" s="30"/>
      <c r="J39" s="31"/>
    </row>
    <row r="40" spans="1:10">
      <c r="A40" s="10">
        <v>38</v>
      </c>
      <c r="B40" s="12">
        <f>'2_Discount_Factors'!B41</f>
        <v>0.104109589041096</v>
      </c>
      <c r="C40" s="12">
        <f>EXP(-r_free*(('2_Discount_Factors'!B40+'2_Discount_Factors'!B41)/2))</f>
        <v>0.996922553295934</v>
      </c>
      <c r="D40" s="12">
        <f>'3_Survival_Probs'!D40</f>
        <v>0.998825995100837</v>
      </c>
      <c r="E40" s="12">
        <f>'3_Survival_Probs'!D41</f>
        <v>0.998794284374884</v>
      </c>
      <c r="F40" s="14">
        <f t="shared" si="0"/>
        <v>3.17107259529825e-5</v>
      </c>
      <c r="G40" s="32">
        <f>(1-recovery)*notional*C40*F40</f>
        <v>189.67882730349</v>
      </c>
      <c r="H40" s="14">
        <f t="shared" si="1"/>
        <v>3.29123079339389e-6</v>
      </c>
      <c r="I40" s="33"/>
      <c r="J40" s="31"/>
    </row>
    <row r="41" spans="1:10">
      <c r="A41" s="4">
        <v>39</v>
      </c>
      <c r="B41" s="6">
        <f>'2_Discount_Factors'!B42</f>
        <v>0.106849315068493</v>
      </c>
      <c r="C41" s="6">
        <f>EXP(-r_free*(('2_Discount_Factors'!B41+'2_Discount_Factors'!B42)/2))</f>
        <v>0.996840617823195</v>
      </c>
      <c r="D41" s="6">
        <f>'3_Survival_Probs'!D41</f>
        <v>0.998794284374884</v>
      </c>
      <c r="E41" s="6">
        <f>'3_Survival_Probs'!D42</f>
        <v>0.998762574655683</v>
      </c>
      <c r="F41" s="8">
        <f t="shared" si="0"/>
        <v>3.17097192008564e-5</v>
      </c>
      <c r="G41" s="29">
        <f>(1-recovery)*notional*C41*F41</f>
        <v>189.65721647509</v>
      </c>
      <c r="H41" s="8">
        <f t="shared" si="1"/>
        <v>3.37745727969339e-6</v>
      </c>
      <c r="I41" s="30"/>
      <c r="J41" s="31"/>
    </row>
    <row r="42" spans="1:10">
      <c r="A42" s="10">
        <v>40</v>
      </c>
      <c r="B42" s="12">
        <f>'2_Discount_Factors'!B43</f>
        <v>0.10958904109589</v>
      </c>
      <c r="C42" s="12">
        <f>EXP(-r_free*(('2_Discount_Factors'!B42+'2_Discount_Factors'!B43)/2))</f>
        <v>0.996758689084601</v>
      </c>
      <c r="D42" s="12">
        <f>'3_Survival_Probs'!D42</f>
        <v>0.998762574655683</v>
      </c>
      <c r="E42" s="12">
        <f>'3_Survival_Probs'!D43</f>
        <v>0.998730865943202</v>
      </c>
      <c r="F42" s="14">
        <f t="shared" si="0"/>
        <v>3.17087124808157e-5</v>
      </c>
      <c r="G42" s="32">
        <f>(1-recovery)*notional*C42*F42</f>
        <v>189.635608109631</v>
      </c>
      <c r="H42" s="14">
        <f t="shared" si="1"/>
        <v>3.46366407506174e-6</v>
      </c>
      <c r="I42" s="33"/>
      <c r="J42" s="31"/>
    </row>
    <row r="43" spans="1:10">
      <c r="A43" s="4">
        <v>41</v>
      </c>
      <c r="B43" s="6">
        <f>'2_Discount_Factors'!B44</f>
        <v>0.112328767123288</v>
      </c>
      <c r="C43" s="6">
        <f>EXP(-r_free*(('2_Discount_Factors'!B43+'2_Discount_Factors'!B44)/2))</f>
        <v>0.996676767079599</v>
      </c>
      <c r="D43" s="6">
        <f>'3_Survival_Probs'!D43</f>
        <v>0.998730865943202</v>
      </c>
      <c r="E43" s="6">
        <f>'3_Survival_Probs'!D44</f>
        <v>0.99869915823741</v>
      </c>
      <c r="F43" s="8">
        <f t="shared" si="0"/>
        <v>3.17077057926385e-5</v>
      </c>
      <c r="G43" s="29">
        <f>(1-recovery)*notional*C43*F43</f>
        <v>189.614002205508</v>
      </c>
      <c r="H43" s="8">
        <f t="shared" si="1"/>
        <v>3.54985118284284e-6</v>
      </c>
      <c r="I43" s="30"/>
      <c r="J43" s="31"/>
    </row>
    <row r="44" spans="1:10">
      <c r="A44" s="10">
        <v>42</v>
      </c>
      <c r="B44" s="12">
        <f>'2_Discount_Factors'!B45</f>
        <v>0.115068493150685</v>
      </c>
      <c r="C44" s="12">
        <f>EXP(-r_free*(('2_Discount_Factors'!B44+'2_Discount_Factors'!B45)/2))</f>
        <v>0.996594851807636</v>
      </c>
      <c r="D44" s="12">
        <f>'3_Survival_Probs'!D44</f>
        <v>0.99869915823741</v>
      </c>
      <c r="E44" s="12">
        <f>'3_Survival_Probs'!D45</f>
        <v>0.998667451538273</v>
      </c>
      <c r="F44" s="14">
        <f t="shared" si="0"/>
        <v>3.17066991364356e-5</v>
      </c>
      <c r="G44" s="32">
        <f>(1-recovery)*notional*C44*F44</f>
        <v>189.592398763112</v>
      </c>
      <c r="H44" s="14">
        <f t="shared" si="1"/>
        <v>3.63601860641585e-6</v>
      </c>
      <c r="I44" s="33"/>
      <c r="J44" s="31"/>
    </row>
    <row r="45" spans="1:10">
      <c r="A45" s="4">
        <v>43</v>
      </c>
      <c r="B45" s="6">
        <f>'2_Discount_Factors'!B46</f>
        <v>0.117808219178082</v>
      </c>
      <c r="C45" s="6">
        <f>EXP(-r_free*(('2_Discount_Factors'!B45+'2_Discount_Factors'!B46)/2))</f>
        <v>0.996512943268158</v>
      </c>
      <c r="D45" s="6">
        <f>'3_Survival_Probs'!D45</f>
        <v>0.998667451538273</v>
      </c>
      <c r="E45" s="6">
        <f>'3_Survival_Probs'!D46</f>
        <v>0.998635745845761</v>
      </c>
      <c r="F45" s="8">
        <f t="shared" si="0"/>
        <v>3.17056925122072e-5</v>
      </c>
      <c r="G45" s="29">
        <f>(1-recovery)*notional*C45*F45</f>
        <v>189.570797782169</v>
      </c>
      <c r="H45" s="8">
        <f t="shared" si="1"/>
        <v>3.72216634914761e-6</v>
      </c>
      <c r="I45" s="30"/>
      <c r="J45" s="31"/>
    </row>
    <row r="46" spans="1:10">
      <c r="A46" s="10">
        <v>44</v>
      </c>
      <c r="B46" s="12">
        <f>'2_Discount_Factors'!B47</f>
        <v>0.120547945205479</v>
      </c>
      <c r="C46" s="12">
        <f>EXP(-r_free*(('2_Discount_Factors'!B46+'2_Discount_Factors'!B47)/2))</f>
        <v>0.996431041460613</v>
      </c>
      <c r="D46" s="12">
        <f>'3_Survival_Probs'!D46</f>
        <v>0.998635745845761</v>
      </c>
      <c r="E46" s="12">
        <f>'3_Survival_Probs'!D47</f>
        <v>0.998604041159841</v>
      </c>
      <c r="F46" s="14">
        <f t="shared" si="0"/>
        <v>3.17046859199532e-5</v>
      </c>
      <c r="G46" s="32">
        <f>(1-recovery)*notional*C46*F46</f>
        <v>189.549199262404</v>
      </c>
      <c r="H46" s="14">
        <f t="shared" si="1"/>
        <v>3.80829441440446e-6</v>
      </c>
      <c r="I46" s="33"/>
      <c r="J46" s="31"/>
    </row>
    <row r="47" spans="1:10">
      <c r="A47" s="4">
        <v>45</v>
      </c>
      <c r="B47" s="6">
        <f>'2_Discount_Factors'!B48</f>
        <v>0.123287671232877</v>
      </c>
      <c r="C47" s="6">
        <f>EXP(-r_free*(('2_Discount_Factors'!B47+'2_Discount_Factors'!B48)/2))</f>
        <v>0.996349146384446</v>
      </c>
      <c r="D47" s="6">
        <f>'3_Survival_Probs'!D47</f>
        <v>0.998604041159841</v>
      </c>
      <c r="E47" s="6">
        <f>'3_Survival_Probs'!D48</f>
        <v>0.998572337480481</v>
      </c>
      <c r="F47" s="8">
        <f t="shared" si="0"/>
        <v>3.17036793596737e-5</v>
      </c>
      <c r="G47" s="29">
        <f>(1-recovery)*notional*C47*F47</f>
        <v>189.527603203542</v>
      </c>
      <c r="H47" s="8">
        <f t="shared" si="1"/>
        <v>3.89440280555224e-6</v>
      </c>
      <c r="I47" s="30"/>
      <c r="J47" s="31"/>
    </row>
    <row r="48" spans="1:10">
      <c r="A48" s="10">
        <v>46</v>
      </c>
      <c r="B48" s="12">
        <f>'2_Discount_Factors'!B49</f>
        <v>0.126027397260274</v>
      </c>
      <c r="C48" s="12">
        <f>EXP(-r_free*(('2_Discount_Factors'!B48+'2_Discount_Factors'!B49)/2))</f>
        <v>0.996267258039105</v>
      </c>
      <c r="D48" s="12">
        <f>'3_Survival_Probs'!D48</f>
        <v>0.998572337480481</v>
      </c>
      <c r="E48" s="12">
        <f>'3_Survival_Probs'!D49</f>
        <v>0.99854063480765</v>
      </c>
      <c r="F48" s="14">
        <f t="shared" si="0"/>
        <v>3.17026728312575e-5</v>
      </c>
      <c r="G48" s="32">
        <f>(1-recovery)*notional*C48*F48</f>
        <v>189.506009604646</v>
      </c>
      <c r="H48" s="14">
        <f t="shared" si="1"/>
        <v>3.98049152594235e-6</v>
      </c>
      <c r="I48" s="33"/>
      <c r="J48" s="31"/>
    </row>
    <row r="49" spans="1:10">
      <c r="A49" s="4">
        <v>47</v>
      </c>
      <c r="B49" s="6">
        <f>'2_Discount_Factors'!B50</f>
        <v>0.128767123287671</v>
      </c>
      <c r="C49" s="6">
        <f>EXP(-r_free*(('2_Discount_Factors'!B49+'2_Discount_Factors'!B50)/2))</f>
        <v>0.996185376424036</v>
      </c>
      <c r="D49" s="6">
        <f>'3_Survival_Probs'!D49</f>
        <v>0.99854063480765</v>
      </c>
      <c r="E49" s="6">
        <f>'3_Survival_Probs'!D50</f>
        <v>0.998508933141315</v>
      </c>
      <c r="F49" s="8">
        <f t="shared" si="0"/>
        <v>3.17016663348157e-5</v>
      </c>
      <c r="G49" s="29">
        <f>(1-recovery)*notional*C49*F49</f>
        <v>189.484418466106</v>
      </c>
      <c r="H49" s="8">
        <f t="shared" si="1"/>
        <v>4.06656057895295e-6</v>
      </c>
      <c r="I49" s="30"/>
      <c r="J49" s="31"/>
    </row>
    <row r="50" spans="1:10">
      <c r="A50" s="10">
        <v>48</v>
      </c>
      <c r="B50" s="12">
        <f>'2_Discount_Factors'!B51</f>
        <v>0.131506849315068</v>
      </c>
      <c r="C50" s="12">
        <f>EXP(-r_free*(('2_Discount_Factors'!B50+'2_Discount_Factors'!B51)/2))</f>
        <v>0.996103501538687</v>
      </c>
      <c r="D50" s="12">
        <f>'3_Survival_Probs'!D50</f>
        <v>0.998508933141315</v>
      </c>
      <c r="E50" s="12">
        <f>'3_Survival_Probs'!D51</f>
        <v>0.998477232481445</v>
      </c>
      <c r="F50" s="14">
        <f t="shared" si="0"/>
        <v>3.17006598704594e-5</v>
      </c>
      <c r="G50" s="32">
        <f>(1-recovery)*notional*C50*F50</f>
        <v>189.46282978831</v>
      </c>
      <c r="H50" s="14">
        <f t="shared" si="1"/>
        <v>4.15260996796295e-6</v>
      </c>
      <c r="I50" s="33"/>
      <c r="J50" s="31"/>
    </row>
    <row r="51" spans="1:10">
      <c r="A51" s="4">
        <v>49</v>
      </c>
      <c r="B51" s="6">
        <f>'2_Discount_Factors'!B52</f>
        <v>0.134246575342466</v>
      </c>
      <c r="C51" s="6">
        <f>EXP(-r_free*(('2_Discount_Factors'!B51+'2_Discount_Factors'!B52)/2))</f>
        <v>0.996021633382503</v>
      </c>
      <c r="D51" s="6">
        <f>'3_Survival_Probs'!D51</f>
        <v>0.998477232481445</v>
      </c>
      <c r="E51" s="6">
        <f>'3_Survival_Probs'!D52</f>
        <v>0.998445532828007</v>
      </c>
      <c r="F51" s="8">
        <f t="shared" si="0"/>
        <v>3.16996534379665e-5</v>
      </c>
      <c r="G51" s="29">
        <f>(1-recovery)*notional*C51*F51</f>
        <v>189.441243569656</v>
      </c>
      <c r="H51" s="8">
        <f t="shared" si="1"/>
        <v>4.23863969630738e-6</v>
      </c>
      <c r="I51" s="30"/>
      <c r="J51" s="31"/>
    </row>
    <row r="52" spans="1:10">
      <c r="A52" s="10">
        <v>50</v>
      </c>
      <c r="B52" s="12">
        <f>'2_Discount_Factors'!B53</f>
        <v>0.136986301369863</v>
      </c>
      <c r="C52" s="12">
        <f>EXP(-r_free*(('2_Discount_Factors'!B52+'2_Discount_Factors'!B53)/2))</f>
        <v>0.995939771954933</v>
      </c>
      <c r="D52" s="12">
        <f>'3_Survival_Probs'!D52</f>
        <v>0.998445532828007</v>
      </c>
      <c r="E52" s="12">
        <f>'3_Survival_Probs'!D53</f>
        <v>0.998413834180969</v>
      </c>
      <c r="F52" s="14">
        <f t="shared" si="0"/>
        <v>3.1698647037337e-5</v>
      </c>
      <c r="G52" s="32">
        <f>(1-recovery)*notional*C52*F52</f>
        <v>189.419659809872</v>
      </c>
      <c r="H52" s="14">
        <f t="shared" si="1"/>
        <v>4.32464976734868e-6</v>
      </c>
      <c r="I52" s="33"/>
      <c r="J52" s="31"/>
    </row>
    <row r="53" spans="1:10">
      <c r="A53" s="4">
        <v>51</v>
      </c>
      <c r="B53" s="6">
        <f>'2_Discount_Factors'!B54</f>
        <v>0.13972602739726</v>
      </c>
      <c r="C53" s="6">
        <f>EXP(-r_free*(('2_Discount_Factors'!B53+'2_Discount_Factors'!B54)/2))</f>
        <v>0.995857917255422</v>
      </c>
      <c r="D53" s="6">
        <f>'3_Survival_Probs'!D53</f>
        <v>0.998413834180969</v>
      </c>
      <c r="E53" s="6">
        <f>'3_Survival_Probs'!D54</f>
        <v>0.998382136540301</v>
      </c>
      <c r="F53" s="8">
        <f t="shared" si="0"/>
        <v>3.1697640668793e-5</v>
      </c>
      <c r="G53" s="29">
        <f>(1-recovery)*notional*C53*F53</f>
        <v>189.39807851001</v>
      </c>
      <c r="H53" s="8">
        <f t="shared" si="1"/>
        <v>4.41064018447968e-6</v>
      </c>
      <c r="I53" s="30"/>
      <c r="J53" s="31"/>
    </row>
    <row r="54" spans="1:10">
      <c r="A54" s="10">
        <v>52</v>
      </c>
      <c r="B54" s="12">
        <f>'2_Discount_Factors'!B55</f>
        <v>0.142465753424658</v>
      </c>
      <c r="C54" s="12">
        <f>EXP(-r_free*(('2_Discount_Factors'!B54+'2_Discount_Factors'!B55)/2))</f>
        <v>0.995776069283419</v>
      </c>
      <c r="D54" s="12">
        <f>'3_Survival_Probs'!D54</f>
        <v>0.998382136540301</v>
      </c>
      <c r="E54" s="12">
        <f>'3_Survival_Probs'!D55</f>
        <v>0.998350439905969</v>
      </c>
      <c r="F54" s="14">
        <f t="shared" si="0"/>
        <v>3.16966343321123e-5</v>
      </c>
      <c r="G54" s="32">
        <f>(1-recovery)*notional*C54*F54</f>
        <v>189.376499668468</v>
      </c>
      <c r="H54" s="14">
        <f t="shared" si="1"/>
        <v>4.49661095103212e-6</v>
      </c>
      <c r="I54" s="33"/>
      <c r="J54" s="31"/>
    </row>
    <row r="55" spans="1:10">
      <c r="A55" s="4">
        <v>53</v>
      </c>
      <c r="B55" s="6">
        <f>'2_Discount_Factors'!B56</f>
        <v>0.145205479452055</v>
      </c>
      <c r="C55" s="6">
        <f>EXP(-r_free*(('2_Discount_Factors'!B55+'2_Discount_Factors'!B56)/2))</f>
        <v>0.995694228038369</v>
      </c>
      <c r="D55" s="6">
        <f>'3_Survival_Probs'!D55</f>
        <v>0.998350439905969</v>
      </c>
      <c r="E55" s="6">
        <f>'3_Survival_Probs'!D56</f>
        <v>0.998318744277941</v>
      </c>
      <c r="F55" s="8">
        <f t="shared" si="0"/>
        <v>3.16956280274061e-5</v>
      </c>
      <c r="G55" s="29">
        <f>(1-recovery)*notional*C55*F55</f>
        <v>189.354923285637</v>
      </c>
      <c r="H55" s="8">
        <f t="shared" si="1"/>
        <v>4.58256207038298e-6</v>
      </c>
      <c r="I55" s="30"/>
      <c r="J55" s="31"/>
    </row>
    <row r="56" spans="1:10">
      <c r="A56" s="10">
        <v>54</v>
      </c>
      <c r="B56" s="12">
        <f>'2_Discount_Factors'!B57</f>
        <v>0.147945205479452</v>
      </c>
      <c r="C56" s="12">
        <f>EXP(-r_free*(('2_Discount_Factors'!B56+'2_Discount_Factors'!B57)/2))</f>
        <v>0.995612393519721</v>
      </c>
      <c r="D56" s="12">
        <f>'3_Survival_Probs'!D56</f>
        <v>0.998318744277941</v>
      </c>
      <c r="E56" s="12">
        <f>'3_Survival_Probs'!D57</f>
        <v>0.998287049656186</v>
      </c>
      <c r="F56" s="14">
        <f t="shared" si="0"/>
        <v>3.16946217546743e-5</v>
      </c>
      <c r="G56" s="32">
        <f>(1-recovery)*notional*C56*F56</f>
        <v>189.333349361241</v>
      </c>
      <c r="H56" s="14">
        <f t="shared" si="1"/>
        <v>4.66849354589362e-6</v>
      </c>
      <c r="I56" s="33"/>
      <c r="J56" s="31"/>
    </row>
    <row r="57" spans="1:10">
      <c r="A57" s="4">
        <v>55</v>
      </c>
      <c r="B57" s="6">
        <f>'2_Discount_Factors'!B58</f>
        <v>0.150684931506849</v>
      </c>
      <c r="C57" s="6">
        <f>EXP(-r_free*(('2_Discount_Factors'!B57+'2_Discount_Factors'!B58)/2))</f>
        <v>0.995530565726921</v>
      </c>
      <c r="D57" s="6">
        <f>'3_Survival_Probs'!D57</f>
        <v>0.998287049656186</v>
      </c>
      <c r="E57" s="6">
        <f>'3_Survival_Probs'!D58</f>
        <v>0.998255356040673</v>
      </c>
      <c r="F57" s="8">
        <f t="shared" si="0"/>
        <v>3.16936155139169e-5</v>
      </c>
      <c r="G57" s="29">
        <f>(1-recovery)*notional*C57*F57</f>
        <v>189.311777895007</v>
      </c>
      <c r="H57" s="8">
        <f t="shared" si="1"/>
        <v>4.75440538092484e-6</v>
      </c>
      <c r="I57" s="30"/>
      <c r="J57" s="31"/>
    </row>
    <row r="58" spans="1:10">
      <c r="A58" s="10">
        <v>56</v>
      </c>
      <c r="B58" s="12">
        <f>'2_Discount_Factors'!B59</f>
        <v>0.153424657534247</v>
      </c>
      <c r="C58" s="12">
        <f>EXP(-r_free*(('2_Discount_Factors'!B58+'2_Discount_Factors'!B59)/2))</f>
        <v>0.995448744659417</v>
      </c>
      <c r="D58" s="12">
        <f>'3_Survival_Probs'!D58</f>
        <v>0.998255356040673</v>
      </c>
      <c r="E58" s="12">
        <f>'3_Survival_Probs'!D59</f>
        <v>0.998223663431367</v>
      </c>
      <c r="F58" s="14">
        <f t="shared" si="0"/>
        <v>3.16926093050229e-5</v>
      </c>
      <c r="G58" s="32">
        <f>(1-recovery)*notional*C58*F58</f>
        <v>189.290208885999</v>
      </c>
      <c r="H58" s="14">
        <f t="shared" si="1"/>
        <v>4.84029757882006e-6</v>
      </c>
      <c r="I58" s="33"/>
      <c r="J58" s="31"/>
    </row>
    <row r="59" spans="1:10">
      <c r="A59" s="4">
        <v>57</v>
      </c>
      <c r="B59" s="6">
        <f>'2_Discount_Factors'!B60</f>
        <v>0.156164383561644</v>
      </c>
      <c r="C59" s="6">
        <f>EXP(-r_free*(('2_Discount_Factors'!B59+'2_Discount_Factors'!B60)/2))</f>
        <v>0.995366930316656</v>
      </c>
      <c r="D59" s="6">
        <f>'3_Survival_Probs'!D59</f>
        <v>0.998223663431367</v>
      </c>
      <c r="E59" s="6">
        <f>'3_Survival_Probs'!D60</f>
        <v>0.998191971828239</v>
      </c>
      <c r="F59" s="8">
        <f t="shared" si="0"/>
        <v>3.16916031282144e-5</v>
      </c>
      <c r="G59" s="29">
        <f>(1-recovery)*notional*C59*F59</f>
        <v>189.268642335267</v>
      </c>
      <c r="H59" s="8">
        <f t="shared" si="1"/>
        <v>4.9261701429727e-6</v>
      </c>
      <c r="I59" s="30"/>
      <c r="J59" s="31"/>
    </row>
    <row r="60" spans="1:10">
      <c r="A60" s="10">
        <v>58</v>
      </c>
      <c r="B60" s="12">
        <f>'2_Discount_Factors'!B61</f>
        <v>0.158904109589041</v>
      </c>
      <c r="C60" s="12">
        <f>EXP(-r_free*(('2_Discount_Factors'!B60+'2_Discount_Factors'!B61)/2))</f>
        <v>0.995285122698085</v>
      </c>
      <c r="D60" s="12">
        <f>'3_Survival_Probs'!D60</f>
        <v>0.998191971828239</v>
      </c>
      <c r="E60" s="12">
        <f>'3_Survival_Probs'!D61</f>
        <v>0.998160281231256</v>
      </c>
      <c r="F60" s="14">
        <f t="shared" si="0"/>
        <v>3.16905969831582e-5</v>
      </c>
      <c r="G60" s="32">
        <f>(1-recovery)*notional*C60*F60</f>
        <v>189.247078240549</v>
      </c>
      <c r="H60" s="14">
        <f t="shared" si="1"/>
        <v>5.01202307669035e-6</v>
      </c>
      <c r="I60" s="33"/>
      <c r="J60" s="31"/>
    </row>
    <row r="61" spans="1:10">
      <c r="A61" s="4">
        <v>59</v>
      </c>
      <c r="B61" s="6">
        <f>'2_Discount_Factors'!B62</f>
        <v>0.161643835616438</v>
      </c>
      <c r="C61" s="6">
        <f>EXP(-r_free*(('2_Discount_Factors'!B61+'2_Discount_Factors'!B62)/2))</f>
        <v>0.995203321803152</v>
      </c>
      <c r="D61" s="6">
        <f>'3_Survival_Probs'!D61</f>
        <v>0.998160281231256</v>
      </c>
      <c r="E61" s="6">
        <f>'3_Survival_Probs'!D62</f>
        <v>0.998128591640386</v>
      </c>
      <c r="F61" s="8">
        <f t="shared" si="0"/>
        <v>3.16895908701875e-5</v>
      </c>
      <c r="G61" s="29">
        <f>(1-recovery)*notional*C61*F61</f>
        <v>189.225516603561</v>
      </c>
      <c r="H61" s="8">
        <f t="shared" si="1"/>
        <v>5.0978563833836e-6</v>
      </c>
      <c r="I61" s="30"/>
      <c r="J61" s="31"/>
    </row>
    <row r="62" spans="1:10">
      <c r="A62" s="10">
        <v>60</v>
      </c>
      <c r="B62" s="12">
        <f>'2_Discount_Factors'!B63</f>
        <v>0.164383561643836</v>
      </c>
      <c r="C62" s="12">
        <f>EXP(-r_free*(('2_Discount_Factors'!B62+'2_Discount_Factors'!B63)/2))</f>
        <v>0.995121527631303</v>
      </c>
      <c r="D62" s="12">
        <f>'3_Survival_Probs'!D62</f>
        <v>0.998128591640386</v>
      </c>
      <c r="E62" s="12">
        <f>'3_Survival_Probs'!D63</f>
        <v>0.998096903055597</v>
      </c>
      <c r="F62" s="14">
        <f t="shared" si="0"/>
        <v>3.16885847890802e-5</v>
      </c>
      <c r="G62" s="32">
        <f>(1-recovery)*notional*C62*F62</f>
        <v>189.203957422701</v>
      </c>
      <c r="H62" s="14">
        <f t="shared" si="1"/>
        <v>5.18367006637538e-6</v>
      </c>
      <c r="I62" s="33"/>
      <c r="J62" s="31"/>
    </row>
    <row r="63" spans="1:10">
      <c r="A63" s="4">
        <v>61</v>
      </c>
      <c r="B63" s="6">
        <f>'2_Discount_Factors'!B64</f>
        <v>0.167123287671233</v>
      </c>
      <c r="C63" s="6">
        <f>EXP(-r_free*(('2_Discount_Factors'!B63+'2_Discount_Factors'!B64)/2))</f>
        <v>0.995039740181987</v>
      </c>
      <c r="D63" s="6">
        <f>'3_Survival_Probs'!D63</f>
        <v>0.998096903055597</v>
      </c>
      <c r="E63" s="6">
        <f>'3_Survival_Probs'!D64</f>
        <v>0.998065215476857</v>
      </c>
      <c r="F63" s="8">
        <f t="shared" si="0"/>
        <v>3.16875787399473e-5</v>
      </c>
      <c r="G63" s="29">
        <f>(1-recovery)*notional*C63*F63</f>
        <v>189.182400698361</v>
      </c>
      <c r="H63" s="8">
        <f t="shared" si="1"/>
        <v>5.2694641290411e-6</v>
      </c>
      <c r="I63" s="30"/>
      <c r="J63" s="31"/>
    </row>
    <row r="64" spans="1:10">
      <c r="A64" s="10">
        <v>62</v>
      </c>
      <c r="B64" s="12">
        <f>'2_Discount_Factors'!B65</f>
        <v>0.16986301369863</v>
      </c>
      <c r="C64" s="12">
        <f>EXP(-r_free*(('2_Discount_Factors'!B64+'2_Discount_Factors'!B65)/2))</f>
        <v>0.994957959454651</v>
      </c>
      <c r="D64" s="12">
        <f>'3_Survival_Probs'!D64</f>
        <v>0.998065215476857</v>
      </c>
      <c r="E64" s="12">
        <f>'3_Survival_Probs'!D65</f>
        <v>0.998033528904134</v>
      </c>
      <c r="F64" s="14">
        <f t="shared" si="0"/>
        <v>3.16865727227889e-5</v>
      </c>
      <c r="G64" s="32">
        <f>(1-recovery)*notional*C64*F64</f>
        <v>189.160846430264</v>
      </c>
      <c r="H64" s="14">
        <f t="shared" si="1"/>
        <v>5.35523857473808e-6</v>
      </c>
      <c r="I64" s="33"/>
      <c r="J64" s="31"/>
    </row>
    <row r="65" spans="1:10">
      <c r="A65" s="4">
        <v>63</v>
      </c>
      <c r="B65" s="6">
        <f>'2_Discount_Factors'!B66</f>
        <v>0.172602739726027</v>
      </c>
      <c r="C65" s="6">
        <f>EXP(-r_free*(('2_Discount_Factors'!B65+'2_Discount_Factors'!B66)/2))</f>
        <v>0.994876185448742</v>
      </c>
      <c r="D65" s="6">
        <f>'3_Survival_Probs'!D65</f>
        <v>0.998033528904134</v>
      </c>
      <c r="E65" s="6">
        <f>'3_Survival_Probs'!D66</f>
        <v>0.998001843337397</v>
      </c>
      <c r="F65" s="8">
        <f t="shared" si="0"/>
        <v>3.16855667374938e-5</v>
      </c>
      <c r="G65" s="29">
        <f>(1-recovery)*notional*C65*F65</f>
        <v>189.139294617476</v>
      </c>
      <c r="H65" s="8">
        <f t="shared" si="1"/>
        <v>5.44099340680411e-6</v>
      </c>
      <c r="I65" s="30"/>
      <c r="J65" s="31"/>
    </row>
    <row r="66" spans="1:10">
      <c r="A66" s="10">
        <v>64</v>
      </c>
      <c r="B66" s="12">
        <f>'2_Discount_Factors'!B67</f>
        <v>0.175342465753425</v>
      </c>
      <c r="C66" s="12">
        <f>EXP(-r_free*(('2_Discount_Factors'!B66+'2_Discount_Factors'!B67)/2))</f>
        <v>0.994794418163708</v>
      </c>
      <c r="D66" s="12">
        <f>'3_Survival_Probs'!D66</f>
        <v>0.998001843337397</v>
      </c>
      <c r="E66" s="12">
        <f>'3_Survival_Probs'!D67</f>
        <v>0.997970158776612</v>
      </c>
      <c r="F66" s="14">
        <f t="shared" si="0"/>
        <v>3.16845607841731e-5</v>
      </c>
      <c r="G66" s="32">
        <f>(1-recovery)*notional*C66*F66</f>
        <v>189.117745260385</v>
      </c>
      <c r="H66" s="14">
        <f t="shared" si="1"/>
        <v>5.52672862861399e-6</v>
      </c>
      <c r="I66" s="33"/>
      <c r="J66" s="31"/>
    </row>
    <row r="67" spans="1:10">
      <c r="A67" s="4">
        <v>65</v>
      </c>
      <c r="B67" s="6">
        <f>'2_Discount_Factors'!B68</f>
        <v>0.178082191780822</v>
      </c>
      <c r="C67" s="6">
        <f>EXP(-r_free*(('2_Discount_Factors'!B67+'2_Discount_Factors'!B68)/2))</f>
        <v>0.994712657598997</v>
      </c>
      <c r="D67" s="6">
        <f>'3_Survival_Probs'!D67</f>
        <v>0.997970158776612</v>
      </c>
      <c r="E67" s="6">
        <f>'3_Survival_Probs'!D68</f>
        <v>0.99793847522175</v>
      </c>
      <c r="F67" s="8">
        <f t="shared" ref="F67:F130" si="2">D67-E67</f>
        <v>3.16835548628269e-5</v>
      </c>
      <c r="G67" s="29">
        <f>(1-recovery)*notional*C67*F67</f>
        <v>189.096198358717</v>
      </c>
      <c r="H67" s="8">
        <f t="shared" ref="H67:H93" si="3">C67*(B67-0)*F67</f>
        <v>5.61244424352357e-6</v>
      </c>
      <c r="I67" s="30"/>
      <c r="J67" s="31"/>
    </row>
    <row r="68" spans="1:10">
      <c r="A68" s="10">
        <v>66</v>
      </c>
      <c r="B68" s="12">
        <f>'2_Discount_Factors'!B69</f>
        <v>0.180821917808219</v>
      </c>
      <c r="C68" s="12">
        <f>EXP(-r_free*(('2_Discount_Factors'!B68+'2_Discount_Factors'!B69)/2))</f>
        <v>0.994630903754056</v>
      </c>
      <c r="D68" s="12">
        <f>'3_Survival_Probs'!D68</f>
        <v>0.99793847522175</v>
      </c>
      <c r="E68" s="12">
        <f>'3_Survival_Probs'!D69</f>
        <v>0.997906792672776</v>
      </c>
      <c r="F68" s="14">
        <f t="shared" si="2"/>
        <v>3.16825489733441e-5</v>
      </c>
      <c r="G68" s="32">
        <f>(1-recovery)*notional*C68*F68</f>
        <v>189.074653911536</v>
      </c>
      <c r="H68" s="14">
        <f t="shared" si="3"/>
        <v>5.69814025486821e-6</v>
      </c>
      <c r="I68" s="33"/>
      <c r="J68" s="31"/>
    </row>
    <row r="69" spans="1:10">
      <c r="A69" s="4">
        <v>67</v>
      </c>
      <c r="B69" s="6">
        <f>'2_Discount_Factors'!B70</f>
        <v>0.183561643835616</v>
      </c>
      <c r="C69" s="6">
        <f>EXP(-r_free*(('2_Discount_Factors'!B69+'2_Discount_Factors'!B70)/2))</f>
        <v>0.994549156628332</v>
      </c>
      <c r="D69" s="6">
        <f>'3_Survival_Probs'!D69</f>
        <v>0.997906792672776</v>
      </c>
      <c r="E69" s="6">
        <f>'3_Survival_Probs'!D70</f>
        <v>0.99787511112966</v>
      </c>
      <c r="F69" s="8">
        <f t="shared" si="2"/>
        <v>3.16815431158357e-5</v>
      </c>
      <c r="G69" s="29">
        <f>(1-recovery)*notional*C69*F69</f>
        <v>189.053111919231</v>
      </c>
      <c r="H69" s="8">
        <f t="shared" si="3"/>
        <v>5.78381666602215e-6</v>
      </c>
      <c r="I69" s="30"/>
      <c r="J69" s="31"/>
    </row>
    <row r="70" spans="1:10">
      <c r="A70" s="10">
        <v>68</v>
      </c>
      <c r="B70" s="12">
        <f>'2_Discount_Factors'!B71</f>
        <v>0.186301369863014</v>
      </c>
      <c r="C70" s="12">
        <f>EXP(-r_free*(('2_Discount_Factors'!B70+'2_Discount_Factors'!B71)/2))</f>
        <v>0.994467416221275</v>
      </c>
      <c r="D70" s="12">
        <f>'3_Survival_Probs'!D70</f>
        <v>0.99787511112966</v>
      </c>
      <c r="E70" s="12">
        <f>'3_Survival_Probs'!D71</f>
        <v>0.99784343059237</v>
      </c>
      <c r="F70" s="14">
        <f t="shared" si="2"/>
        <v>3.16805372903017e-5</v>
      </c>
      <c r="G70" s="32">
        <f>(1-recovery)*notional*C70*F70</f>
        <v>189.031572381529</v>
      </c>
      <c r="H70" s="14">
        <f t="shared" si="3"/>
        <v>5.8694734803397e-6</v>
      </c>
      <c r="I70" s="33"/>
      <c r="J70" s="31"/>
    </row>
    <row r="71" spans="1:10">
      <c r="A71" s="4">
        <v>69</v>
      </c>
      <c r="B71" s="6">
        <f>'2_Discount_Factors'!B72</f>
        <v>0.189041095890411</v>
      </c>
      <c r="C71" s="6">
        <f>EXP(-r_free*(('2_Discount_Factors'!B71+'2_Discount_Factors'!B72)/2))</f>
        <v>0.994385682532331</v>
      </c>
      <c r="D71" s="6">
        <f>'3_Survival_Probs'!D71</f>
        <v>0.99784343059237</v>
      </c>
      <c r="E71" s="6">
        <f>'3_Survival_Probs'!D72</f>
        <v>0.997811751060873</v>
      </c>
      <c r="F71" s="8">
        <f t="shared" si="2"/>
        <v>3.16795314966312e-5</v>
      </c>
      <c r="G71" s="29">
        <f>(1-recovery)*notional*C71*F71</f>
        <v>189.010035297492</v>
      </c>
      <c r="H71" s="8">
        <f t="shared" si="3"/>
        <v>5.95511070115387e-6</v>
      </c>
      <c r="I71" s="30"/>
      <c r="J71" s="31"/>
    </row>
    <row r="72" spans="1:10">
      <c r="A72" s="10">
        <v>70</v>
      </c>
      <c r="B72" s="12">
        <f>'2_Discount_Factors'!B73</f>
        <v>0.191780821917808</v>
      </c>
      <c r="C72" s="12">
        <f>EXP(-r_free*(('2_Discount_Factors'!B72+'2_Discount_Factors'!B73)/2))</f>
        <v>0.994303955560949</v>
      </c>
      <c r="D72" s="12">
        <f>'3_Survival_Probs'!D72</f>
        <v>0.997811751060873</v>
      </c>
      <c r="E72" s="12">
        <f>'3_Survival_Probs'!D73</f>
        <v>0.997780072535139</v>
      </c>
      <c r="F72" s="14">
        <f t="shared" si="2"/>
        <v>3.1678525734935e-5</v>
      </c>
      <c r="G72" s="32">
        <f>(1-recovery)*notional*C72*F72</f>
        <v>188.988500667511</v>
      </c>
      <c r="H72" s="14">
        <f t="shared" si="3"/>
        <v>6.04072833183826e-6</v>
      </c>
      <c r="I72" s="33"/>
      <c r="J72" s="31"/>
    </row>
    <row r="73" spans="1:10">
      <c r="A73" s="4">
        <v>71</v>
      </c>
      <c r="B73" s="6">
        <f>'2_Discount_Factors'!B74</f>
        <v>0.194520547945205</v>
      </c>
      <c r="C73" s="6">
        <f>EXP(-r_free*(('2_Discount_Factors'!B73+'2_Discount_Factors'!B74)/2))</f>
        <v>0.994222235306575</v>
      </c>
      <c r="D73" s="6">
        <f>'3_Survival_Probs'!D73</f>
        <v>0.997780072535139</v>
      </c>
      <c r="E73" s="6">
        <f>'3_Survival_Probs'!D74</f>
        <v>0.997748395015133</v>
      </c>
      <c r="F73" s="8">
        <f t="shared" si="2"/>
        <v>3.16775200052133e-5</v>
      </c>
      <c r="G73" s="29">
        <f>(1-recovery)*notional*C73*F73</f>
        <v>188.966968491311</v>
      </c>
      <c r="H73" s="8">
        <f t="shared" si="3"/>
        <v>6.12632637574572e-6</v>
      </c>
      <c r="I73" s="30"/>
      <c r="J73" s="31"/>
    </row>
    <row r="74" spans="1:10">
      <c r="A74" s="10">
        <v>72</v>
      </c>
      <c r="B74" s="12">
        <f>'2_Discount_Factors'!B75</f>
        <v>0.197260273972603</v>
      </c>
      <c r="C74" s="12">
        <f>EXP(-r_free*(('2_Discount_Factors'!B74+'2_Discount_Factors'!B75)/2))</f>
        <v>0.99414052176866</v>
      </c>
      <c r="D74" s="12">
        <f>'3_Survival_Probs'!D74</f>
        <v>0.997748395015133</v>
      </c>
      <c r="E74" s="12">
        <f>'3_Survival_Probs'!D75</f>
        <v>0.997716718500826</v>
      </c>
      <c r="F74" s="14">
        <f t="shared" si="2"/>
        <v>3.1676514307355e-5</v>
      </c>
      <c r="G74" s="32">
        <f>(1-recovery)*notional*C74*F74</f>
        <v>188.945438767958</v>
      </c>
      <c r="H74" s="14">
        <f t="shared" si="3"/>
        <v>6.21190483620683e-6</v>
      </c>
      <c r="I74" s="33"/>
      <c r="J74" s="31"/>
    </row>
    <row r="75" spans="1:10">
      <c r="A75" s="4">
        <v>73</v>
      </c>
      <c r="B75" s="6">
        <f>'2_Discount_Factors'!B76</f>
        <v>0.2</v>
      </c>
      <c r="C75" s="6">
        <f>EXP(-r_free*(('2_Discount_Factors'!B75+'2_Discount_Factors'!B76)/2))</f>
        <v>0.994058814946649</v>
      </c>
      <c r="D75" s="6">
        <f>'3_Survival_Probs'!D75</f>
        <v>0.997716718500826</v>
      </c>
      <c r="E75" s="6">
        <f>'3_Survival_Probs'!D76</f>
        <v>0.997685042992185</v>
      </c>
      <c r="F75" s="8">
        <f t="shared" si="2"/>
        <v>3.167550864136e-5</v>
      </c>
      <c r="G75" s="29">
        <f>(1-recovery)*notional*C75*F75</f>
        <v>188.923911497176</v>
      </c>
      <c r="H75" s="8">
        <f t="shared" si="3"/>
        <v>6.29746371657254e-6</v>
      </c>
      <c r="I75" s="30"/>
      <c r="J75" s="31"/>
    </row>
    <row r="76" spans="1:10">
      <c r="A76" s="10">
        <v>74</v>
      </c>
      <c r="B76" s="12">
        <f>'2_Discount_Factors'!B77</f>
        <v>0.202739726027397</v>
      </c>
      <c r="C76" s="12">
        <f>EXP(-r_free*(('2_Discount_Factors'!B76+'2_Discount_Factors'!B77)/2))</f>
        <v>0.993977114839991</v>
      </c>
      <c r="D76" s="12">
        <f>'3_Survival_Probs'!D76</f>
        <v>0.997685042992185</v>
      </c>
      <c r="E76" s="12">
        <f>'3_Survival_Probs'!D77</f>
        <v>0.997653368489177</v>
      </c>
      <c r="F76" s="14">
        <f t="shared" si="2"/>
        <v>3.16745030073395e-5</v>
      </c>
      <c r="G76" s="32">
        <f>(1-recovery)*notional*C76*F76</f>
        <v>188.902386679356</v>
      </c>
      <c r="H76" s="14">
        <f t="shared" si="3"/>
        <v>6.38300302021568e-6</v>
      </c>
      <c r="I76" s="33"/>
      <c r="J76" s="31"/>
    </row>
    <row r="77" spans="1:10">
      <c r="A77" s="4">
        <v>75</v>
      </c>
      <c r="B77" s="6">
        <f>'2_Discount_Factors'!B78</f>
        <v>0.205479452054795</v>
      </c>
      <c r="C77" s="6">
        <f>EXP(-r_free*(('2_Discount_Factors'!B77+'2_Discount_Factors'!B78)/2))</f>
        <v>0.993895421448135</v>
      </c>
      <c r="D77" s="6">
        <f>'3_Survival_Probs'!D77</f>
        <v>0.997653368489177</v>
      </c>
      <c r="E77" s="6">
        <f>'3_Survival_Probs'!D78</f>
        <v>0.997621694991772</v>
      </c>
      <c r="F77" s="8">
        <f t="shared" si="2"/>
        <v>3.16734974052935e-5</v>
      </c>
      <c r="G77" s="29">
        <f>(1-recovery)*notional*C77*F77</f>
        <v>188.880864314223</v>
      </c>
      <c r="H77" s="8">
        <f t="shared" si="3"/>
        <v>6.4685227504871e-6</v>
      </c>
      <c r="I77" s="30"/>
      <c r="J77" s="31"/>
    </row>
    <row r="78" spans="1:10">
      <c r="A78" s="10">
        <v>76</v>
      </c>
      <c r="B78" s="12">
        <f>'2_Discount_Factors'!B79</f>
        <v>0.208219178082192</v>
      </c>
      <c r="C78" s="12">
        <f>EXP(-r_free*(('2_Discount_Factors'!B78+'2_Discount_Factors'!B79)/2))</f>
        <v>0.993813734770528</v>
      </c>
      <c r="D78" s="12">
        <f>'3_Survival_Probs'!D78</f>
        <v>0.997621694991772</v>
      </c>
      <c r="E78" s="12">
        <f>'3_Survival_Probs'!D79</f>
        <v>0.997590022499937</v>
      </c>
      <c r="F78" s="14">
        <f t="shared" si="2"/>
        <v>3.16724918352218e-5</v>
      </c>
      <c r="G78" s="32">
        <f>(1-recovery)*notional*C78*F78</f>
        <v>188.859344401505</v>
      </c>
      <c r="H78" s="14">
        <f t="shared" si="3"/>
        <v>6.55402291073716e-6</v>
      </c>
      <c r="I78" s="33"/>
      <c r="J78" s="31"/>
    </row>
    <row r="79" spans="1:10">
      <c r="A79" s="4">
        <v>77</v>
      </c>
      <c r="B79" s="6">
        <f>'2_Discount_Factors'!B80</f>
        <v>0.210958904109589</v>
      </c>
      <c r="C79" s="6">
        <f>EXP(-r_free*(('2_Discount_Factors'!B79+'2_Discount_Factors'!B80)/2))</f>
        <v>0.993732054806619</v>
      </c>
      <c r="D79" s="6">
        <f>'3_Survival_Probs'!D79</f>
        <v>0.997590022499937</v>
      </c>
      <c r="E79" s="6">
        <f>'3_Survival_Probs'!D80</f>
        <v>0.99755835101364</v>
      </c>
      <c r="F79" s="8">
        <f t="shared" si="2"/>
        <v>3.16714862970136e-5</v>
      </c>
      <c r="G79" s="29">
        <f>(1-recovery)*notional*C79*F79</f>
        <v>188.837826940266</v>
      </c>
      <c r="H79" s="8">
        <f t="shared" si="3"/>
        <v>6.63950350429245e-6</v>
      </c>
      <c r="I79" s="30"/>
      <c r="J79" s="31"/>
    </row>
    <row r="80" spans="1:10">
      <c r="A80" s="10">
        <v>78</v>
      </c>
      <c r="B80" s="12">
        <f>'2_Discount_Factors'!B81</f>
        <v>0.213698630136986</v>
      </c>
      <c r="C80" s="12">
        <f>EXP(-r_free*(('2_Discount_Factors'!B80+'2_Discount_Factors'!B81)/2))</f>
        <v>0.993650381555855</v>
      </c>
      <c r="D80" s="12">
        <f>'3_Survival_Probs'!D80</f>
        <v>0.99755835101364</v>
      </c>
      <c r="E80" s="12">
        <f>'3_Survival_Probs'!D81</f>
        <v>0.997526680532849</v>
      </c>
      <c r="F80" s="14">
        <f t="shared" si="2"/>
        <v>3.16704807906687e-5</v>
      </c>
      <c r="G80" s="32">
        <f>(1-recovery)*notional*C80*F80</f>
        <v>188.816311930232</v>
      </c>
      <c r="H80" s="14">
        <f t="shared" si="3"/>
        <v>6.72496453450142e-6</v>
      </c>
      <c r="I80" s="33"/>
      <c r="J80" s="31"/>
    </row>
    <row r="81" spans="1:10">
      <c r="A81" s="4">
        <v>79</v>
      </c>
      <c r="B81" s="6">
        <f>'2_Discount_Factors'!B82</f>
        <v>0.216438356164384</v>
      </c>
      <c r="C81" s="6">
        <f>EXP(-r_free*(('2_Discount_Factors'!B81+'2_Discount_Factors'!B82)/2))</f>
        <v>0.993568715017686</v>
      </c>
      <c r="D81" s="6">
        <f>'3_Survival_Probs'!D81</f>
        <v>0.997526680532849</v>
      </c>
      <c r="E81" s="6">
        <f>'3_Survival_Probs'!D82</f>
        <v>0.997495011057533</v>
      </c>
      <c r="F81" s="8">
        <f t="shared" si="2"/>
        <v>3.16694753162983e-5</v>
      </c>
      <c r="G81" s="29">
        <f>(1-recovery)*notional*C81*F81</f>
        <v>188.794799371793</v>
      </c>
      <c r="H81" s="8">
        <f t="shared" si="3"/>
        <v>6.8104060047359e-6</v>
      </c>
      <c r="I81" s="30"/>
      <c r="J81" s="31"/>
    </row>
    <row r="82" spans="1:10">
      <c r="A82" s="10">
        <v>80</v>
      </c>
      <c r="B82" s="12">
        <f>'2_Discount_Factors'!B83</f>
        <v>0.219178082191781</v>
      </c>
      <c r="C82" s="12">
        <f>EXP(-r_free*(('2_Discount_Factors'!B82+'2_Discount_Factors'!B83)/2))</f>
        <v>0.993487055191559</v>
      </c>
      <c r="D82" s="12">
        <f>'3_Survival_Probs'!D82</f>
        <v>0.997495011057533</v>
      </c>
      <c r="E82" s="12">
        <f>'3_Survival_Probs'!D83</f>
        <v>0.997463342587659</v>
      </c>
      <c r="F82" s="14">
        <f t="shared" si="2"/>
        <v>3.16684698739023e-5</v>
      </c>
      <c r="G82" s="32">
        <f>(1-recovery)*notional*C82*F82</f>
        <v>188.773289264675</v>
      </c>
      <c r="H82" s="14">
        <f t="shared" si="3"/>
        <v>6.89582791834428e-6</v>
      </c>
      <c r="I82" s="33"/>
      <c r="J82" s="31"/>
    </row>
    <row r="83" spans="1:10">
      <c r="A83" s="4">
        <v>81</v>
      </c>
      <c r="B83" s="6">
        <f>'2_Discount_Factors'!B84</f>
        <v>0.221917808219178</v>
      </c>
      <c r="C83" s="6">
        <f>EXP(-r_free*(('2_Discount_Factors'!B83+'2_Discount_Factors'!B84)/2))</f>
        <v>0.993405402076923</v>
      </c>
      <c r="D83" s="6">
        <f>'3_Survival_Probs'!D83</f>
        <v>0.997463342587659</v>
      </c>
      <c r="E83" s="6">
        <f>'3_Survival_Probs'!D84</f>
        <v>0.997431675123196</v>
      </c>
      <c r="F83" s="8">
        <f t="shared" si="2"/>
        <v>3.16674644633697e-5</v>
      </c>
      <c r="G83" s="29">
        <f>(1-recovery)*notional*C83*F83</f>
        <v>188.751781607942</v>
      </c>
      <c r="H83" s="8">
        <f t="shared" si="3"/>
        <v>6.98123027864992e-6</v>
      </c>
      <c r="I83" s="30"/>
      <c r="J83" s="31"/>
    </row>
    <row r="84" spans="1:10">
      <c r="A84" s="10">
        <v>82</v>
      </c>
      <c r="B84" s="12">
        <f>'2_Discount_Factors'!B85</f>
        <v>0.224657534246575</v>
      </c>
      <c r="C84" s="12">
        <f>EXP(-r_free*(('2_Discount_Factors'!B84+'2_Discount_Factors'!B85)/2))</f>
        <v>0.993323755673226</v>
      </c>
      <c r="D84" s="12">
        <f>'3_Survival_Probs'!D84</f>
        <v>0.997431675123196</v>
      </c>
      <c r="E84" s="12">
        <f>'3_Survival_Probs'!D85</f>
        <v>0.997400008664111</v>
      </c>
      <c r="F84" s="14">
        <f t="shared" si="2"/>
        <v>3.16664590847004e-5</v>
      </c>
      <c r="G84" s="32">
        <f>(1-recovery)*notional*C84*F84</f>
        <v>188.730276401323</v>
      </c>
      <c r="H84" s="14">
        <f t="shared" si="3"/>
        <v>7.06661308899931e-6</v>
      </c>
      <c r="I84" s="33"/>
      <c r="J84" s="31"/>
    </row>
    <row r="85" spans="1:10">
      <c r="A85" s="4">
        <v>83</v>
      </c>
      <c r="B85" s="6">
        <f>'2_Discount_Factors'!B86</f>
        <v>0.227397260273973</v>
      </c>
      <c r="C85" s="6">
        <f>EXP(-r_free*(('2_Discount_Factors'!B85+'2_Discount_Factors'!B86)/2))</f>
        <v>0.993242115979916</v>
      </c>
      <c r="D85" s="6">
        <f>'3_Survival_Probs'!D85</f>
        <v>0.997400008664111</v>
      </c>
      <c r="E85" s="6">
        <f>'3_Survival_Probs'!D86</f>
        <v>0.997368343210373</v>
      </c>
      <c r="F85" s="8">
        <f t="shared" si="2"/>
        <v>3.16654537380057e-5</v>
      </c>
      <c r="G85" s="29">
        <f>(1-recovery)*notional*C85*F85</f>
        <v>188.708773645205</v>
      </c>
      <c r="H85" s="8">
        <f t="shared" si="3"/>
        <v>7.15197635276349e-6</v>
      </c>
      <c r="I85" s="30"/>
      <c r="J85" s="31"/>
    </row>
    <row r="86" spans="1:10">
      <c r="A86" s="10">
        <v>84</v>
      </c>
      <c r="B86" s="12">
        <f>'2_Discount_Factors'!B87</f>
        <v>0.23013698630137</v>
      </c>
      <c r="C86" s="12">
        <f>EXP(-r_free*(('2_Discount_Factors'!B86+'2_Discount_Factors'!B87)/2))</f>
        <v>0.993160482996442</v>
      </c>
      <c r="D86" s="12">
        <f>'3_Survival_Probs'!D86</f>
        <v>0.997368343210373</v>
      </c>
      <c r="E86" s="12">
        <f>'3_Survival_Probs'!D87</f>
        <v>0.99733667876195</v>
      </c>
      <c r="F86" s="14">
        <f t="shared" si="2"/>
        <v>3.16644484232853e-5</v>
      </c>
      <c r="G86" s="32">
        <f>(1-recovery)*notional*C86*F86</f>
        <v>188.687273339316</v>
      </c>
      <c r="H86" s="14">
        <f t="shared" si="3"/>
        <v>7.23732007328883e-6</v>
      </c>
      <c r="I86" s="33"/>
      <c r="J86" s="31"/>
    </row>
    <row r="87" spans="1:10">
      <c r="A87" s="4">
        <v>85</v>
      </c>
      <c r="B87" s="6">
        <f>'2_Discount_Factors'!B88</f>
        <v>0.232876712328767</v>
      </c>
      <c r="C87" s="6">
        <f>EXP(-r_free*(('2_Discount_Factors'!B87+'2_Discount_Factors'!B88)/2))</f>
        <v>0.993078856722253</v>
      </c>
      <c r="D87" s="6">
        <f>'3_Survival_Probs'!D87</f>
        <v>0.99733667876195</v>
      </c>
      <c r="E87" s="6">
        <f>'3_Survival_Probs'!D88</f>
        <v>0.997305015318809</v>
      </c>
      <c r="F87" s="8">
        <f t="shared" si="2"/>
        <v>3.16634431404283e-5</v>
      </c>
      <c r="G87" s="29">
        <f>(1-recovery)*notional*C87*F87</f>
        <v>188.66577548272</v>
      </c>
      <c r="H87" s="8">
        <f t="shared" si="3"/>
        <v>7.32264425389552e-6</v>
      </c>
      <c r="I87" s="30"/>
      <c r="J87" s="31"/>
    </row>
    <row r="88" spans="1:10">
      <c r="A88" s="10">
        <v>86</v>
      </c>
      <c r="B88" s="12">
        <f>'2_Discount_Factors'!B89</f>
        <v>0.235616438356164</v>
      </c>
      <c r="C88" s="12">
        <f>EXP(-r_free*(('2_Discount_Factors'!B88+'2_Discount_Factors'!B89)/2))</f>
        <v>0.992997237156797</v>
      </c>
      <c r="D88" s="12">
        <f>'3_Survival_Probs'!D88</f>
        <v>0.997305015318809</v>
      </c>
      <c r="E88" s="12">
        <f>'3_Survival_Probs'!D89</f>
        <v>0.99727335288092</v>
      </c>
      <c r="F88" s="14">
        <f t="shared" si="2"/>
        <v>3.16624378894348e-5</v>
      </c>
      <c r="G88" s="32">
        <f>(1-recovery)*notional*C88*F88</f>
        <v>188.644280075145</v>
      </c>
      <c r="H88" s="14">
        <f t="shared" si="3"/>
        <v>7.40794889792805e-6</v>
      </c>
      <c r="I88" s="33"/>
      <c r="J88" s="31"/>
    </row>
    <row r="89" spans="1:10">
      <c r="A89" s="4">
        <v>87</v>
      </c>
      <c r="B89" s="6">
        <f>'2_Discount_Factors'!B90</f>
        <v>0.238356164383562</v>
      </c>
      <c r="C89" s="6">
        <f>EXP(-r_free*(('2_Discount_Factors'!B89+'2_Discount_Factors'!B90)/2))</f>
        <v>0.992915624299523</v>
      </c>
      <c r="D89" s="6">
        <f>'3_Survival_Probs'!D89</f>
        <v>0.99727335288092</v>
      </c>
      <c r="E89" s="6">
        <f>'3_Survival_Probs'!D90</f>
        <v>0.997241691448249</v>
      </c>
      <c r="F89" s="8">
        <f t="shared" si="2"/>
        <v>3.16614326704157e-5</v>
      </c>
      <c r="G89" s="29">
        <f>(1-recovery)*notional*C89*F89</f>
        <v>188.622787116978</v>
      </c>
      <c r="H89" s="8">
        <f t="shared" si="3"/>
        <v>7.49323400875668e-6</v>
      </c>
      <c r="I89" s="30"/>
      <c r="J89" s="31"/>
    </row>
    <row r="90" spans="1:10">
      <c r="A90" s="10">
        <v>88</v>
      </c>
      <c r="B90" s="12">
        <f>'2_Discount_Factors'!B91</f>
        <v>0.241095890410959</v>
      </c>
      <c r="C90" s="12">
        <f>EXP(-r_free*(('2_Discount_Factors'!B90+'2_Discount_Factors'!B91)/2))</f>
        <v>0.992834018149879</v>
      </c>
      <c r="D90" s="12">
        <f>'3_Survival_Probs'!D90</f>
        <v>0.997241691448249</v>
      </c>
      <c r="E90" s="12">
        <f>'3_Survival_Probs'!D91</f>
        <v>0.997210031020766</v>
      </c>
      <c r="F90" s="14">
        <f t="shared" si="2"/>
        <v>3.16604274833709e-5</v>
      </c>
      <c r="G90" s="32">
        <f>(1-recovery)*notional*C90*F90</f>
        <v>188.601296607948</v>
      </c>
      <c r="H90" s="14">
        <f t="shared" si="3"/>
        <v>7.57849958972578e-6</v>
      </c>
      <c r="I90" s="33"/>
      <c r="J90" s="31"/>
    </row>
    <row r="91" spans="1:10">
      <c r="A91" s="4">
        <v>89</v>
      </c>
      <c r="B91" s="6">
        <f>'2_Discount_Factors'!B92</f>
        <v>0.243835616438356</v>
      </c>
      <c r="C91" s="6">
        <f>EXP(-r_free*(('2_Discount_Factors'!B91+'2_Discount_Factors'!B92)/2))</f>
        <v>0.992752418707315</v>
      </c>
      <c r="D91" s="6">
        <f>'3_Survival_Probs'!D91</f>
        <v>0.997210031020766</v>
      </c>
      <c r="E91" s="6">
        <f>'3_Survival_Probs'!D92</f>
        <v>0.997178371598438</v>
      </c>
      <c r="F91" s="8">
        <f t="shared" si="2"/>
        <v>3.16594223281896e-5</v>
      </c>
      <c r="G91" s="29">
        <f>(1-recovery)*notional*C91*F91</f>
        <v>188.57980854712</v>
      </c>
      <c r="H91" s="8">
        <f t="shared" si="3"/>
        <v>7.66374564415235e-6</v>
      </c>
      <c r="I91" s="30"/>
      <c r="J91" s="31"/>
    </row>
    <row r="92" spans="1:10">
      <c r="A92" s="10">
        <v>90</v>
      </c>
      <c r="B92" s="12">
        <f>'2_Discount_Factors'!B93</f>
        <v>0.246575342465753</v>
      </c>
      <c r="C92" s="12">
        <f>EXP(-r_free*(('2_Discount_Factors'!B92+'2_Discount_Factors'!B93)/2))</f>
        <v>0.992670825971278</v>
      </c>
      <c r="D92" s="12">
        <f>'3_Survival_Probs'!D92</f>
        <v>0.997178371598438</v>
      </c>
      <c r="E92" s="12">
        <f>'3_Survival_Probs'!D93</f>
        <v>0.997146713181233</v>
      </c>
      <c r="F92" s="14">
        <f t="shared" si="2"/>
        <v>3.16584172048717e-5</v>
      </c>
      <c r="G92" s="32">
        <f>(1-recovery)*notional*C92*F92</f>
        <v>188.55832293422</v>
      </c>
      <c r="H92" s="14">
        <f t="shared" si="3"/>
        <v>7.7489721753789e-6</v>
      </c>
      <c r="I92" s="33"/>
      <c r="J92" s="31"/>
    </row>
    <row r="93" spans="1:10">
      <c r="A93" s="34">
        <v>91</v>
      </c>
      <c r="B93" s="35">
        <f>'2_Discount_Factors'!B94</f>
        <v>0.249315068493151</v>
      </c>
      <c r="C93" s="35">
        <f>EXP(-r_free*(('2_Discount_Factors'!B93+'2_Discount_Factors'!B94)/2))</f>
        <v>0.992589239941218</v>
      </c>
      <c r="D93" s="35">
        <f>'3_Survival_Probs'!D93</f>
        <v>0.997146713181233</v>
      </c>
      <c r="E93" s="35">
        <f>'3_Survival_Probs'!D94</f>
        <v>0.997115055769119</v>
      </c>
      <c r="F93" s="36">
        <f t="shared" si="2"/>
        <v>3.16574121135282e-5</v>
      </c>
      <c r="G93" s="37">
        <f>(1-recovery)*notional*C93*F93</f>
        <v>188.536839769637</v>
      </c>
      <c r="H93" s="36">
        <f t="shared" si="3"/>
        <v>7.83417918677489e-6</v>
      </c>
      <c r="I93" s="38" t="s">
        <v>71</v>
      </c>
      <c r="J93" s="31"/>
    </row>
    <row r="94" spans="1:10">
      <c r="A94" s="10">
        <v>92</v>
      </c>
      <c r="B94" s="12">
        <f>'2_Discount_Factors'!B95</f>
        <v>0.252054794520548</v>
      </c>
      <c r="C94" s="12">
        <f>EXP(-r_free*(('2_Discount_Factors'!B94+'2_Discount_Factors'!B95)/2))</f>
        <v>0.992507660616583</v>
      </c>
      <c r="D94" s="12">
        <f>'3_Survival_Probs'!D94</f>
        <v>0.997115055769119</v>
      </c>
      <c r="E94" s="12">
        <f>'3_Survival_Probs'!D95</f>
        <v>0.997083399362065</v>
      </c>
      <c r="F94" s="14">
        <f t="shared" si="2"/>
        <v>3.16564070540482e-5</v>
      </c>
      <c r="G94" s="32">
        <f>(1-recovery)*notional*C94*F94</f>
        <v>188.515359052438</v>
      </c>
      <c r="H94" s="14">
        <f t="shared" ref="H94:H157" si="4">C94*(B94-0.249315068493151)*F94</f>
        <v>8.60800726266749e-8</v>
      </c>
      <c r="I94" s="33"/>
      <c r="J94" s="31"/>
    </row>
    <row r="95" spans="1:10">
      <c r="A95" s="4">
        <v>93</v>
      </c>
      <c r="B95" s="6">
        <f>'2_Discount_Factors'!B96</f>
        <v>0.254794520547945</v>
      </c>
      <c r="C95" s="6">
        <f>EXP(-r_free*(('2_Discount_Factors'!B95+'2_Discount_Factors'!B96)/2))</f>
        <v>0.992426087996823</v>
      </c>
      <c r="D95" s="6">
        <f>'3_Survival_Probs'!D95</f>
        <v>0.997083399362065</v>
      </c>
      <c r="E95" s="6">
        <f>'3_Survival_Probs'!D96</f>
        <v>0.997051743960039</v>
      </c>
      <c r="F95" s="8">
        <f t="shared" si="2"/>
        <v>3.16554020264315e-5</v>
      </c>
      <c r="G95" s="29">
        <f>(1-recovery)*notional*C95*F95</f>
        <v>188.493880782349</v>
      </c>
      <c r="H95" s="8">
        <f t="shared" si="4"/>
        <v>1.72140530394829e-7</v>
      </c>
      <c r="I95" s="30"/>
      <c r="J95" s="31"/>
    </row>
    <row r="96" spans="1:10">
      <c r="A96" s="10">
        <v>94</v>
      </c>
      <c r="B96" s="12">
        <f>'2_Discount_Factors'!B97</f>
        <v>0.257534246575342</v>
      </c>
      <c r="C96" s="12">
        <f>EXP(-r_free*(('2_Discount_Factors'!B96+'2_Discount_Factors'!B97)/2))</f>
        <v>0.992344522081386</v>
      </c>
      <c r="D96" s="12">
        <f>'3_Survival_Probs'!D96</f>
        <v>0.997051743960039</v>
      </c>
      <c r="E96" s="12">
        <f>'3_Survival_Probs'!D97</f>
        <v>0.997020089563008</v>
      </c>
      <c r="F96" s="14">
        <f t="shared" si="2"/>
        <v>3.16543970307892e-5</v>
      </c>
      <c r="G96" s="32">
        <f>(1-recovery)*notional*C96*F96</f>
        <v>188.472404959758</v>
      </c>
      <c r="H96" s="14">
        <f t="shared" si="4"/>
        <v>2.58181376657193e-7</v>
      </c>
      <c r="I96" s="33"/>
      <c r="J96" s="31"/>
    </row>
    <row r="97" spans="1:10">
      <c r="A97" s="4">
        <v>95</v>
      </c>
      <c r="B97" s="6">
        <f>'2_Discount_Factors'!B98</f>
        <v>0.26027397260274</v>
      </c>
      <c r="C97" s="6">
        <f>EXP(-r_free*(('2_Discount_Factors'!B97+'2_Discount_Factors'!B98)/2))</f>
        <v>0.992262962869722</v>
      </c>
      <c r="D97" s="6">
        <f>'3_Survival_Probs'!D97</f>
        <v>0.997020089563008</v>
      </c>
      <c r="E97" s="6">
        <f>'3_Survival_Probs'!D98</f>
        <v>0.996988436170941</v>
      </c>
      <c r="F97" s="8">
        <f t="shared" si="2"/>
        <v>3.16533920671214e-5</v>
      </c>
      <c r="G97" s="29">
        <f>(1-recovery)*notional*C97*F97</f>
        <v>188.450931584393</v>
      </c>
      <c r="H97" s="8">
        <f t="shared" si="4"/>
        <v>3.44202614766004e-7</v>
      </c>
      <c r="I97" s="30"/>
      <c r="J97" s="31"/>
    </row>
    <row r="98" spans="1:10">
      <c r="A98" s="10">
        <v>96</v>
      </c>
      <c r="B98" s="12">
        <f>'2_Discount_Factors'!B99</f>
        <v>0.263013698630137</v>
      </c>
      <c r="C98" s="12">
        <f>EXP(-r_free*(('2_Discount_Factors'!B98+'2_Discount_Factors'!B99)/2))</f>
        <v>0.992181410361279</v>
      </c>
      <c r="D98" s="12">
        <f>'3_Survival_Probs'!D98</f>
        <v>0.996988436170941</v>
      </c>
      <c r="E98" s="12">
        <f>'3_Survival_Probs'!D99</f>
        <v>0.996956783783806</v>
      </c>
      <c r="F98" s="14">
        <f t="shared" si="2"/>
        <v>3.16523871352059e-5</v>
      </c>
      <c r="G98" s="32">
        <f>(1-recovery)*notional*C98*F98</f>
        <v>188.429460654659</v>
      </c>
      <c r="H98" s="14">
        <f t="shared" si="4"/>
        <v>4.30204248069987e-7</v>
      </c>
      <c r="I98" s="33"/>
      <c r="J98" s="31"/>
    </row>
    <row r="99" spans="1:10">
      <c r="A99" s="4">
        <v>97</v>
      </c>
      <c r="B99" s="6">
        <f>'2_Discount_Factors'!B100</f>
        <v>0.265753424657534</v>
      </c>
      <c r="C99" s="6">
        <f>EXP(-r_free*(('2_Discount_Factors'!B99+'2_Discount_Factors'!B100)/2))</f>
        <v>0.992099864555506</v>
      </c>
      <c r="D99" s="6">
        <f>'3_Survival_Probs'!D99</f>
        <v>0.996956783783806</v>
      </c>
      <c r="E99" s="6">
        <f>'3_Survival_Probs'!D100</f>
        <v>0.99692513240157</v>
      </c>
      <c r="F99" s="8">
        <f t="shared" si="2"/>
        <v>3.16513822352649e-5</v>
      </c>
      <c r="G99" s="29">
        <f>(1-recovery)*notional*C99*F99</f>
        <v>188.407992171605</v>
      </c>
      <c r="H99" s="8">
        <f t="shared" si="4"/>
        <v>5.16186279922196e-7</v>
      </c>
      <c r="I99" s="30"/>
      <c r="J99" s="31"/>
    </row>
    <row r="100" spans="1:10">
      <c r="A100" s="10">
        <v>98</v>
      </c>
      <c r="B100" s="12">
        <f>'2_Discount_Factors'!B101</f>
        <v>0.268493150684932</v>
      </c>
      <c r="C100" s="12">
        <f>EXP(-r_free*(('2_Discount_Factors'!B100+'2_Discount_Factors'!B101)/2))</f>
        <v>0.992018325451853</v>
      </c>
      <c r="D100" s="12">
        <f>'3_Survival_Probs'!D100</f>
        <v>0.99692513240157</v>
      </c>
      <c r="E100" s="12">
        <f>'3_Survival_Probs'!D101</f>
        <v>0.996893482024203</v>
      </c>
      <c r="F100" s="14">
        <f t="shared" si="2"/>
        <v>3.16503773672983e-5</v>
      </c>
      <c r="G100" s="32">
        <f>(1-recovery)*notional*C100*F100</f>
        <v>188.386526134959</v>
      </c>
      <c r="H100" s="14">
        <f t="shared" si="4"/>
        <v>6.02148713673375e-7</v>
      </c>
      <c r="I100" s="33"/>
      <c r="J100" s="31"/>
    </row>
    <row r="101" spans="1:10">
      <c r="A101" s="4">
        <v>99</v>
      </c>
      <c r="B101" s="6">
        <f>'2_Discount_Factors'!B102</f>
        <v>0.271232876712329</v>
      </c>
      <c r="C101" s="6">
        <f>EXP(-r_free*(('2_Discount_Factors'!B101+'2_Discount_Factors'!B102)/2))</f>
        <v>0.991936793049769</v>
      </c>
      <c r="D101" s="6">
        <f>'3_Survival_Probs'!D101</f>
        <v>0.996893482024203</v>
      </c>
      <c r="E101" s="6">
        <f>'3_Survival_Probs'!D102</f>
        <v>0.996861832651672</v>
      </c>
      <c r="F101" s="8">
        <f t="shared" si="2"/>
        <v>3.1649372531195e-5</v>
      </c>
      <c r="G101" s="29">
        <f>(1-recovery)*notional*C101*F101</f>
        <v>188.365062543786</v>
      </c>
      <c r="H101" s="8">
        <f t="shared" si="4"/>
        <v>6.88091552671356e-7</v>
      </c>
      <c r="I101" s="30"/>
      <c r="J101" s="31"/>
    </row>
    <row r="102" spans="1:10">
      <c r="A102" s="10">
        <v>100</v>
      </c>
      <c r="B102" s="12">
        <f>'2_Discount_Factors'!B103</f>
        <v>0.273972602739726</v>
      </c>
      <c r="C102" s="12">
        <f>EXP(-r_free*(('2_Discount_Factors'!B102+'2_Discount_Factors'!B103)/2))</f>
        <v>0.991855267348703</v>
      </c>
      <c r="D102" s="12">
        <f>'3_Survival_Probs'!D102</f>
        <v>0.996861832651672</v>
      </c>
      <c r="E102" s="12">
        <f>'3_Survival_Probs'!D103</f>
        <v>0.996830184283945</v>
      </c>
      <c r="F102" s="14">
        <f t="shared" si="2"/>
        <v>3.16483677269552e-5</v>
      </c>
      <c r="G102" s="32">
        <f>(1-recovery)*notional*C102*F102</f>
        <v>188.343601397815</v>
      </c>
      <c r="H102" s="14">
        <f t="shared" si="4"/>
        <v>7.74014800264985e-7</v>
      </c>
      <c r="I102" s="33"/>
      <c r="J102" s="31"/>
    </row>
    <row r="103" spans="1:10">
      <c r="A103" s="4">
        <v>101</v>
      </c>
      <c r="B103" s="6">
        <f>'2_Discount_Factors'!B104</f>
        <v>0.276712328767123</v>
      </c>
      <c r="C103" s="6">
        <f>EXP(-r_free*(('2_Discount_Factors'!B103+'2_Discount_Factors'!B104)/2))</f>
        <v>0.991773748348104</v>
      </c>
      <c r="D103" s="6">
        <f>'3_Survival_Probs'!D103</f>
        <v>0.996830184283945</v>
      </c>
      <c r="E103" s="6">
        <f>'3_Survival_Probs'!D104</f>
        <v>0.99679853692099</v>
      </c>
      <c r="F103" s="8">
        <f t="shared" si="2"/>
        <v>3.16473629545788e-5</v>
      </c>
      <c r="G103" s="29">
        <f>(1-recovery)*notional*C103*F103</f>
        <v>188.322142696773</v>
      </c>
      <c r="H103" s="8">
        <f t="shared" si="4"/>
        <v>8.59918459802607e-7</v>
      </c>
      <c r="I103" s="30"/>
      <c r="J103" s="31"/>
    </row>
    <row r="104" spans="1:10">
      <c r="A104" s="10">
        <v>102</v>
      </c>
      <c r="B104" s="12">
        <f>'2_Discount_Factors'!B105</f>
        <v>0.279452054794521</v>
      </c>
      <c r="C104" s="12">
        <f>EXP(-r_free*(('2_Discount_Factors'!B104+'2_Discount_Factors'!B105)/2))</f>
        <v>0.991692236047421</v>
      </c>
      <c r="D104" s="12">
        <f>'3_Survival_Probs'!D104</f>
        <v>0.99679853692099</v>
      </c>
      <c r="E104" s="12">
        <f>'3_Survival_Probs'!D105</f>
        <v>0.996766890562776</v>
      </c>
      <c r="F104" s="14">
        <f t="shared" si="2"/>
        <v>3.16463582141768e-5</v>
      </c>
      <c r="G104" s="32">
        <f>(1-recovery)*notional*C104*F104</f>
        <v>188.300686441048</v>
      </c>
      <c r="H104" s="14">
        <f t="shared" si="4"/>
        <v>9.45802534635392e-7</v>
      </c>
      <c r="I104" s="33"/>
      <c r="J104" s="31"/>
    </row>
    <row r="105" spans="1:10">
      <c r="A105" s="4">
        <v>103</v>
      </c>
      <c r="B105" s="6">
        <f>'2_Discount_Factors'!B106</f>
        <v>0.282191780821918</v>
      </c>
      <c r="C105" s="6">
        <f>EXP(-r_free*(('2_Discount_Factors'!B105+'2_Discount_Factors'!B106)/2))</f>
        <v>0.991610730446104</v>
      </c>
      <c r="D105" s="6">
        <f>'3_Survival_Probs'!D105</f>
        <v>0.996766890562776</v>
      </c>
      <c r="E105" s="6">
        <f>'3_Survival_Probs'!D106</f>
        <v>0.996735245209271</v>
      </c>
      <c r="F105" s="8">
        <f t="shared" si="2"/>
        <v>3.16453535056382e-5</v>
      </c>
      <c r="G105" s="29">
        <f>(1-recovery)*notional*C105*F105</f>
        <v>188.279232629707</v>
      </c>
      <c r="H105" s="8">
        <f t="shared" si="4"/>
        <v>1.03166702810797e-6</v>
      </c>
      <c r="I105" s="30"/>
      <c r="J105" s="31"/>
    </row>
    <row r="106" spans="1:10">
      <c r="A106" s="10">
        <v>104</v>
      </c>
      <c r="B106" s="12">
        <f>'2_Discount_Factors'!B107</f>
        <v>0.284931506849315</v>
      </c>
      <c r="C106" s="12">
        <f>EXP(-r_free*(('2_Discount_Factors'!B106+'2_Discount_Factors'!B107)/2))</f>
        <v>0.991529231543602</v>
      </c>
      <c r="D106" s="12">
        <f>'3_Survival_Probs'!D106</f>
        <v>0.996735245209271</v>
      </c>
      <c r="E106" s="12">
        <f>'3_Survival_Probs'!D107</f>
        <v>0.996703600860442</v>
      </c>
      <c r="F106" s="14">
        <f t="shared" si="2"/>
        <v>3.16443488290741e-5</v>
      </c>
      <c r="G106" s="32">
        <f>(1-recovery)*notional*C106*F106</f>
        <v>188.257781263137</v>
      </c>
      <c r="H106" s="14">
        <f t="shared" si="4"/>
        <v>1.11751194357112e-6</v>
      </c>
      <c r="I106" s="33"/>
      <c r="J106" s="31"/>
    </row>
    <row r="107" spans="1:10">
      <c r="A107" s="4">
        <v>105</v>
      </c>
      <c r="B107" s="6">
        <f>'2_Discount_Factors'!B108</f>
        <v>0.287671232876712</v>
      </c>
      <c r="C107" s="6">
        <f>EXP(-r_free*(('2_Discount_Factors'!B107+'2_Discount_Factors'!B108)/2))</f>
        <v>0.991447739339365</v>
      </c>
      <c r="D107" s="6">
        <f>'3_Survival_Probs'!D107</f>
        <v>0.996703600860442</v>
      </c>
      <c r="E107" s="6">
        <f>'3_Survival_Probs'!D108</f>
        <v>0.996671957516257</v>
      </c>
      <c r="F107" s="8">
        <f t="shared" si="2"/>
        <v>3.16433441842623e-5</v>
      </c>
      <c r="G107" s="29">
        <f>(1-recovery)*notional*C107*F107</f>
        <v>188.236332339746</v>
      </c>
      <c r="H107" s="8">
        <f t="shared" si="4"/>
        <v>1.20333728436366e-6</v>
      </c>
      <c r="I107" s="30"/>
      <c r="J107" s="31"/>
    </row>
    <row r="108" spans="1:10">
      <c r="A108" s="10">
        <v>106</v>
      </c>
      <c r="B108" s="12">
        <f>'2_Discount_Factors'!B109</f>
        <v>0.29041095890411</v>
      </c>
      <c r="C108" s="12">
        <f>EXP(-r_free*(('2_Discount_Factors'!B108+'2_Discount_Factors'!B109)/2))</f>
        <v>0.991366253832842</v>
      </c>
      <c r="D108" s="12">
        <f>'3_Survival_Probs'!D108</f>
        <v>0.996671957516257</v>
      </c>
      <c r="E108" s="12">
        <f>'3_Survival_Probs'!D109</f>
        <v>0.996640315176686</v>
      </c>
      <c r="F108" s="14">
        <f t="shared" si="2"/>
        <v>3.16423395714249e-5</v>
      </c>
      <c r="G108" s="32">
        <f>(1-recovery)*notional*C108*F108</f>
        <v>188.214885860581</v>
      </c>
      <c r="H108" s="14">
        <f t="shared" si="4"/>
        <v>1.28914305383959e-6</v>
      </c>
      <c r="I108" s="33"/>
      <c r="J108" s="31"/>
    </row>
    <row r="109" spans="1:10">
      <c r="A109" s="4">
        <v>107</v>
      </c>
      <c r="B109" s="6">
        <f>'2_Discount_Factors'!B110</f>
        <v>0.293150684931507</v>
      </c>
      <c r="C109" s="6">
        <f>EXP(-r_free*(('2_Discount_Factors'!B109+'2_Discount_Factors'!B110)/2))</f>
        <v>0.991284775023483</v>
      </c>
      <c r="D109" s="6">
        <f>'3_Survival_Probs'!D109</f>
        <v>0.996640315176686</v>
      </c>
      <c r="E109" s="6">
        <f>'3_Survival_Probs'!D110</f>
        <v>0.996608673841695</v>
      </c>
      <c r="F109" s="8">
        <f t="shared" si="2"/>
        <v>3.1641334990562e-5</v>
      </c>
      <c r="G109" s="29">
        <f>(1-recovery)*notional*C109*F109</f>
        <v>188.193441825371</v>
      </c>
      <c r="H109" s="8">
        <f t="shared" si="4"/>
        <v>1.37492925534517e-6</v>
      </c>
      <c r="I109" s="30"/>
      <c r="J109" s="31"/>
    </row>
    <row r="110" spans="1:10">
      <c r="A110" s="10">
        <v>108</v>
      </c>
      <c r="B110" s="12">
        <f>'2_Discount_Factors'!B111</f>
        <v>0.295890410958904</v>
      </c>
      <c r="C110" s="12">
        <f>EXP(-r_free*(('2_Discount_Factors'!B110+'2_Discount_Factors'!B111)/2))</f>
        <v>0.991203302910737</v>
      </c>
      <c r="D110" s="12">
        <f>'3_Survival_Probs'!D110</f>
        <v>0.996608673841695</v>
      </c>
      <c r="E110" s="12">
        <f>'3_Survival_Probs'!D111</f>
        <v>0.996577033511254</v>
      </c>
      <c r="F110" s="14">
        <f t="shared" si="2"/>
        <v>3.16403304414514e-5</v>
      </c>
      <c r="G110" s="32">
        <f>(1-recovery)*notional*C110*F110</f>
        <v>188.172000232523</v>
      </c>
      <c r="H110" s="14">
        <f t="shared" si="4"/>
        <v>1.46069589221592e-6</v>
      </c>
      <c r="I110" s="33"/>
      <c r="J110" s="31"/>
    </row>
    <row r="111" spans="1:10">
      <c r="A111" s="4">
        <v>109</v>
      </c>
      <c r="B111" s="6">
        <f>'2_Discount_Factors'!B112</f>
        <v>0.298630136986301</v>
      </c>
      <c r="C111" s="6">
        <f>EXP(-r_free*(('2_Discount_Factors'!B111+'2_Discount_Factors'!B112)/2))</f>
        <v>0.991121837494054</v>
      </c>
      <c r="D111" s="6">
        <f>'3_Survival_Probs'!D111</f>
        <v>0.996577033511254</v>
      </c>
      <c r="E111" s="6">
        <f>'3_Survival_Probs'!D112</f>
        <v>0.99654539418533</v>
      </c>
      <c r="F111" s="8">
        <f t="shared" si="2"/>
        <v>3.16393259243153e-5</v>
      </c>
      <c r="G111" s="29">
        <f>(1-recovery)*notional*C111*F111</f>
        <v>188.150561083084</v>
      </c>
      <c r="H111" s="8">
        <f t="shared" si="4"/>
        <v>1.54644296780616e-6</v>
      </c>
      <c r="I111" s="30"/>
      <c r="J111" s="31"/>
    </row>
    <row r="112" spans="1:10">
      <c r="A112" s="10">
        <v>110</v>
      </c>
      <c r="B112" s="12">
        <f>'2_Discount_Factors'!B113</f>
        <v>0.301369863013699</v>
      </c>
      <c r="C112" s="12">
        <f>EXP(-r_free*(('2_Discount_Factors'!B112+'2_Discount_Factors'!B113)/2))</f>
        <v>0.991040378772884</v>
      </c>
      <c r="D112" s="12">
        <f>'3_Survival_Probs'!D112</f>
        <v>0.99654539418533</v>
      </c>
      <c r="E112" s="12">
        <f>'3_Survival_Probs'!D113</f>
        <v>0.99651375586389</v>
      </c>
      <c r="F112" s="14">
        <f t="shared" si="2"/>
        <v>3.16383214390425e-5</v>
      </c>
      <c r="G112" s="32">
        <f>(1-recovery)*notional*C112*F112</f>
        <v>188.129124376122</v>
      </c>
      <c r="H112" s="14">
        <f t="shared" si="4"/>
        <v>1.63217048545493e-6</v>
      </c>
      <c r="I112" s="33"/>
      <c r="J112" s="31"/>
    </row>
    <row r="113" spans="1:10">
      <c r="A113" s="4">
        <v>111</v>
      </c>
      <c r="B113" s="6">
        <f>'2_Discount_Factors'!B114</f>
        <v>0.304109589041096</v>
      </c>
      <c r="C113" s="6">
        <f>EXP(-r_free*(('2_Discount_Factors'!B113+'2_Discount_Factors'!B114)/2))</f>
        <v>0.990958926746675</v>
      </c>
      <c r="D113" s="6">
        <f>'3_Survival_Probs'!D113</f>
        <v>0.99651375586389</v>
      </c>
      <c r="E113" s="6">
        <f>'3_Survival_Probs'!D114</f>
        <v>0.996482118546905</v>
      </c>
      <c r="F113" s="8">
        <f t="shared" si="2"/>
        <v>3.16373169856332e-5</v>
      </c>
      <c r="G113" s="29">
        <f>(1-recovery)*notional*C113*F113</f>
        <v>188.107690111365</v>
      </c>
      <c r="H113" s="8">
        <f t="shared" si="4"/>
        <v>1.7178784485056e-6</v>
      </c>
      <c r="I113" s="30"/>
      <c r="J113" s="31"/>
    </row>
    <row r="114" spans="1:10">
      <c r="A114" s="10">
        <v>112</v>
      </c>
      <c r="B114" s="12">
        <f>'2_Discount_Factors'!B115</f>
        <v>0.306849315068493</v>
      </c>
      <c r="C114" s="12">
        <f>EXP(-r_free*(('2_Discount_Factors'!B114+'2_Discount_Factors'!B115)/2))</f>
        <v>0.990877481414879</v>
      </c>
      <c r="D114" s="12">
        <f>'3_Survival_Probs'!D114</f>
        <v>0.996482118546905</v>
      </c>
      <c r="E114" s="12">
        <f>'3_Survival_Probs'!D115</f>
        <v>0.996450482234341</v>
      </c>
      <c r="F114" s="14">
        <f t="shared" si="2"/>
        <v>3.16363125641983e-5</v>
      </c>
      <c r="G114" s="32">
        <f>(1-recovery)*notional*C114*F114</f>
        <v>188.0862582892</v>
      </c>
      <c r="H114" s="14">
        <f t="shared" si="4"/>
        <v>1.80356686030739e-6</v>
      </c>
      <c r="I114" s="33"/>
      <c r="J114" s="31"/>
    </row>
    <row r="115" spans="1:10">
      <c r="A115" s="4">
        <v>113</v>
      </c>
      <c r="B115" s="6">
        <f>'2_Discount_Factors'!B116</f>
        <v>0.30958904109589</v>
      </c>
      <c r="C115" s="6">
        <f>EXP(-r_free*(('2_Discount_Factors'!B115+'2_Discount_Factors'!B116)/2))</f>
        <v>0.990796042776944</v>
      </c>
      <c r="D115" s="6">
        <f>'3_Survival_Probs'!D115</f>
        <v>0.996450482234341</v>
      </c>
      <c r="E115" s="6">
        <f>'3_Survival_Probs'!D116</f>
        <v>0.996418846926166</v>
      </c>
      <c r="F115" s="8">
        <f t="shared" si="2"/>
        <v>3.16353081746268e-5</v>
      </c>
      <c r="G115" s="29">
        <f>(1-recovery)*notional*C115*F115</f>
        <v>188.064828908696</v>
      </c>
      <c r="H115" s="8">
        <f t="shared" si="4"/>
        <v>1.88923572419694e-6</v>
      </c>
      <c r="I115" s="30"/>
      <c r="J115" s="31"/>
    </row>
    <row r="116" spans="1:10">
      <c r="A116" s="10">
        <v>114</v>
      </c>
      <c r="B116" s="12">
        <f>'2_Discount_Factors'!B117</f>
        <v>0.312328767123288</v>
      </c>
      <c r="C116" s="12">
        <f>EXP(-r_free*(('2_Discount_Factors'!B116+'2_Discount_Factors'!B117)/2))</f>
        <v>0.990714610832321</v>
      </c>
      <c r="D116" s="12">
        <f>'3_Survival_Probs'!D116</f>
        <v>0.996418846926166</v>
      </c>
      <c r="E116" s="12">
        <f>'3_Survival_Probs'!D117</f>
        <v>0.996387212622349</v>
      </c>
      <c r="F116" s="14">
        <f t="shared" si="2"/>
        <v>3.16343038169187e-5</v>
      </c>
      <c r="G116" s="32">
        <f>(1-recovery)*notional*C116*F116</f>
        <v>188.04340196958</v>
      </c>
      <c r="H116" s="14">
        <f t="shared" si="4"/>
        <v>1.97488504351613e-6</v>
      </c>
      <c r="I116" s="33"/>
      <c r="J116" s="31"/>
    </row>
    <row r="117" spans="1:10">
      <c r="A117" s="4">
        <v>115</v>
      </c>
      <c r="B117" s="6">
        <f>'2_Discount_Factors'!B118</f>
        <v>0.315068493150685</v>
      </c>
      <c r="C117" s="6">
        <f>EXP(-r_free*(('2_Discount_Factors'!B117+'2_Discount_Factors'!B118)/2))</f>
        <v>0.99063318558046</v>
      </c>
      <c r="D117" s="6">
        <f>'3_Survival_Probs'!D117</f>
        <v>0.996387212622349</v>
      </c>
      <c r="E117" s="6">
        <f>'3_Survival_Probs'!D118</f>
        <v>0.996355579322858</v>
      </c>
      <c r="F117" s="8">
        <f t="shared" si="2"/>
        <v>3.1633299491074e-5</v>
      </c>
      <c r="G117" s="29">
        <f>(1-recovery)*notional*C117*F117</f>
        <v>188.02197747158</v>
      </c>
      <c r="H117" s="8">
        <f t="shared" si="4"/>
        <v>2.06051482160635e-6</v>
      </c>
      <c r="I117" s="30"/>
      <c r="J117" s="31"/>
    </row>
    <row r="118" spans="1:10">
      <c r="A118" s="10">
        <v>116</v>
      </c>
      <c r="B118" s="12">
        <f>'2_Discount_Factors'!B119</f>
        <v>0.317808219178082</v>
      </c>
      <c r="C118" s="12">
        <f>EXP(-r_free*(('2_Discount_Factors'!B118+'2_Discount_Factors'!B119)/2))</f>
        <v>0.99055176702081</v>
      </c>
      <c r="D118" s="12">
        <f>'3_Survival_Probs'!D118</f>
        <v>0.996355579322858</v>
      </c>
      <c r="E118" s="12">
        <f>'3_Survival_Probs'!D119</f>
        <v>0.996323947027661</v>
      </c>
      <c r="F118" s="14">
        <f t="shared" si="2"/>
        <v>3.16322951970927e-5</v>
      </c>
      <c r="G118" s="32">
        <f>(1-recovery)*notional*C118*F118</f>
        <v>188.000555414424</v>
      </c>
      <c r="H118" s="14">
        <f t="shared" si="4"/>
        <v>2.14612506180848e-6</v>
      </c>
      <c r="I118" s="33"/>
      <c r="J118" s="31"/>
    </row>
    <row r="119" spans="1:10">
      <c r="A119" s="4">
        <v>117</v>
      </c>
      <c r="B119" s="6">
        <f>'2_Discount_Factors'!B120</f>
        <v>0.320547945205479</v>
      </c>
      <c r="C119" s="6">
        <f>EXP(-r_free*(('2_Discount_Factors'!B119+'2_Discount_Factors'!B120)/2))</f>
        <v>0.990470355152821</v>
      </c>
      <c r="D119" s="6">
        <f>'3_Survival_Probs'!D119</f>
        <v>0.996323947027661</v>
      </c>
      <c r="E119" s="6">
        <f>'3_Survival_Probs'!D120</f>
        <v>0.996292315736726</v>
      </c>
      <c r="F119" s="8">
        <f t="shared" si="2"/>
        <v>3.16312909350858e-5</v>
      </c>
      <c r="G119" s="29">
        <f>(1-recovery)*notional*C119*F119</f>
        <v>187.9791357985</v>
      </c>
      <c r="H119" s="8">
        <f t="shared" si="4"/>
        <v>2.23171576747076e-6</v>
      </c>
      <c r="I119" s="30"/>
      <c r="J119" s="31"/>
    </row>
    <row r="120" spans="1:10">
      <c r="A120" s="10">
        <v>118</v>
      </c>
      <c r="B120" s="12">
        <f>'2_Discount_Factors'!B121</f>
        <v>0.323287671232877</v>
      </c>
      <c r="C120" s="12">
        <f>EXP(-r_free*(('2_Discount_Factors'!B120+'2_Discount_Factors'!B121)/2))</f>
        <v>0.990388949975944</v>
      </c>
      <c r="D120" s="12">
        <f>'3_Survival_Probs'!D120</f>
        <v>0.996292315736726</v>
      </c>
      <c r="E120" s="12">
        <f>'3_Survival_Probs'!D121</f>
        <v>0.996260685450021</v>
      </c>
      <c r="F120" s="14">
        <f t="shared" si="2"/>
        <v>3.16302867049423e-5</v>
      </c>
      <c r="G120" s="32">
        <f>(1-recovery)*notional*C120*F120</f>
        <v>187.957718622875</v>
      </c>
      <c r="H120" s="14">
        <f t="shared" si="4"/>
        <v>2.31728694192585e-6</v>
      </c>
      <c r="I120" s="33"/>
      <c r="J120" s="31"/>
    </row>
    <row r="121" spans="1:10">
      <c r="A121" s="4">
        <v>119</v>
      </c>
      <c r="B121" s="6">
        <f>'2_Discount_Factors'!B122</f>
        <v>0.326027397260274</v>
      </c>
      <c r="C121" s="6">
        <f>EXP(-r_free*(('2_Discount_Factors'!B121+'2_Discount_Factors'!B122)/2))</f>
        <v>0.990307551489628</v>
      </c>
      <c r="D121" s="6">
        <f>'3_Survival_Probs'!D121</f>
        <v>0.996260685450021</v>
      </c>
      <c r="E121" s="6">
        <f>'3_Survival_Probs'!D122</f>
        <v>0.996229056167514</v>
      </c>
      <c r="F121" s="8">
        <f t="shared" si="2"/>
        <v>3.16292825066622e-5</v>
      </c>
      <c r="G121" s="29">
        <f>(1-recovery)*notional*C121*F121</f>
        <v>187.936303887278</v>
      </c>
      <c r="H121" s="8">
        <f t="shared" si="4"/>
        <v>2.40283858851313e-6</v>
      </c>
      <c r="I121" s="30"/>
      <c r="J121" s="31"/>
    </row>
    <row r="122" spans="1:10">
      <c r="A122" s="10">
        <v>120</v>
      </c>
      <c r="B122" s="12">
        <f>'2_Discount_Factors'!B123</f>
        <v>0.328767123287671</v>
      </c>
      <c r="C122" s="12">
        <f>EXP(-r_free*(('2_Discount_Factors'!B122+'2_Discount_Factors'!B123)/2))</f>
        <v>0.990226159693324</v>
      </c>
      <c r="D122" s="12">
        <f>'3_Survival_Probs'!D122</f>
        <v>0.996229056167514</v>
      </c>
      <c r="E122" s="12">
        <f>'3_Survival_Probs'!D123</f>
        <v>0.996197427889174</v>
      </c>
      <c r="F122" s="14">
        <f t="shared" si="2"/>
        <v>3.16282783402455e-5</v>
      </c>
      <c r="G122" s="32">
        <f>(1-recovery)*notional*C122*F122</f>
        <v>187.914891591437</v>
      </c>
      <c r="H122" s="14">
        <f t="shared" si="4"/>
        <v>2.48837071057153e-6</v>
      </c>
      <c r="I122" s="33"/>
      <c r="J122" s="31"/>
    </row>
    <row r="123" spans="1:10">
      <c r="A123" s="4">
        <v>121</v>
      </c>
      <c r="B123" s="6">
        <f>'2_Discount_Factors'!B124</f>
        <v>0.331506849315069</v>
      </c>
      <c r="C123" s="6">
        <f>EXP(-r_free*(('2_Discount_Factors'!B123+'2_Discount_Factors'!B124)/2))</f>
        <v>0.990144774586481</v>
      </c>
      <c r="D123" s="6">
        <f>'3_Survival_Probs'!D123</f>
        <v>0.996197427889174</v>
      </c>
      <c r="E123" s="6">
        <f>'3_Survival_Probs'!D124</f>
        <v>0.996165800614968</v>
      </c>
      <c r="F123" s="8">
        <f t="shared" si="2"/>
        <v>3.16272742056922e-5</v>
      </c>
      <c r="G123" s="29">
        <f>(1-recovery)*notional*C123*F123</f>
        <v>187.89348173508</v>
      </c>
      <c r="H123" s="8">
        <f t="shared" si="4"/>
        <v>2.57388331143944e-6</v>
      </c>
      <c r="I123" s="30"/>
      <c r="J123" s="31"/>
    </row>
    <row r="124" spans="1:10">
      <c r="A124" s="10">
        <v>122</v>
      </c>
      <c r="B124" s="12">
        <f>'2_Discount_Factors'!B125</f>
        <v>0.334246575342466</v>
      </c>
      <c r="C124" s="12">
        <f>EXP(-r_free*(('2_Discount_Factors'!B124+'2_Discount_Factors'!B125)/2))</f>
        <v>0.990063396168551</v>
      </c>
      <c r="D124" s="12">
        <f>'3_Survival_Probs'!D124</f>
        <v>0.996165800614968</v>
      </c>
      <c r="E124" s="12">
        <f>'3_Survival_Probs'!D125</f>
        <v>0.996134174344865</v>
      </c>
      <c r="F124" s="14">
        <f t="shared" si="2"/>
        <v>3.16262701030023e-5</v>
      </c>
      <c r="G124" s="32">
        <f>(1-recovery)*notional*C124*F124</f>
        <v>187.872074317934</v>
      </c>
      <c r="H124" s="14">
        <f t="shared" si="4"/>
        <v>2.65937639445477e-6</v>
      </c>
      <c r="I124" s="33"/>
      <c r="J124" s="31"/>
    </row>
    <row r="125" spans="1:10">
      <c r="A125" s="4">
        <v>123</v>
      </c>
      <c r="B125" s="6">
        <f>'2_Discount_Factors'!B126</f>
        <v>0.336986301369863</v>
      </c>
      <c r="C125" s="6">
        <f>EXP(-r_free*(('2_Discount_Factors'!B125+'2_Discount_Factors'!B126)/2))</f>
        <v>0.989982024438983</v>
      </c>
      <c r="D125" s="6">
        <f>'3_Survival_Probs'!D125</f>
        <v>0.996134174344865</v>
      </c>
      <c r="E125" s="6">
        <f>'3_Survival_Probs'!D126</f>
        <v>0.996102549078833</v>
      </c>
      <c r="F125" s="8">
        <f t="shared" si="2"/>
        <v>3.16252660322869e-5</v>
      </c>
      <c r="G125" s="29">
        <f>(1-recovery)*notional*C125*F125</f>
        <v>187.850669340389</v>
      </c>
      <c r="H125" s="8">
        <f t="shared" si="4"/>
        <v>2.74484996296457e-6</v>
      </c>
      <c r="I125" s="30"/>
      <c r="J125" s="31"/>
    </row>
    <row r="126" spans="1:10">
      <c r="A126" s="10">
        <v>124</v>
      </c>
      <c r="B126" s="12">
        <f>'2_Discount_Factors'!B127</f>
        <v>0.33972602739726</v>
      </c>
      <c r="C126" s="12">
        <f>EXP(-r_free*(('2_Discount_Factors'!B126+'2_Discount_Factors'!B127)/2))</f>
        <v>0.989900659397227</v>
      </c>
      <c r="D126" s="12">
        <f>'3_Survival_Probs'!D126</f>
        <v>0.996102549078833</v>
      </c>
      <c r="E126" s="12">
        <f>'3_Survival_Probs'!D127</f>
        <v>0.99607092481684</v>
      </c>
      <c r="F126" s="14">
        <f t="shared" si="2"/>
        <v>3.16242619934348e-5</v>
      </c>
      <c r="G126" s="32">
        <f>(1-recovery)*notional*C126*F126</f>
        <v>187.829266801511</v>
      </c>
      <c r="H126" s="14">
        <f t="shared" si="4"/>
        <v>2.83030402029673e-6</v>
      </c>
      <c r="I126" s="33"/>
      <c r="J126" s="31"/>
    </row>
    <row r="127" spans="1:10">
      <c r="A127" s="4">
        <v>125</v>
      </c>
      <c r="B127" s="6">
        <f>'2_Discount_Factors'!B128</f>
        <v>0.342465753424658</v>
      </c>
      <c r="C127" s="6">
        <f>EXP(-r_free*(('2_Discount_Factors'!B127+'2_Discount_Factors'!B128)/2))</f>
        <v>0.989819301042734</v>
      </c>
      <c r="D127" s="6">
        <f>'3_Survival_Probs'!D127</f>
        <v>0.99607092481684</v>
      </c>
      <c r="E127" s="6">
        <f>'3_Survival_Probs'!D128</f>
        <v>0.996039301558853</v>
      </c>
      <c r="F127" s="8">
        <f t="shared" si="2"/>
        <v>3.16232579863351e-5</v>
      </c>
      <c r="G127" s="29">
        <f>(1-recovery)*notional*C127*F127</f>
        <v>187.80786670037</v>
      </c>
      <c r="H127" s="8">
        <f t="shared" si="4"/>
        <v>2.91573856977742e-6</v>
      </c>
      <c r="I127" s="30"/>
      <c r="J127" s="31"/>
    </row>
    <row r="128" spans="1:10">
      <c r="A128" s="10">
        <v>126</v>
      </c>
      <c r="B128" s="12">
        <f>'2_Discount_Factors'!B129</f>
        <v>0.345205479452055</v>
      </c>
      <c r="C128" s="12">
        <f>EXP(-r_free*(('2_Discount_Factors'!B128+'2_Discount_Factors'!B129)/2))</f>
        <v>0.989737949374955</v>
      </c>
      <c r="D128" s="12">
        <f>'3_Survival_Probs'!D128</f>
        <v>0.996039301558853</v>
      </c>
      <c r="E128" s="12">
        <f>'3_Survival_Probs'!D129</f>
        <v>0.996007679304842</v>
      </c>
      <c r="F128" s="14">
        <f t="shared" si="2"/>
        <v>3.16222540112099e-5</v>
      </c>
      <c r="G128" s="32">
        <f>(1-recovery)*notional*C128*F128</f>
        <v>187.786469038013</v>
      </c>
      <c r="H128" s="14">
        <f t="shared" si="4"/>
        <v>3.00115361476275e-6</v>
      </c>
      <c r="I128" s="33"/>
      <c r="J128" s="31"/>
    </row>
    <row r="129" spans="1:10">
      <c r="A129" s="4">
        <v>127</v>
      </c>
      <c r="B129" s="6">
        <f>'2_Discount_Factors'!B130</f>
        <v>0.347945205479452</v>
      </c>
      <c r="C129" s="6">
        <f>EXP(-r_free*(('2_Discount_Factors'!B129+'2_Discount_Factors'!B130)/2))</f>
        <v>0.989656604393339</v>
      </c>
      <c r="D129" s="6">
        <f>'3_Survival_Probs'!D129</f>
        <v>0.996007679304842</v>
      </c>
      <c r="E129" s="6">
        <f>'3_Survival_Probs'!D130</f>
        <v>0.995976058054774</v>
      </c>
      <c r="F129" s="8">
        <f t="shared" si="2"/>
        <v>3.1621250067948e-5</v>
      </c>
      <c r="G129" s="29">
        <f>(1-recovery)*notional*C129*F129</f>
        <v>187.765073813508</v>
      </c>
      <c r="H129" s="8">
        <f t="shared" si="4"/>
        <v>3.08654915857821e-6</v>
      </c>
      <c r="I129" s="30"/>
      <c r="J129" s="31"/>
    </row>
    <row r="130" spans="1:10">
      <c r="A130" s="10">
        <v>128</v>
      </c>
      <c r="B130" s="12">
        <f>'2_Discount_Factors'!B131</f>
        <v>0.350684931506849</v>
      </c>
      <c r="C130" s="12">
        <f>EXP(-r_free*(('2_Discount_Factors'!B130+'2_Discount_Factors'!B131)/2))</f>
        <v>0.989575266097337</v>
      </c>
      <c r="D130" s="12">
        <f>'3_Survival_Probs'!D130</f>
        <v>0.995976058054774</v>
      </c>
      <c r="E130" s="12">
        <f>'3_Survival_Probs'!D131</f>
        <v>0.995944437808618</v>
      </c>
      <c r="F130" s="14">
        <f t="shared" si="2"/>
        <v>3.16202461565496e-5</v>
      </c>
      <c r="G130" s="32">
        <f>(1-recovery)*notional*C130*F130</f>
        <v>187.743681026585</v>
      </c>
      <c r="H130" s="14">
        <f t="shared" si="4"/>
        <v>3.17192520455873e-6</v>
      </c>
      <c r="I130" s="33"/>
      <c r="J130" s="31"/>
    </row>
    <row r="131" spans="1:10">
      <c r="A131" s="4">
        <v>129</v>
      </c>
      <c r="B131" s="6">
        <f>'2_Discount_Factors'!B132</f>
        <v>0.353424657534247</v>
      </c>
      <c r="C131" s="6">
        <f>EXP(-r_free*(('2_Discount_Factors'!B131+'2_Discount_Factors'!B132)/2))</f>
        <v>0.9894939344864</v>
      </c>
      <c r="D131" s="6">
        <f>'3_Survival_Probs'!D131</f>
        <v>0.995944437808618</v>
      </c>
      <c r="E131" s="6">
        <f>'3_Survival_Probs'!D132</f>
        <v>0.995912818566341</v>
      </c>
      <c r="F131" s="8">
        <f t="shared" ref="F131:F194" si="5">D131-E131</f>
        <v>3.16192422770145e-5</v>
      </c>
      <c r="G131" s="29">
        <f>(1-recovery)*notional*C131*F131</f>
        <v>187.722290676971</v>
      </c>
      <c r="H131" s="8">
        <f t="shared" si="4"/>
        <v>3.25728175603875e-6</v>
      </c>
      <c r="I131" s="30"/>
      <c r="J131" s="31"/>
    </row>
    <row r="132" spans="1:10">
      <c r="A132" s="10">
        <v>130</v>
      </c>
      <c r="B132" s="12">
        <f>'2_Discount_Factors'!B133</f>
        <v>0.356164383561644</v>
      </c>
      <c r="C132" s="12">
        <f>EXP(-r_free*(('2_Discount_Factors'!B132+'2_Discount_Factors'!B133)/2))</f>
        <v>0.989412609559978</v>
      </c>
      <c r="D132" s="12">
        <f>'3_Survival_Probs'!D132</f>
        <v>0.995912818566341</v>
      </c>
      <c r="E132" s="12">
        <f>'3_Survival_Probs'!D133</f>
        <v>0.995881200327911</v>
      </c>
      <c r="F132" s="14">
        <f t="shared" si="5"/>
        <v>3.16182384294539e-5</v>
      </c>
      <c r="G132" s="32">
        <f>(1-recovery)*notional*C132*F132</f>
        <v>187.700902765053</v>
      </c>
      <c r="H132" s="14">
        <f t="shared" si="4"/>
        <v>3.34261881636395e-6</v>
      </c>
      <c r="I132" s="33"/>
      <c r="J132" s="31"/>
    </row>
    <row r="133" spans="1:10">
      <c r="A133" s="4">
        <v>131</v>
      </c>
      <c r="B133" s="6">
        <f>'2_Discount_Factors'!B134</f>
        <v>0.358904109589041</v>
      </c>
      <c r="C133" s="6">
        <f>EXP(-r_free*(('2_Discount_Factors'!B133+'2_Discount_Factors'!B134)/2))</f>
        <v>0.989331291317522</v>
      </c>
      <c r="D133" s="6">
        <f>'3_Survival_Probs'!D133</f>
        <v>0.995881200327911</v>
      </c>
      <c r="E133" s="6">
        <f>'3_Survival_Probs'!D134</f>
        <v>0.995849583093297</v>
      </c>
      <c r="F133" s="8">
        <f t="shared" si="5"/>
        <v>3.16172346136456e-5</v>
      </c>
      <c r="G133" s="29">
        <f>(1-recovery)*notional*C133*F133</f>
        <v>187.679517289242</v>
      </c>
      <c r="H133" s="8">
        <f t="shared" si="4"/>
        <v>3.4279363888446e-6</v>
      </c>
      <c r="I133" s="30"/>
      <c r="J133" s="31"/>
    </row>
    <row r="134" spans="1:10">
      <c r="A134" s="10">
        <v>132</v>
      </c>
      <c r="B134" s="12">
        <f>'2_Discount_Factors'!B135</f>
        <v>0.361643835616438</v>
      </c>
      <c r="C134" s="12">
        <f>EXP(-r_free*(('2_Discount_Factors'!B134+'2_Discount_Factors'!B135)/2))</f>
        <v>0.989249979758482</v>
      </c>
      <c r="D134" s="12">
        <f>'3_Survival_Probs'!D134</f>
        <v>0.995849583093297</v>
      </c>
      <c r="E134" s="12">
        <f>'3_Survival_Probs'!D135</f>
        <v>0.995817966862468</v>
      </c>
      <c r="F134" s="14">
        <f t="shared" si="5"/>
        <v>3.16162308297008e-5</v>
      </c>
      <c r="G134" s="32">
        <f>(1-recovery)*notional*C134*F134</f>
        <v>187.658134249926</v>
      </c>
      <c r="H134" s="14">
        <f t="shared" si="4"/>
        <v>3.51323447682509e-6</v>
      </c>
      <c r="I134" s="33"/>
      <c r="J134" s="31"/>
    </row>
    <row r="135" spans="1:10">
      <c r="A135" s="4">
        <v>133</v>
      </c>
      <c r="B135" s="6">
        <f>'2_Discount_Factors'!B136</f>
        <v>0.364383561643836</v>
      </c>
      <c r="C135" s="6">
        <f>EXP(-r_free*(('2_Discount_Factors'!B135+'2_Discount_Factors'!B136)/2))</f>
        <v>0.98916867488231</v>
      </c>
      <c r="D135" s="6">
        <f>'3_Survival_Probs'!D135</f>
        <v>0.995817966862468</v>
      </c>
      <c r="E135" s="6">
        <f>'3_Survival_Probs'!D136</f>
        <v>0.99578635163539</v>
      </c>
      <c r="F135" s="8">
        <f t="shared" si="5"/>
        <v>3.16152270777303e-5</v>
      </c>
      <c r="G135" s="29">
        <f>(1-recovery)*notional*C135*F135</f>
        <v>187.636753647491</v>
      </c>
      <c r="H135" s="8">
        <f t="shared" si="4"/>
        <v>3.5985130836505e-6</v>
      </c>
      <c r="I135" s="30"/>
      <c r="J135" s="31"/>
    </row>
    <row r="136" spans="1:10">
      <c r="A136" s="10">
        <v>134</v>
      </c>
      <c r="B136" s="12">
        <f>'2_Discount_Factors'!B137</f>
        <v>0.367123287671233</v>
      </c>
      <c r="C136" s="12">
        <f>EXP(-r_free*(('2_Discount_Factors'!B136+'2_Discount_Factors'!B137)/2))</f>
        <v>0.989087376688456</v>
      </c>
      <c r="D136" s="12">
        <f>'3_Survival_Probs'!D136</f>
        <v>0.99578635163539</v>
      </c>
      <c r="E136" s="12">
        <f>'3_Survival_Probs'!D137</f>
        <v>0.995754737412032</v>
      </c>
      <c r="F136" s="14">
        <f t="shared" si="5"/>
        <v>3.16142233575123e-5</v>
      </c>
      <c r="G136" s="32">
        <f>(1-recovery)*notional*C136*F136</f>
        <v>187.615375480348</v>
      </c>
      <c r="H136" s="14">
        <f t="shared" si="4"/>
        <v>3.68377221262784e-6</v>
      </c>
      <c r="I136" s="33"/>
      <c r="J136" s="31"/>
    </row>
    <row r="137" spans="1:10">
      <c r="A137" s="4">
        <v>135</v>
      </c>
      <c r="B137" s="6">
        <f>'2_Discount_Factors'!B138</f>
        <v>0.36986301369863</v>
      </c>
      <c r="C137" s="6">
        <f>EXP(-r_free*(('2_Discount_Factors'!B137+'2_Discount_Factors'!B138)/2))</f>
        <v>0.98900608517637</v>
      </c>
      <c r="D137" s="6">
        <f>'3_Survival_Probs'!D137</f>
        <v>0.995754737412032</v>
      </c>
      <c r="E137" s="6">
        <f>'3_Survival_Probs'!D138</f>
        <v>0.995723124192363</v>
      </c>
      <c r="F137" s="8">
        <f t="shared" si="5"/>
        <v>3.16132196691576e-5</v>
      </c>
      <c r="G137" s="29">
        <f>(1-recovery)*notional*C137*F137</f>
        <v>187.593999748885</v>
      </c>
      <c r="H137" s="8">
        <f t="shared" si="4"/>
        <v>3.76901186710088e-6</v>
      </c>
      <c r="I137" s="30"/>
      <c r="J137" s="31"/>
    </row>
    <row r="138" spans="1:10">
      <c r="A138" s="10">
        <v>136</v>
      </c>
      <c r="B138" s="12">
        <f>'2_Discount_Factors'!B139</f>
        <v>0.372602739726027</v>
      </c>
      <c r="C138" s="12">
        <f>EXP(-r_free*(('2_Discount_Factors'!B138+'2_Discount_Factors'!B139)/2))</f>
        <v>0.988924800345504</v>
      </c>
      <c r="D138" s="12">
        <f>'3_Survival_Probs'!D138</f>
        <v>0.995723124192363</v>
      </c>
      <c r="E138" s="12">
        <f>'3_Survival_Probs'!D139</f>
        <v>0.995691511976351</v>
      </c>
      <c r="F138" s="14">
        <f t="shared" si="5"/>
        <v>3.16122160127774e-5</v>
      </c>
      <c r="G138" s="32">
        <f>(1-recovery)*notional*C138*F138</f>
        <v>187.572626453489</v>
      </c>
      <c r="H138" s="14">
        <f t="shared" si="4"/>
        <v>3.85423205041415e-6</v>
      </c>
      <c r="I138" s="33"/>
      <c r="J138" s="31"/>
    </row>
    <row r="139" spans="1:10">
      <c r="A139" s="4">
        <v>137</v>
      </c>
      <c r="B139" s="6">
        <f>'2_Discount_Factors'!B140</f>
        <v>0.375342465753425</v>
      </c>
      <c r="C139" s="6">
        <f>EXP(-r_free*(('2_Discount_Factors'!B139+'2_Discount_Factors'!B140)/2))</f>
        <v>0.988843522195308</v>
      </c>
      <c r="D139" s="6">
        <f>'3_Survival_Probs'!D139</f>
        <v>0.995691511976351</v>
      </c>
      <c r="E139" s="6">
        <f>'3_Survival_Probs'!D140</f>
        <v>0.995659900763962</v>
      </c>
      <c r="F139" s="8">
        <f t="shared" si="5"/>
        <v>3.16112123881496e-5</v>
      </c>
      <c r="G139" s="29">
        <f>(1-recovery)*notional*C139*F139</f>
        <v>187.551255592571</v>
      </c>
      <c r="H139" s="8">
        <f t="shared" si="4"/>
        <v>3.93943276587134e-6</v>
      </c>
      <c r="I139" s="30"/>
      <c r="J139" s="31"/>
    </row>
    <row r="140" spans="1:10">
      <c r="A140" s="10">
        <v>138</v>
      </c>
      <c r="B140" s="12">
        <f>'2_Discount_Factors'!B141</f>
        <v>0.378082191780822</v>
      </c>
      <c r="C140" s="12">
        <f>EXP(-r_free*(('2_Discount_Factors'!B140+'2_Discount_Factors'!B141)/2))</f>
        <v>0.988762250725234</v>
      </c>
      <c r="D140" s="12">
        <f>'3_Survival_Probs'!D140</f>
        <v>0.995659900763962</v>
      </c>
      <c r="E140" s="12">
        <f>'3_Survival_Probs'!D141</f>
        <v>0.995628290555167</v>
      </c>
      <c r="F140" s="14">
        <f t="shared" si="5"/>
        <v>3.16102087954961e-5</v>
      </c>
      <c r="G140" s="32">
        <f>(1-recovery)*notional*C140*F140</f>
        <v>187.529887167176</v>
      </c>
      <c r="H140" s="14">
        <f t="shared" si="4"/>
        <v>4.0246140168298e-6</v>
      </c>
      <c r="I140" s="33"/>
      <c r="J140" s="31"/>
    </row>
    <row r="141" spans="1:10">
      <c r="A141" s="4">
        <v>139</v>
      </c>
      <c r="B141" s="6">
        <f>'2_Discount_Factors'!B142</f>
        <v>0.380821917808219</v>
      </c>
      <c r="C141" s="6">
        <f>EXP(-r_free*(('2_Discount_Factors'!B141+'2_Discount_Factors'!B142)/2))</f>
        <v>0.988680985934732</v>
      </c>
      <c r="D141" s="6">
        <f>'3_Survival_Probs'!D141</f>
        <v>0.995628290555167</v>
      </c>
      <c r="E141" s="6">
        <f>'3_Survival_Probs'!D142</f>
        <v>0.995596681349932</v>
      </c>
      <c r="F141" s="8">
        <f t="shared" si="5"/>
        <v>3.16092052345951e-5</v>
      </c>
      <c r="G141" s="29">
        <f>(1-recovery)*notional*C141*F141</f>
        <v>187.508521175717</v>
      </c>
      <c r="H141" s="8">
        <f t="shared" si="4"/>
        <v>4.10977580659104e-6</v>
      </c>
      <c r="I141" s="30"/>
      <c r="J141" s="31"/>
    </row>
    <row r="142" spans="1:10">
      <c r="A142" s="10">
        <v>140</v>
      </c>
      <c r="B142" s="12">
        <f>'2_Discount_Factors'!B143</f>
        <v>0.383561643835616</v>
      </c>
      <c r="C142" s="12">
        <f>EXP(-r_free*(('2_Discount_Factors'!B142+'2_Discount_Factors'!B143)/2))</f>
        <v>0.988599727823253</v>
      </c>
      <c r="D142" s="12">
        <f>'3_Survival_Probs'!D142</f>
        <v>0.995596681349932</v>
      </c>
      <c r="E142" s="12">
        <f>'3_Survival_Probs'!D143</f>
        <v>0.995565073148227</v>
      </c>
      <c r="F142" s="14">
        <f t="shared" si="5"/>
        <v>3.16082017056685e-5</v>
      </c>
      <c r="G142" s="32">
        <f>(1-recovery)*notional*C142*F142</f>
        <v>187.487157619238</v>
      </c>
      <c r="H142" s="14">
        <f t="shared" si="4"/>
        <v>4.19491813851262e-6</v>
      </c>
      <c r="I142" s="33"/>
      <c r="J142" s="31"/>
    </row>
    <row r="143" spans="1:10">
      <c r="A143" s="4">
        <v>141</v>
      </c>
      <c r="B143" s="6">
        <f>'2_Discount_Factors'!B144</f>
        <v>0.386301369863014</v>
      </c>
      <c r="C143" s="6">
        <f>EXP(-r_free*(('2_Discount_Factors'!B143+'2_Discount_Factors'!B144)/2))</f>
        <v>0.988518476390249</v>
      </c>
      <c r="D143" s="6">
        <f>'3_Survival_Probs'!D143</f>
        <v>0.995565073148227</v>
      </c>
      <c r="E143" s="6">
        <f>'3_Survival_Probs'!D144</f>
        <v>0.995533465950018</v>
      </c>
      <c r="F143" s="8">
        <f t="shared" si="5"/>
        <v>3.16071982084942e-5</v>
      </c>
      <c r="G143" s="29">
        <f>(1-recovery)*notional*C143*F143</f>
        <v>187.465796496152</v>
      </c>
      <c r="H143" s="8">
        <f t="shared" si="4"/>
        <v>4.28004101589387e-6</v>
      </c>
      <c r="I143" s="30"/>
      <c r="J143" s="31"/>
    </row>
    <row r="144" spans="1:10">
      <c r="A144" s="10">
        <v>142</v>
      </c>
      <c r="B144" s="12">
        <f>'2_Discount_Factors'!B145</f>
        <v>0.389041095890411</v>
      </c>
      <c r="C144" s="12">
        <f>EXP(-r_free*(('2_Discount_Factors'!B144+'2_Discount_Factors'!B145)/2))</f>
        <v>0.988437231635171</v>
      </c>
      <c r="D144" s="12">
        <f>'3_Survival_Probs'!D144</f>
        <v>0.995533465950018</v>
      </c>
      <c r="E144" s="12">
        <f>'3_Survival_Probs'!D145</f>
        <v>0.995501859755275</v>
      </c>
      <c r="F144" s="14">
        <f t="shared" si="5"/>
        <v>3.16061947431834e-5</v>
      </c>
      <c r="G144" s="32">
        <f>(1-recovery)*notional*C144*F144</f>
        <v>187.444437806846</v>
      </c>
      <c r="H144" s="14">
        <f t="shared" si="4"/>
        <v>4.36514444207722e-6</v>
      </c>
      <c r="I144" s="33"/>
      <c r="J144" s="31"/>
    </row>
    <row r="145" spans="1:10">
      <c r="A145" s="4">
        <v>143</v>
      </c>
      <c r="B145" s="6">
        <f>'2_Discount_Factors'!B146</f>
        <v>0.391780821917808</v>
      </c>
      <c r="C145" s="6">
        <f>EXP(-r_free*(('2_Discount_Factors'!B145+'2_Discount_Factors'!B146)/2))</f>
        <v>0.988355993557469</v>
      </c>
      <c r="D145" s="6">
        <f>'3_Survival_Probs'!D145</f>
        <v>0.995501859755275</v>
      </c>
      <c r="E145" s="6">
        <f>'3_Survival_Probs'!D146</f>
        <v>0.995470254563965</v>
      </c>
      <c r="F145" s="8">
        <f t="shared" si="5"/>
        <v>3.16051913097359e-5</v>
      </c>
      <c r="G145" s="29">
        <f>(1-recovery)*notional*C145*F145</f>
        <v>187.423081551048</v>
      </c>
      <c r="H145" s="8">
        <f t="shared" si="4"/>
        <v>4.45022842039016e-6</v>
      </c>
      <c r="I145" s="30"/>
      <c r="J145" s="31"/>
    </row>
    <row r="146" spans="1:10">
      <c r="A146" s="10">
        <v>144</v>
      </c>
      <c r="B146" s="12">
        <f>'2_Discount_Factors'!B147</f>
        <v>0.394520547945205</v>
      </c>
      <c r="C146" s="12">
        <f>EXP(-r_free*(('2_Discount_Factors'!B146+'2_Discount_Factors'!B147)/2))</f>
        <v>0.988274762156595</v>
      </c>
      <c r="D146" s="12">
        <f>'3_Survival_Probs'!D146</f>
        <v>0.995470254563965</v>
      </c>
      <c r="E146" s="12">
        <f>'3_Survival_Probs'!D147</f>
        <v>0.995438650376057</v>
      </c>
      <c r="F146" s="14">
        <f t="shared" si="5"/>
        <v>3.16041879082629e-5</v>
      </c>
      <c r="G146" s="32">
        <f>(1-recovery)*notional*C146*F146</f>
        <v>187.401727729145</v>
      </c>
      <c r="H146" s="14">
        <f t="shared" si="4"/>
        <v>4.53529295417565e-6</v>
      </c>
      <c r="I146" s="33"/>
      <c r="J146" s="31"/>
    </row>
    <row r="147" spans="1:10">
      <c r="A147" s="4">
        <v>145</v>
      </c>
      <c r="B147" s="6">
        <f>'2_Discount_Factors'!B148</f>
        <v>0.397260273972603</v>
      </c>
      <c r="C147" s="6">
        <f>EXP(-r_free*(('2_Discount_Factors'!B147+'2_Discount_Factors'!B148)/2))</f>
        <v>0.988193537432</v>
      </c>
      <c r="D147" s="6">
        <f>'3_Survival_Probs'!D147</f>
        <v>0.995438650376057</v>
      </c>
      <c r="E147" s="6">
        <f>'3_Survival_Probs'!D148</f>
        <v>0.995407047191518</v>
      </c>
      <c r="F147" s="8">
        <f t="shared" si="5"/>
        <v>3.16031845385423e-5</v>
      </c>
      <c r="G147" s="29">
        <f>(1-recovery)*notional*C147*F147</f>
        <v>187.38037633955</v>
      </c>
      <c r="H147" s="8">
        <f t="shared" si="4"/>
        <v>4.62033804672863e-6</v>
      </c>
      <c r="I147" s="30"/>
      <c r="J147" s="31"/>
    </row>
    <row r="148" spans="1:10">
      <c r="A148" s="10">
        <v>146</v>
      </c>
      <c r="B148" s="12">
        <f>'2_Discount_Factors'!B149</f>
        <v>0.4</v>
      </c>
      <c r="C148" s="12">
        <f>EXP(-r_free*(('2_Discount_Factors'!B148+'2_Discount_Factors'!B149)/2))</f>
        <v>0.988112319383135</v>
      </c>
      <c r="D148" s="12">
        <f>'3_Survival_Probs'!D148</f>
        <v>0.995407047191518</v>
      </c>
      <c r="E148" s="12">
        <f>'3_Survival_Probs'!D149</f>
        <v>0.995375445010318</v>
      </c>
      <c r="F148" s="14">
        <f t="shared" si="5"/>
        <v>3.1602181200685e-5</v>
      </c>
      <c r="G148" s="32">
        <f>(1-recovery)*notional*C148*F148</f>
        <v>187.35902738265</v>
      </c>
      <c r="H148" s="14">
        <f t="shared" si="4"/>
        <v>4.70536370139075e-6</v>
      </c>
      <c r="I148" s="33"/>
      <c r="J148" s="31"/>
    </row>
    <row r="149" spans="1:10">
      <c r="A149" s="4">
        <v>147</v>
      </c>
      <c r="B149" s="6">
        <f>'2_Discount_Factors'!B150</f>
        <v>0.402739726027397</v>
      </c>
      <c r="C149" s="6">
        <f>EXP(-r_free*(('2_Discount_Factors'!B149+'2_Discount_Factors'!B150)/2))</f>
        <v>0.988031108009453</v>
      </c>
      <c r="D149" s="6">
        <f>'3_Survival_Probs'!D149</f>
        <v>0.995375445010318</v>
      </c>
      <c r="E149" s="6">
        <f>'3_Survival_Probs'!D150</f>
        <v>0.995343843832423</v>
      </c>
      <c r="F149" s="8">
        <f t="shared" si="5"/>
        <v>3.16011778946912e-5</v>
      </c>
      <c r="G149" s="29">
        <f>(1-recovery)*notional*C149*F149</f>
        <v>187.337680858173</v>
      </c>
      <c r="H149" s="8">
        <f t="shared" si="4"/>
        <v>4.79036992148753e-6</v>
      </c>
      <c r="I149" s="30"/>
      <c r="J149" s="31"/>
    </row>
    <row r="150" spans="1:10">
      <c r="A150" s="10">
        <v>148</v>
      </c>
      <c r="B150" s="12">
        <f>'2_Discount_Factors'!B151</f>
        <v>0.405479452054795</v>
      </c>
      <c r="C150" s="12">
        <f>EXP(-r_free*(('2_Discount_Factors'!B150+'2_Discount_Factors'!B151)/2))</f>
        <v>0.987949903310403</v>
      </c>
      <c r="D150" s="12">
        <f>'3_Survival_Probs'!D150</f>
        <v>0.995343843832423</v>
      </c>
      <c r="E150" s="12">
        <f>'3_Survival_Probs'!D151</f>
        <v>0.995312243657802</v>
      </c>
      <c r="F150" s="14">
        <f t="shared" si="5"/>
        <v>3.16001746205608e-5</v>
      </c>
      <c r="G150" s="32">
        <f>(1-recovery)*notional*C150*F150</f>
        <v>187.316336765849</v>
      </c>
      <c r="H150" s="14">
        <f t="shared" si="4"/>
        <v>4.87535671034401e-6</v>
      </c>
      <c r="I150" s="33"/>
      <c r="J150" s="31"/>
    </row>
    <row r="151" spans="1:10">
      <c r="A151" s="4">
        <v>149</v>
      </c>
      <c r="B151" s="6">
        <f>'2_Discount_Factors'!B152</f>
        <v>0.408219178082192</v>
      </c>
      <c r="C151" s="6">
        <f>EXP(-r_free*(('2_Discount_Factors'!B151+'2_Discount_Factors'!B152)/2))</f>
        <v>0.987868705285438</v>
      </c>
      <c r="D151" s="6">
        <f>'3_Survival_Probs'!D151</f>
        <v>0.995312243657802</v>
      </c>
      <c r="E151" s="6">
        <f>'3_Survival_Probs'!D152</f>
        <v>0.995280644486424</v>
      </c>
      <c r="F151" s="8">
        <f t="shared" si="5"/>
        <v>3.15991713782937e-5</v>
      </c>
      <c r="G151" s="29">
        <f>(1-recovery)*notional*C151*F151</f>
        <v>187.294995105406</v>
      </c>
      <c r="H151" s="8">
        <f t="shared" si="4"/>
        <v>4.96032407128472e-6</v>
      </c>
      <c r="I151" s="30"/>
      <c r="J151" s="31"/>
    </row>
    <row r="152" spans="1:10">
      <c r="A152" s="10">
        <v>150</v>
      </c>
      <c r="B152" s="12">
        <f>'2_Discount_Factors'!B153</f>
        <v>0.410958904109589</v>
      </c>
      <c r="C152" s="12">
        <f>EXP(-r_free*(('2_Discount_Factors'!B152+'2_Discount_Factors'!B153)/2))</f>
        <v>0.987787513934009</v>
      </c>
      <c r="D152" s="12">
        <f>'3_Survival_Probs'!D152</f>
        <v>0.995280644486424</v>
      </c>
      <c r="E152" s="12">
        <f>'3_Survival_Probs'!D153</f>
        <v>0.995249046318256</v>
      </c>
      <c r="F152" s="14">
        <f t="shared" si="5"/>
        <v>3.15981681677791e-5</v>
      </c>
      <c r="G152" s="32">
        <f>(1-recovery)*notional*C152*F152</f>
        <v>187.273655875915</v>
      </c>
      <c r="H152" s="14">
        <f t="shared" si="4"/>
        <v>5.04527200761597e-6</v>
      </c>
      <c r="I152" s="33"/>
      <c r="J152" s="31"/>
    </row>
    <row r="153" spans="1:10">
      <c r="A153" s="4">
        <v>151</v>
      </c>
      <c r="B153" s="6">
        <f>'2_Discount_Factors'!B154</f>
        <v>0.413698630136986</v>
      </c>
      <c r="C153" s="6">
        <f>EXP(-r_free*(('2_Discount_Factors'!B153+'2_Discount_Factors'!B154)/2))</f>
        <v>0.987706329255567</v>
      </c>
      <c r="D153" s="6">
        <f>'3_Survival_Probs'!D153</f>
        <v>0.995249046318256</v>
      </c>
      <c r="E153" s="6">
        <f>'3_Survival_Probs'!D154</f>
        <v>0.995217449153267</v>
      </c>
      <c r="F153" s="8">
        <f t="shared" si="5"/>
        <v>3.15971649892388e-5</v>
      </c>
      <c r="G153" s="29">
        <f>(1-recovery)*notional*C153*F153</f>
        <v>187.252319078422</v>
      </c>
      <c r="H153" s="8">
        <f t="shared" si="4"/>
        <v>5.13020052269647e-6</v>
      </c>
      <c r="I153" s="30"/>
      <c r="J153" s="31"/>
    </row>
    <row r="154" spans="1:10">
      <c r="A154" s="10">
        <v>152</v>
      </c>
      <c r="B154" s="12">
        <f>'2_Discount_Factors'!B155</f>
        <v>0.416438356164384</v>
      </c>
      <c r="C154" s="12">
        <f>EXP(-r_free*(('2_Discount_Factors'!B154+'2_Discount_Factors'!B155)/2))</f>
        <v>0.987625151249565</v>
      </c>
      <c r="D154" s="12">
        <f>'3_Survival_Probs'!D154</f>
        <v>0.995217449153267</v>
      </c>
      <c r="E154" s="12">
        <f>'3_Survival_Probs'!D155</f>
        <v>0.995185852991425</v>
      </c>
      <c r="F154" s="14">
        <f t="shared" si="5"/>
        <v>3.1596161842451e-5</v>
      </c>
      <c r="G154" s="32">
        <f>(1-recovery)*notional*C154*F154</f>
        <v>187.230984711338</v>
      </c>
      <c r="H154" s="14">
        <f t="shared" si="4"/>
        <v>5.21510961981352e-6</v>
      </c>
      <c r="I154" s="33"/>
      <c r="J154" s="31"/>
    </row>
    <row r="155" spans="1:10">
      <c r="A155" s="4">
        <v>153</v>
      </c>
      <c r="B155" s="6">
        <f>'2_Discount_Factors'!B156</f>
        <v>0.419178082191781</v>
      </c>
      <c r="C155" s="6">
        <f>EXP(-r_free*(('2_Discount_Factors'!B155+'2_Discount_Factors'!B156)/2))</f>
        <v>0.987543979915453</v>
      </c>
      <c r="D155" s="6">
        <f>'3_Survival_Probs'!D155</f>
        <v>0.995185852991425</v>
      </c>
      <c r="E155" s="6">
        <f>'3_Survival_Probs'!D156</f>
        <v>0.995154257832697</v>
      </c>
      <c r="F155" s="8">
        <f t="shared" si="5"/>
        <v>3.15951587276375e-5</v>
      </c>
      <c r="G155" s="29">
        <f>(1-recovery)*notional*C155*F155</f>
        <v>187.20965277571</v>
      </c>
      <c r="H155" s="8">
        <f t="shared" si="4"/>
        <v>5.29999930232602e-6</v>
      </c>
      <c r="I155" s="30"/>
      <c r="J155" s="31"/>
    </row>
    <row r="156" spans="1:10">
      <c r="A156" s="10">
        <v>154</v>
      </c>
      <c r="B156" s="12">
        <f>'2_Discount_Factors'!B157</f>
        <v>0.421917808219178</v>
      </c>
      <c r="C156" s="12">
        <f>EXP(-r_free*(('2_Discount_Factors'!B156+'2_Discount_Factors'!B157)/2))</f>
        <v>0.987462815252684</v>
      </c>
      <c r="D156" s="12">
        <f>'3_Survival_Probs'!D156</f>
        <v>0.995154257832697</v>
      </c>
      <c r="E156" s="12">
        <f>'3_Survival_Probs'!D157</f>
        <v>0.995122663677052</v>
      </c>
      <c r="F156" s="14">
        <f t="shared" si="5"/>
        <v>3.15941556445765e-5</v>
      </c>
      <c r="G156" s="32">
        <f>(1-recovery)*notional*C156*F156</f>
        <v>187.18832326995</v>
      </c>
      <c r="H156" s="14">
        <f t="shared" si="4"/>
        <v>5.38486957351909e-6</v>
      </c>
      <c r="I156" s="33"/>
      <c r="J156" s="31"/>
    </row>
    <row r="157" spans="1:10">
      <c r="A157" s="4">
        <v>155</v>
      </c>
      <c r="B157" s="6">
        <f>'2_Discount_Factors'!B158</f>
        <v>0.424657534246575</v>
      </c>
      <c r="C157" s="6">
        <f>EXP(-r_free*(('2_Discount_Factors'!B157+'2_Discount_Factors'!B158)/2))</f>
        <v>0.987381657260708</v>
      </c>
      <c r="D157" s="6">
        <f>'3_Survival_Probs'!D157</f>
        <v>0.995122663677052</v>
      </c>
      <c r="E157" s="6">
        <f>'3_Survival_Probs'!D158</f>
        <v>0.995091070524459</v>
      </c>
      <c r="F157" s="8">
        <f t="shared" si="5"/>
        <v>3.15931525933788e-5</v>
      </c>
      <c r="G157" s="29">
        <f>(1-recovery)*notional*C157*F157</f>
        <v>187.166996194445</v>
      </c>
      <c r="H157" s="8">
        <f t="shared" si="4"/>
        <v>5.46972043673262e-6</v>
      </c>
      <c r="I157" s="30"/>
      <c r="J157" s="31"/>
    </row>
    <row r="158" spans="1:10">
      <c r="A158" s="10">
        <v>156</v>
      </c>
      <c r="B158" s="12">
        <f>'2_Discount_Factors'!B159</f>
        <v>0.427397260273973</v>
      </c>
      <c r="C158" s="12">
        <f>EXP(-r_free*(('2_Discount_Factors'!B158+'2_Discount_Factors'!B159)/2))</f>
        <v>0.987300505938979</v>
      </c>
      <c r="D158" s="12">
        <f>'3_Survival_Probs'!D158</f>
        <v>0.995091070524459</v>
      </c>
      <c r="E158" s="12">
        <f>'3_Survival_Probs'!D159</f>
        <v>0.995059478374885</v>
      </c>
      <c r="F158" s="14">
        <f t="shared" si="5"/>
        <v>3.15921495740445e-5</v>
      </c>
      <c r="G158" s="32">
        <f>(1-recovery)*notional*C158*F158</f>
        <v>187.145671548924</v>
      </c>
      <c r="H158" s="14">
        <f t="shared" ref="H158:H184" si="6">C158*(B158-0.249315068493151)*F158</f>
        <v>5.5545518952877e-6</v>
      </c>
      <c r="I158" s="33"/>
      <c r="J158" s="31"/>
    </row>
    <row r="159" spans="1:10">
      <c r="A159" s="4">
        <v>157</v>
      </c>
      <c r="B159" s="6">
        <f>'2_Discount_Factors'!B160</f>
        <v>0.43013698630137</v>
      </c>
      <c r="C159" s="6">
        <f>EXP(-r_free*(('2_Discount_Factors'!B159+'2_Discount_Factors'!B160)/2))</f>
        <v>0.987219361286946</v>
      </c>
      <c r="D159" s="6">
        <f>'3_Survival_Probs'!D159</f>
        <v>0.995059478374885</v>
      </c>
      <c r="E159" s="6">
        <f>'3_Survival_Probs'!D160</f>
        <v>0.995027887228299</v>
      </c>
      <c r="F159" s="8">
        <f t="shared" si="5"/>
        <v>3.15911465864627e-5</v>
      </c>
      <c r="G159" s="29">
        <f>(1-recovery)*notional*C159*F159</f>
        <v>187.12434933246</v>
      </c>
      <c r="H159" s="8">
        <f t="shared" si="6"/>
        <v>5.63936395248508e-6</v>
      </c>
      <c r="I159" s="30"/>
      <c r="J159" s="31"/>
    </row>
    <row r="160" spans="1:10">
      <c r="A160" s="10">
        <v>158</v>
      </c>
      <c r="B160" s="12">
        <f>'2_Discount_Factors'!B161</f>
        <v>0.432876712328767</v>
      </c>
      <c r="C160" s="12">
        <f>EXP(-r_free*(('2_Discount_Factors'!B160+'2_Discount_Factors'!B161)/2))</f>
        <v>0.987138223304064</v>
      </c>
      <c r="D160" s="12">
        <f>'3_Survival_Probs'!D160</f>
        <v>0.995027887228299</v>
      </c>
      <c r="E160" s="12">
        <f>'3_Survival_Probs'!D161</f>
        <v>0.994996297084668</v>
      </c>
      <c r="F160" s="14">
        <f t="shared" si="5"/>
        <v>3.15901436308552e-5</v>
      </c>
      <c r="G160" s="32">
        <f>(1-recovery)*notional*C160*F160</f>
        <v>187.103029546096</v>
      </c>
      <c r="H160" s="14">
        <f t="shared" si="6"/>
        <v>5.72415661168419e-6</v>
      </c>
      <c r="I160" s="33"/>
      <c r="J160" s="31"/>
    </row>
    <row r="161" spans="1:10">
      <c r="A161" s="4">
        <v>159</v>
      </c>
      <c r="B161" s="6">
        <f>'2_Discount_Factors'!B162</f>
        <v>0.435616438356164</v>
      </c>
      <c r="C161" s="6">
        <f>EXP(-r_free*(('2_Discount_Factors'!B161+'2_Discount_Factors'!B162)/2))</f>
        <v>0.987057091989782</v>
      </c>
      <c r="D161" s="6">
        <f>'3_Survival_Probs'!D161</f>
        <v>0.994996297084668</v>
      </c>
      <c r="E161" s="6">
        <f>'3_Survival_Probs'!D162</f>
        <v>0.994964707943961</v>
      </c>
      <c r="F161" s="8">
        <f t="shared" si="5"/>
        <v>3.15891407070001e-5</v>
      </c>
      <c r="G161" s="29">
        <f>(1-recovery)*notional*C161*F161</f>
        <v>187.081712188246</v>
      </c>
      <c r="H161" s="8">
        <f t="shared" si="6"/>
        <v>5.8089298761647e-6</v>
      </c>
      <c r="I161" s="30"/>
      <c r="J161" s="31"/>
    </row>
    <row r="162" spans="1:10">
      <c r="A162" s="10">
        <v>160</v>
      </c>
      <c r="B162" s="12">
        <f>'2_Discount_Factors'!B163</f>
        <v>0.438356164383562</v>
      </c>
      <c r="C162" s="12">
        <f>EXP(-r_free*(('2_Discount_Factors'!B162+'2_Discount_Factors'!B163)/2))</f>
        <v>0.986975967343554</v>
      </c>
      <c r="D162" s="12">
        <f>'3_Survival_Probs'!D162</f>
        <v>0.994964707943961</v>
      </c>
      <c r="E162" s="12">
        <f>'3_Survival_Probs'!D163</f>
        <v>0.994933119806146</v>
      </c>
      <c r="F162" s="14">
        <f t="shared" si="5"/>
        <v>3.15881378150085e-5</v>
      </c>
      <c r="G162" s="32">
        <f>(1-recovery)*notional*C162*F162</f>
        <v>187.060397259297</v>
      </c>
      <c r="H162" s="14">
        <f t="shared" si="6"/>
        <v>5.89368374926551e-6</v>
      </c>
      <c r="I162" s="33"/>
      <c r="J162" s="31"/>
    </row>
    <row r="163" spans="1:10">
      <c r="A163" s="4">
        <v>161</v>
      </c>
      <c r="B163" s="6">
        <f>'2_Discount_Factors'!B164</f>
        <v>0.441095890410959</v>
      </c>
      <c r="C163" s="6">
        <f>EXP(-r_free*(('2_Discount_Factors'!B163+'2_Discount_Factors'!B164)/2))</f>
        <v>0.986894849364831</v>
      </c>
      <c r="D163" s="6">
        <f>'3_Survival_Probs'!D163</f>
        <v>0.994933119806146</v>
      </c>
      <c r="E163" s="6">
        <f>'3_Survival_Probs'!D164</f>
        <v>0.994901532671191</v>
      </c>
      <c r="F163" s="8">
        <f t="shared" si="5"/>
        <v>3.15871349548802e-5</v>
      </c>
      <c r="G163" s="29">
        <f>(1-recovery)*notional*C163*F163</f>
        <v>187.039084758978</v>
      </c>
      <c r="H163" s="8">
        <f t="shared" si="6"/>
        <v>5.97841823430524e-6</v>
      </c>
      <c r="I163" s="30"/>
      <c r="J163" s="31"/>
    </row>
    <row r="164" spans="1:10">
      <c r="A164" s="10">
        <v>162</v>
      </c>
      <c r="B164" s="12">
        <f>'2_Discount_Factors'!B165</f>
        <v>0.443835616438356</v>
      </c>
      <c r="C164" s="12">
        <f>EXP(-r_free*(('2_Discount_Factors'!B164+'2_Discount_Factors'!B165)/2))</f>
        <v>0.986813738053065</v>
      </c>
      <c r="D164" s="12">
        <f>'3_Survival_Probs'!D164</f>
        <v>0.994901532671191</v>
      </c>
      <c r="E164" s="12">
        <f>'3_Survival_Probs'!D165</f>
        <v>0.994869946539064</v>
      </c>
      <c r="F164" s="14">
        <f t="shared" si="5"/>
        <v>3.15861321266153e-5</v>
      </c>
      <c r="G164" s="32">
        <f>(1-recovery)*notional*C164*F164</f>
        <v>187.01777468702</v>
      </c>
      <c r="H164" s="14">
        <f t="shared" si="6"/>
        <v>6.063133334602e-6</v>
      </c>
      <c r="I164" s="33"/>
      <c r="J164" s="31"/>
    </row>
    <row r="165" spans="1:10">
      <c r="A165" s="4">
        <v>163</v>
      </c>
      <c r="B165" s="6">
        <f>'2_Discount_Factors'!B166</f>
        <v>0.446575342465753</v>
      </c>
      <c r="C165" s="6">
        <f>EXP(-r_free*(('2_Discount_Factors'!B165+'2_Discount_Factors'!B166)/2))</f>
        <v>0.986732633407708</v>
      </c>
      <c r="D165" s="6">
        <f>'3_Survival_Probs'!D165</f>
        <v>0.994869946539064</v>
      </c>
      <c r="E165" s="6">
        <f>'3_Survival_Probs'!D166</f>
        <v>0.994838361409734</v>
      </c>
      <c r="F165" s="8">
        <f t="shared" si="5"/>
        <v>3.15851293301028e-5</v>
      </c>
      <c r="G165" s="29">
        <f>(1-recovery)*notional*C165*F165</f>
        <v>186.996467042492</v>
      </c>
      <c r="H165" s="8">
        <f t="shared" si="6"/>
        <v>6.14782905345179e-6</v>
      </c>
      <c r="I165" s="30"/>
      <c r="J165" s="31"/>
    </row>
    <row r="166" spans="1:10">
      <c r="A166" s="10">
        <v>164</v>
      </c>
      <c r="B166" s="12">
        <f>'2_Discount_Factors'!B167</f>
        <v>0.449315068493151</v>
      </c>
      <c r="C166" s="12">
        <f>EXP(-r_free*(('2_Discount_Factors'!B166+'2_Discount_Factors'!B167)/2))</f>
        <v>0.986651535428212</v>
      </c>
      <c r="D166" s="12">
        <f>'3_Survival_Probs'!D166</f>
        <v>0.994838361409734</v>
      </c>
      <c r="E166" s="12">
        <f>'3_Survival_Probs'!D167</f>
        <v>0.994806777283169</v>
      </c>
      <c r="F166" s="14">
        <f t="shared" si="5"/>
        <v>3.15841265654537e-5</v>
      </c>
      <c r="G166" s="32">
        <f>(1-recovery)*notional*C166*F166</f>
        <v>186.975161825783</v>
      </c>
      <c r="H166" s="14">
        <f t="shared" si="6"/>
        <v>6.23250539419277e-6</v>
      </c>
      <c r="I166" s="33"/>
      <c r="J166" s="31"/>
    </row>
    <row r="167" spans="1:10">
      <c r="A167" s="4">
        <v>165</v>
      </c>
      <c r="B167" s="6">
        <f>'2_Discount_Factors'!B168</f>
        <v>0.452054794520548</v>
      </c>
      <c r="C167" s="6">
        <f>EXP(-r_free*(('2_Discount_Factors'!B167+'2_Discount_Factors'!B168)/2))</f>
        <v>0.98657044411403</v>
      </c>
      <c r="D167" s="6">
        <f>'3_Survival_Probs'!D167</f>
        <v>0.994806777283169</v>
      </c>
      <c r="E167" s="6">
        <f>'3_Survival_Probs'!D168</f>
        <v>0.994775194159336</v>
      </c>
      <c r="F167" s="8">
        <f t="shared" si="5"/>
        <v>3.1583123832668e-5</v>
      </c>
      <c r="G167" s="29">
        <f>(1-recovery)*notional*C167*F167</f>
        <v>186.953859036622</v>
      </c>
      <c r="H167" s="8">
        <f t="shared" si="6"/>
        <v>6.31716236014156e-6</v>
      </c>
      <c r="I167" s="30"/>
      <c r="J167" s="31"/>
    </row>
    <row r="168" spans="1:10">
      <c r="A168" s="10">
        <v>166</v>
      </c>
      <c r="B168" s="12">
        <f>'2_Discount_Factors'!B169</f>
        <v>0.454794520547945</v>
      </c>
      <c r="C168" s="12">
        <f>EXP(-r_free*(('2_Discount_Factors'!B168+'2_Discount_Factors'!B169)/2))</f>
        <v>0.986489359464614</v>
      </c>
      <c r="D168" s="12">
        <f>'3_Survival_Probs'!D168</f>
        <v>0.994775194159336</v>
      </c>
      <c r="E168" s="12">
        <f>'3_Survival_Probs'!D169</f>
        <v>0.994743612038204</v>
      </c>
      <c r="F168" s="14">
        <f t="shared" si="5"/>
        <v>3.15821211317457e-5</v>
      </c>
      <c r="G168" s="32">
        <f>(1-recovery)*notional*C168*F168</f>
        <v>186.932558674738</v>
      </c>
      <c r="H168" s="14">
        <f t="shared" si="6"/>
        <v>6.40179995461431e-6</v>
      </c>
      <c r="I168" s="33"/>
      <c r="J168" s="31"/>
    </row>
    <row r="169" spans="1:10">
      <c r="A169" s="4">
        <v>167</v>
      </c>
      <c r="B169" s="6">
        <f>'2_Discount_Factors'!B170</f>
        <v>0.457534246575342</v>
      </c>
      <c r="C169" s="6">
        <f>EXP(-r_free*(('2_Discount_Factors'!B169+'2_Discount_Factors'!B170)/2))</f>
        <v>0.986408281479415</v>
      </c>
      <c r="D169" s="6">
        <f>'3_Survival_Probs'!D169</f>
        <v>0.994743612038204</v>
      </c>
      <c r="E169" s="6">
        <f>'3_Survival_Probs'!D170</f>
        <v>0.994712030919742</v>
      </c>
      <c r="F169" s="8">
        <f t="shared" si="5"/>
        <v>3.15811184625758e-5</v>
      </c>
      <c r="G169" s="29">
        <f>(1-recovery)*notional*C169*F169</f>
        <v>186.911260739204</v>
      </c>
      <c r="H169" s="8">
        <f t="shared" si="6"/>
        <v>6.48641818090386e-6</v>
      </c>
      <c r="I169" s="30"/>
      <c r="J169" s="31"/>
    </row>
    <row r="170" spans="1:10">
      <c r="A170" s="10">
        <v>168</v>
      </c>
      <c r="B170" s="12">
        <f>'2_Discount_Factors'!B171</f>
        <v>0.46027397260274</v>
      </c>
      <c r="C170" s="12">
        <f>EXP(-r_free*(('2_Discount_Factors'!B170+'2_Discount_Factors'!B171)/2))</f>
        <v>0.986327210157887</v>
      </c>
      <c r="D170" s="12">
        <f>'3_Survival_Probs'!D170</f>
        <v>0.994712030919742</v>
      </c>
      <c r="E170" s="12">
        <f>'3_Survival_Probs'!D171</f>
        <v>0.994680450803916</v>
      </c>
      <c r="F170" s="14">
        <f t="shared" si="5"/>
        <v>3.15801158252693e-5</v>
      </c>
      <c r="G170" s="32">
        <f>(1-recovery)*notional*C170*F170</f>
        <v>186.889965230405</v>
      </c>
      <c r="H170" s="14">
        <f t="shared" si="6"/>
        <v>6.57101704234756e-6</v>
      </c>
      <c r="I170" s="33"/>
      <c r="J170" s="31"/>
    </row>
    <row r="171" spans="1:10">
      <c r="A171" s="4">
        <v>169</v>
      </c>
      <c r="B171" s="6">
        <f>'2_Discount_Factors'!B172</f>
        <v>0.463013698630137</v>
      </c>
      <c r="C171" s="6">
        <f>EXP(-r_free*(('2_Discount_Factors'!B171+'2_Discount_Factors'!B172)/2))</f>
        <v>0.986246145499481</v>
      </c>
      <c r="D171" s="6">
        <f>'3_Survival_Probs'!D171</f>
        <v>0.994680450803916</v>
      </c>
      <c r="E171" s="6">
        <f>'3_Survival_Probs'!D172</f>
        <v>0.994648871690697</v>
      </c>
      <c r="F171" s="8">
        <f t="shared" si="5"/>
        <v>3.15791132198262e-5</v>
      </c>
      <c r="G171" s="29">
        <f>(1-recovery)*notional*C171*F171</f>
        <v>186.868672148072</v>
      </c>
      <c r="H171" s="8">
        <f t="shared" si="6"/>
        <v>6.65559654226008e-6</v>
      </c>
      <c r="I171" s="30"/>
      <c r="J171" s="31"/>
    </row>
    <row r="172" spans="1:10">
      <c r="A172" s="10">
        <v>170</v>
      </c>
      <c r="B172" s="12">
        <f>'2_Discount_Factors'!B173</f>
        <v>0.465753424657534</v>
      </c>
      <c r="C172" s="12">
        <f>EXP(-r_free*(('2_Discount_Factors'!B172+'2_Discount_Factors'!B173)/2))</f>
        <v>0.986165087503649</v>
      </c>
      <c r="D172" s="12">
        <f>'3_Survival_Probs'!D172</f>
        <v>0.994648871690697</v>
      </c>
      <c r="E172" s="12">
        <f>'3_Survival_Probs'!D173</f>
        <v>0.99461729358005</v>
      </c>
      <c r="F172" s="14">
        <f t="shared" si="5"/>
        <v>3.15781106462465e-5</v>
      </c>
      <c r="G172" s="32">
        <f>(1-recovery)*notional*C172*F172</f>
        <v>186.847381491934</v>
      </c>
      <c r="H172" s="14">
        <f t="shared" si="6"/>
        <v>6.74015668395558e-6</v>
      </c>
      <c r="I172" s="33"/>
      <c r="J172" s="31"/>
    </row>
    <row r="173" spans="1:10">
      <c r="A173" s="4">
        <v>171</v>
      </c>
      <c r="B173" s="6">
        <f>'2_Discount_Factors'!B174</f>
        <v>0.468493150684932</v>
      </c>
      <c r="C173" s="6">
        <f>EXP(-r_free*(('2_Discount_Factors'!B173+'2_Discount_Factors'!B174)/2))</f>
        <v>0.986084036169845</v>
      </c>
      <c r="D173" s="6">
        <f>'3_Survival_Probs'!D173</f>
        <v>0.99461729358005</v>
      </c>
      <c r="E173" s="6">
        <f>'3_Survival_Probs'!D174</f>
        <v>0.994585716471946</v>
      </c>
      <c r="F173" s="8">
        <f t="shared" si="5"/>
        <v>3.15771081044192e-5</v>
      </c>
      <c r="G173" s="29">
        <f>(1-recovery)*notional*C173*F173</f>
        <v>186.826093261063</v>
      </c>
      <c r="H173" s="8">
        <f t="shared" si="6"/>
        <v>6.82469747072376e-6</v>
      </c>
      <c r="I173" s="30"/>
      <c r="J173" s="31"/>
    </row>
    <row r="174" spans="1:10">
      <c r="A174" s="10">
        <v>172</v>
      </c>
      <c r="B174" s="12">
        <f>'2_Discount_Factors'!B175</f>
        <v>0.471232876712329</v>
      </c>
      <c r="C174" s="12">
        <f>EXP(-r_free*(('2_Discount_Factors'!B174+'2_Discount_Factors'!B175)/2))</f>
        <v>0.986002991497521</v>
      </c>
      <c r="D174" s="12">
        <f>'3_Survival_Probs'!D174</f>
        <v>0.994585716471946</v>
      </c>
      <c r="E174" s="12">
        <f>'3_Survival_Probs'!D175</f>
        <v>0.994554140366351</v>
      </c>
      <c r="F174" s="14">
        <f t="shared" si="5"/>
        <v>3.15761055944552e-5</v>
      </c>
      <c r="G174" s="32">
        <f>(1-recovery)*notional*C174*F174</f>
        <v>186.804807455847</v>
      </c>
      <c r="H174" s="14">
        <f t="shared" si="6"/>
        <v>6.90921890590117e-6</v>
      </c>
      <c r="I174" s="33"/>
      <c r="J174" s="31"/>
    </row>
    <row r="175" spans="1:10">
      <c r="A175" s="4">
        <v>173</v>
      </c>
      <c r="B175" s="6">
        <f>'2_Discount_Factors'!B176</f>
        <v>0.473972602739726</v>
      </c>
      <c r="C175" s="6">
        <f>EXP(-r_free*(('2_Discount_Factors'!B175+'2_Discount_Factors'!B176)/2))</f>
        <v>0.985921953486129</v>
      </c>
      <c r="D175" s="6">
        <f>'3_Survival_Probs'!D175</f>
        <v>0.994554140366351</v>
      </c>
      <c r="E175" s="6">
        <f>'3_Survival_Probs'!D176</f>
        <v>0.994522565263235</v>
      </c>
      <c r="F175" s="8">
        <f t="shared" si="5"/>
        <v>3.15751031162437e-5</v>
      </c>
      <c r="G175" s="29">
        <f>(1-recovery)*notional*C175*F175</f>
        <v>186.783524075358</v>
      </c>
      <c r="H175" s="8">
        <f t="shared" si="6"/>
        <v>6.99372099277594e-6</v>
      </c>
      <c r="I175" s="30"/>
      <c r="J175" s="31"/>
    </row>
    <row r="176" spans="1:10">
      <c r="A176" s="10">
        <v>174</v>
      </c>
      <c r="B176" s="12">
        <f>'2_Discount_Factors'!B177</f>
        <v>0.476712328767123</v>
      </c>
      <c r="C176" s="12">
        <f>EXP(-r_free*(('2_Discount_Factors'!B176+'2_Discount_Factors'!B177)/2))</f>
        <v>0.985840922135122</v>
      </c>
      <c r="D176" s="12">
        <f>'3_Survival_Probs'!D176</f>
        <v>0.994522565263235</v>
      </c>
      <c r="E176" s="12">
        <f>'3_Survival_Probs'!D177</f>
        <v>0.994490991162565</v>
      </c>
      <c r="F176" s="14">
        <f t="shared" si="5"/>
        <v>3.15741006700065e-5</v>
      </c>
      <c r="G176" s="32">
        <f>(1-recovery)*notional*C176*F176</f>
        <v>186.762243120639</v>
      </c>
      <c r="H176" s="14">
        <f t="shared" si="6"/>
        <v>7.07820373470912e-6</v>
      </c>
      <c r="I176" s="33"/>
      <c r="J176" s="31"/>
    </row>
    <row r="177" spans="1:10">
      <c r="A177" s="4">
        <v>175</v>
      </c>
      <c r="B177" s="6">
        <f>'2_Discount_Factors'!B178</f>
        <v>0.479452054794521</v>
      </c>
      <c r="C177" s="6">
        <f>EXP(-r_free*(('2_Discount_Factors'!B177+'2_Discount_Factors'!B178)/2))</f>
        <v>0.985759897443952</v>
      </c>
      <c r="D177" s="6">
        <f>'3_Survival_Probs'!D177</f>
        <v>0.994490991162565</v>
      </c>
      <c r="E177" s="6">
        <f>'3_Survival_Probs'!D178</f>
        <v>0.99445941806431</v>
      </c>
      <c r="F177" s="8">
        <f t="shared" si="5"/>
        <v>3.15730982555218e-5</v>
      </c>
      <c r="G177" s="29">
        <f>(1-recovery)*notional*C177*F177</f>
        <v>186.740964590106</v>
      </c>
      <c r="H177" s="8">
        <f t="shared" si="6"/>
        <v>7.16266713496295e-6</v>
      </c>
      <c r="I177" s="30"/>
      <c r="J177" s="31"/>
    </row>
    <row r="178" spans="1:10">
      <c r="A178" s="10">
        <v>176</v>
      </c>
      <c r="B178" s="12">
        <f>'2_Discount_Factors'!B179</f>
        <v>0.482191780821918</v>
      </c>
      <c r="C178" s="12">
        <f>EXP(-r_free*(('2_Discount_Factors'!B178+'2_Discount_Factors'!B179)/2))</f>
        <v>0.985678879412072</v>
      </c>
      <c r="D178" s="12">
        <f>'3_Survival_Probs'!D178</f>
        <v>0.99445941806431</v>
      </c>
      <c r="E178" s="12">
        <f>'3_Survival_Probs'!D179</f>
        <v>0.994427845968437</v>
      </c>
      <c r="F178" s="14">
        <f t="shared" si="5"/>
        <v>3.15720958727894e-5</v>
      </c>
      <c r="G178" s="32">
        <f>(1-recovery)*notional*C178*F178</f>
        <v>186.719688483489</v>
      </c>
      <c r="H178" s="14">
        <f t="shared" si="6"/>
        <v>7.24711119684775e-6</v>
      </c>
      <c r="I178" s="33"/>
      <c r="J178" s="31"/>
    </row>
    <row r="179" spans="1:10">
      <c r="A179" s="4">
        <v>177</v>
      </c>
      <c r="B179" s="6">
        <f>'2_Discount_Factors'!B180</f>
        <v>0.484931506849315</v>
      </c>
      <c r="C179" s="6">
        <f>EXP(-r_free*(('2_Discount_Factors'!B179+'2_Discount_Factors'!B180)/2))</f>
        <v>0.985597868038935</v>
      </c>
      <c r="D179" s="6">
        <f>'3_Survival_Probs'!D179</f>
        <v>0.994427845968437</v>
      </c>
      <c r="E179" s="6">
        <f>'3_Survival_Probs'!D180</f>
        <v>0.994396274874915</v>
      </c>
      <c r="F179" s="8">
        <f t="shared" si="5"/>
        <v>3.15710935219204e-5</v>
      </c>
      <c r="G179" s="29">
        <f>(1-recovery)*notional*C179*F179</f>
        <v>186.698414801176</v>
      </c>
      <c r="H179" s="8">
        <f t="shared" si="6"/>
        <v>7.33153592369913e-6</v>
      </c>
      <c r="I179" s="30"/>
      <c r="J179" s="31"/>
    </row>
    <row r="180" spans="1:10">
      <c r="A180" s="10">
        <v>178</v>
      </c>
      <c r="B180" s="12">
        <f>'2_Discount_Factors'!B181</f>
        <v>0.487671232876712</v>
      </c>
      <c r="C180" s="12">
        <f>EXP(-r_free*(('2_Discount_Factors'!B180+'2_Discount_Factors'!B181)/2))</f>
        <v>0.985516863323993</v>
      </c>
      <c r="D180" s="12">
        <f>'3_Survival_Probs'!D180</f>
        <v>0.994396274874915</v>
      </c>
      <c r="E180" s="12">
        <f>'3_Survival_Probs'!D181</f>
        <v>0.994364704783712</v>
      </c>
      <c r="F180" s="14">
        <f t="shared" si="5"/>
        <v>3.15700912029149e-5</v>
      </c>
      <c r="G180" s="32">
        <f>(1-recovery)*notional*C180*F180</f>
        <v>186.677143542894</v>
      </c>
      <c r="H180" s="14">
        <f t="shared" si="6"/>
        <v>7.4159413188273e-6</v>
      </c>
      <c r="I180" s="33"/>
      <c r="J180" s="31"/>
    </row>
    <row r="181" spans="1:10">
      <c r="A181" s="4">
        <v>179</v>
      </c>
      <c r="B181" s="6">
        <f>'2_Discount_Factors'!B182</f>
        <v>0.49041095890411</v>
      </c>
      <c r="C181" s="6">
        <f>EXP(-r_free*(('2_Discount_Factors'!B181+'2_Discount_Factors'!B182)/2))</f>
        <v>0.985435865266699</v>
      </c>
      <c r="D181" s="6">
        <f>'3_Survival_Probs'!D181</f>
        <v>0.994364704783712</v>
      </c>
      <c r="E181" s="6">
        <f>'3_Survival_Probs'!D182</f>
        <v>0.994333135694796</v>
      </c>
      <c r="F181" s="8">
        <f t="shared" si="5"/>
        <v>3.15690889157727e-5</v>
      </c>
      <c r="G181" s="29">
        <f>(1-recovery)*notional*C181*F181</f>
        <v>186.655874708375</v>
      </c>
      <c r="H181" s="8">
        <f t="shared" si="6"/>
        <v>7.500327385542e-6</v>
      </c>
      <c r="I181" s="30"/>
      <c r="J181" s="31"/>
    </row>
    <row r="182" spans="1:10">
      <c r="A182" s="10">
        <v>180</v>
      </c>
      <c r="B182" s="12">
        <f>'2_Discount_Factors'!B183</f>
        <v>0.493150684931507</v>
      </c>
      <c r="C182" s="12">
        <f>EXP(-r_free*(('2_Discount_Factors'!B182+'2_Discount_Factors'!B183)/2))</f>
        <v>0.985354873866506</v>
      </c>
      <c r="D182" s="12">
        <f>'3_Survival_Probs'!D182</f>
        <v>0.994333135694796</v>
      </c>
      <c r="E182" s="12">
        <f>'3_Survival_Probs'!D183</f>
        <v>0.994301567608136</v>
      </c>
      <c r="F182" s="14">
        <f t="shared" si="5"/>
        <v>3.15680866603829e-5</v>
      </c>
      <c r="G182" s="32">
        <f>(1-recovery)*notional*C182*F182</f>
        <v>186.634608296691</v>
      </c>
      <c r="H182" s="14">
        <f t="shared" si="6"/>
        <v>7.5846941271258e-6</v>
      </c>
      <c r="I182" s="33"/>
      <c r="J182" s="31"/>
    </row>
    <row r="183" spans="1:10">
      <c r="A183" s="4">
        <v>181</v>
      </c>
      <c r="B183" s="6">
        <f>'2_Discount_Factors'!B184</f>
        <v>0.495890410958904</v>
      </c>
      <c r="C183" s="6">
        <f>EXP(-r_free*(('2_Discount_Factors'!B183+'2_Discount_Factors'!B184)/2))</f>
        <v>0.985273889122867</v>
      </c>
      <c r="D183" s="6">
        <f>'3_Survival_Probs'!D183</f>
        <v>0.994301567608136</v>
      </c>
      <c r="E183" s="6">
        <f>'3_Survival_Probs'!D184</f>
        <v>0.994270000523699</v>
      </c>
      <c r="F183" s="8">
        <f t="shared" si="5"/>
        <v>3.15670844367455e-5</v>
      </c>
      <c r="G183" s="29">
        <f>(1-recovery)*notional*C183*F183</f>
        <v>186.613344307573</v>
      </c>
      <c r="H183" s="8">
        <f t="shared" si="6"/>
        <v>7.66904154688655e-6</v>
      </c>
      <c r="I183" s="30"/>
      <c r="J183" s="31"/>
    </row>
    <row r="184" spans="1:10">
      <c r="A184" s="34">
        <v>182</v>
      </c>
      <c r="B184" s="35">
        <f>'2_Discount_Factors'!B185</f>
        <v>0.498630136986301</v>
      </c>
      <c r="C184" s="35">
        <f>EXP(-r_free*(('2_Discount_Factors'!B184+'2_Discount_Factors'!B185)/2))</f>
        <v>0.985192911035235</v>
      </c>
      <c r="D184" s="35">
        <f>'3_Survival_Probs'!D184</f>
        <v>0.994270000523699</v>
      </c>
      <c r="E184" s="35">
        <f>'3_Survival_Probs'!D185</f>
        <v>0.994238434441454</v>
      </c>
      <c r="F184" s="36">
        <f t="shared" si="5"/>
        <v>3.15660822450825e-5</v>
      </c>
      <c r="G184" s="37">
        <f>(1-recovery)*notional*C184*F184</f>
        <v>186.592082742063</v>
      </c>
      <c r="H184" s="36">
        <f t="shared" si="6"/>
        <v>7.75336964818617e-6</v>
      </c>
      <c r="I184" s="38" t="s">
        <v>71</v>
      </c>
      <c r="J184" s="31"/>
    </row>
    <row r="185" spans="1:10">
      <c r="A185" s="4">
        <v>183</v>
      </c>
      <c r="B185" s="6">
        <f>'2_Discount_Factors'!B186</f>
        <v>0.501369863013699</v>
      </c>
      <c r="C185" s="6">
        <f>EXP(-r_free*(('2_Discount_Factors'!B185+'2_Discount_Factors'!B186)/2))</f>
        <v>0.985111939603063</v>
      </c>
      <c r="D185" s="6">
        <f>'3_Survival_Probs'!D185</f>
        <v>0.994238434441454</v>
      </c>
      <c r="E185" s="6">
        <f>'3_Survival_Probs'!D186</f>
        <v>0.994206869361369</v>
      </c>
      <c r="F185" s="8">
        <f t="shared" si="5"/>
        <v>3.15650800851719e-5</v>
      </c>
      <c r="G185" s="29">
        <f>(1-recovery)*notional*C185*F185</f>
        <v>186.570823598578</v>
      </c>
      <c r="H185" s="8">
        <f t="shared" ref="H185:H248" si="7">C185*(B185-0.498630136986301)*F185</f>
        <v>8.51921568943414e-8</v>
      </c>
      <c r="I185" s="30"/>
      <c r="J185" s="31"/>
    </row>
    <row r="186" spans="1:10">
      <c r="A186" s="10">
        <v>184</v>
      </c>
      <c r="B186" s="12">
        <f>'2_Discount_Factors'!B187</f>
        <v>0.504109589041096</v>
      </c>
      <c r="C186" s="12">
        <f>EXP(-r_free*(('2_Discount_Factors'!B186+'2_Discount_Factors'!B187)/2))</f>
        <v>0.985030974825803</v>
      </c>
      <c r="D186" s="12">
        <f>'3_Survival_Probs'!D186</f>
        <v>0.994206869361369</v>
      </c>
      <c r="E186" s="12">
        <f>'3_Survival_Probs'!D187</f>
        <v>0.994177076217108</v>
      </c>
      <c r="F186" s="14">
        <f t="shared" si="5"/>
        <v>2.97931442613253e-5</v>
      </c>
      <c r="G186" s="32">
        <f>(1-recovery)*notional*C186*F186</f>
        <v>176.083019609154</v>
      </c>
      <c r="H186" s="14">
        <f t="shared" si="7"/>
        <v>1.6080641060198e-7</v>
      </c>
      <c r="I186" s="33"/>
      <c r="J186" s="31"/>
    </row>
    <row r="187" spans="1:10">
      <c r="A187" s="4">
        <v>185</v>
      </c>
      <c r="B187" s="6">
        <f>'2_Discount_Factors'!B188</f>
        <v>0.506849315068493</v>
      </c>
      <c r="C187" s="6">
        <f>EXP(-r_free*(('2_Discount_Factors'!B187+'2_Discount_Factors'!B188)/2))</f>
        <v>0.984950016702909</v>
      </c>
      <c r="D187" s="6">
        <f>'3_Survival_Probs'!D187</f>
        <v>0.994177076217108</v>
      </c>
      <c r="E187" s="6">
        <f>'3_Survival_Probs'!D188</f>
        <v>0.99414728396565</v>
      </c>
      <c r="F187" s="8">
        <f t="shared" si="5"/>
        <v>2.97922514577165e-5</v>
      </c>
      <c r="G187" s="29">
        <f>(1-recovery)*notional*C187*F187</f>
        <v>176.063271425371</v>
      </c>
      <c r="H187" s="8">
        <f t="shared" si="7"/>
        <v>2.4118256359641e-7</v>
      </c>
      <c r="I187" s="30"/>
      <c r="J187" s="31"/>
    </row>
    <row r="188" spans="1:10">
      <c r="A188" s="10">
        <v>186</v>
      </c>
      <c r="B188" s="12">
        <f>'2_Discount_Factors'!B189</f>
        <v>0.50958904109589</v>
      </c>
      <c r="C188" s="12">
        <f>EXP(-r_free*(('2_Discount_Factors'!B188+'2_Discount_Factors'!B189)/2))</f>
        <v>0.984869065233834</v>
      </c>
      <c r="D188" s="12">
        <f>'3_Survival_Probs'!D188</f>
        <v>0.99414728396565</v>
      </c>
      <c r="E188" s="12">
        <f>'3_Survival_Probs'!D189</f>
        <v>0.994117492606969</v>
      </c>
      <c r="F188" s="14">
        <f t="shared" si="5"/>
        <v>2.9791358680975e-5</v>
      </c>
      <c r="G188" s="32">
        <f>(1-recovery)*notional*C188*F188</f>
        <v>176.043525457067</v>
      </c>
      <c r="H188" s="14">
        <f t="shared" si="7"/>
        <v>3.21540685766343e-7</v>
      </c>
      <c r="I188" s="33"/>
      <c r="J188" s="31"/>
    </row>
    <row r="189" spans="1:10">
      <c r="A189" s="4">
        <v>187</v>
      </c>
      <c r="B189" s="6">
        <f>'2_Discount_Factors'!B190</f>
        <v>0.512328767123288</v>
      </c>
      <c r="C189" s="6">
        <f>EXP(-r_free*(('2_Discount_Factors'!B189+'2_Discount_Factors'!B190)/2))</f>
        <v>0.984788120418031</v>
      </c>
      <c r="D189" s="6">
        <f>'3_Survival_Probs'!D189</f>
        <v>0.994117492606969</v>
      </c>
      <c r="E189" s="6">
        <f>'3_Survival_Probs'!D190</f>
        <v>0.994087702141038</v>
      </c>
      <c r="F189" s="8">
        <f t="shared" si="5"/>
        <v>2.9790465930879e-5</v>
      </c>
      <c r="G189" s="29">
        <f>(1-recovery)*notional*C189*F189</f>
        <v>176.023781702686</v>
      </c>
      <c r="H189" s="8">
        <f t="shared" si="7"/>
        <v>4.0188078014313e-7</v>
      </c>
      <c r="I189" s="30"/>
      <c r="J189" s="31"/>
    </row>
    <row r="190" spans="1:10">
      <c r="A190" s="10">
        <v>188</v>
      </c>
      <c r="B190" s="12">
        <f>'2_Discount_Factors'!B191</f>
        <v>0.515068493150685</v>
      </c>
      <c r="C190" s="12">
        <f>EXP(-r_free*(('2_Discount_Factors'!B190+'2_Discount_Factors'!B191)/2))</f>
        <v>0.984707182254953</v>
      </c>
      <c r="D190" s="12">
        <f>'3_Survival_Probs'!D190</f>
        <v>0.994087702141038</v>
      </c>
      <c r="E190" s="12">
        <f>'3_Survival_Probs'!D191</f>
        <v>0.99405791256783</v>
      </c>
      <c r="F190" s="14">
        <f t="shared" si="5"/>
        <v>2.97895732075393e-5</v>
      </c>
      <c r="G190" s="32">
        <f>(1-recovery)*notional*C190*F190</f>
        <v>176.004040162642</v>
      </c>
      <c r="H190" s="14">
        <f t="shared" si="7"/>
        <v>4.82202849760674e-7</v>
      </c>
      <c r="I190" s="33"/>
      <c r="J190" s="31"/>
    </row>
    <row r="191" spans="1:10">
      <c r="A191" s="4">
        <v>189</v>
      </c>
      <c r="B191" s="6">
        <f>'2_Discount_Factors'!B192</f>
        <v>0.517808219178082</v>
      </c>
      <c r="C191" s="6">
        <f>EXP(-r_free*(('2_Discount_Factors'!B191+'2_Discount_Factors'!B192)/2))</f>
        <v>0.984626250744053</v>
      </c>
      <c r="D191" s="6">
        <f>'3_Survival_Probs'!D191</f>
        <v>0.99405791256783</v>
      </c>
      <c r="E191" s="6">
        <f>'3_Survival_Probs'!D192</f>
        <v>0.99402812388732</v>
      </c>
      <c r="F191" s="8">
        <f t="shared" si="5"/>
        <v>2.9788680510956e-5</v>
      </c>
      <c r="G191" s="29">
        <f>(1-recovery)*notional*C191*F191</f>
        <v>175.98430083669</v>
      </c>
      <c r="H191" s="8">
        <f t="shared" si="7"/>
        <v>5.62506897651531e-7</v>
      </c>
      <c r="I191" s="30"/>
      <c r="J191" s="31"/>
    </row>
    <row r="192" spans="1:10">
      <c r="A192" s="10">
        <v>190</v>
      </c>
      <c r="B192" s="12">
        <f>'2_Discount_Factors'!B193</f>
        <v>0.520547945205479</v>
      </c>
      <c r="C192" s="12">
        <f>EXP(-r_free*(('2_Discount_Factors'!B192+'2_Discount_Factors'!B193)/2))</f>
        <v>0.984545325884785</v>
      </c>
      <c r="D192" s="12">
        <f>'3_Survival_Probs'!D192</f>
        <v>0.99402812388732</v>
      </c>
      <c r="E192" s="12">
        <f>'3_Survival_Probs'!D193</f>
        <v>0.993998336099478</v>
      </c>
      <c r="F192" s="14">
        <f t="shared" si="5"/>
        <v>2.978778784124e-5</v>
      </c>
      <c r="G192" s="32">
        <f>(1-recovery)*notional*C192*F192</f>
        <v>175.964563725243</v>
      </c>
      <c r="H192" s="14">
        <f t="shared" si="7"/>
        <v>6.42792926850213e-7</v>
      </c>
      <c r="I192" s="33"/>
      <c r="J192" s="31"/>
    </row>
    <row r="193" spans="1:10">
      <c r="A193" s="4">
        <v>191</v>
      </c>
      <c r="B193" s="6">
        <f>'2_Discount_Factors'!B194</f>
        <v>0.523287671232877</v>
      </c>
      <c r="C193" s="6">
        <f>EXP(-r_free*(('2_Discount_Factors'!B193+'2_Discount_Factors'!B194)/2))</f>
        <v>0.984464407676602</v>
      </c>
      <c r="D193" s="6">
        <f>'3_Survival_Probs'!D193</f>
        <v>0.993998336099478</v>
      </c>
      <c r="E193" s="6">
        <f>'3_Survival_Probs'!D194</f>
        <v>0.99396854920428</v>
      </c>
      <c r="F193" s="8">
        <f t="shared" si="5"/>
        <v>2.97868951981695e-5</v>
      </c>
      <c r="G193" s="29">
        <f>(1-recovery)*notional*C193*F193</f>
        <v>175.944828826746</v>
      </c>
      <c r="H193" s="8">
        <f t="shared" si="7"/>
        <v>7.23060940383896e-7</v>
      </c>
      <c r="I193" s="30"/>
      <c r="J193" s="31"/>
    </row>
    <row r="194" spans="1:10">
      <c r="A194" s="10">
        <v>192</v>
      </c>
      <c r="B194" s="12">
        <f>'2_Discount_Factors'!B195</f>
        <v>0.526027397260274</v>
      </c>
      <c r="C194" s="12">
        <f>EXP(-r_free*(('2_Discount_Factors'!B194+'2_Discount_Factors'!B195)/2))</f>
        <v>0.984383496118957</v>
      </c>
      <c r="D194" s="12">
        <f>'3_Survival_Probs'!D194</f>
        <v>0.99396854920428</v>
      </c>
      <c r="E194" s="12">
        <f>'3_Survival_Probs'!D195</f>
        <v>0.993938763201698</v>
      </c>
      <c r="F194" s="14">
        <f t="shared" si="5"/>
        <v>2.97860025818553e-5</v>
      </c>
      <c r="G194" s="32">
        <f>(1-recovery)*notional*C194*F194</f>
        <v>175.92509614161</v>
      </c>
      <c r="H194" s="14">
        <f t="shared" si="7"/>
        <v>8.033109412859e-7</v>
      </c>
      <c r="I194" s="33"/>
      <c r="J194" s="31"/>
    </row>
    <row r="195" spans="1:10">
      <c r="A195" s="4">
        <v>193</v>
      </c>
      <c r="B195" s="6">
        <f>'2_Discount_Factors'!B196</f>
        <v>0.528767123287671</v>
      </c>
      <c r="C195" s="6">
        <f>EXP(-r_free*(('2_Discount_Factors'!B195+'2_Discount_Factors'!B196)/2))</f>
        <v>0.984302591211305</v>
      </c>
      <c r="D195" s="6">
        <f>'3_Survival_Probs'!D195</f>
        <v>0.993938763201698</v>
      </c>
      <c r="E195" s="6">
        <f>'3_Survival_Probs'!D196</f>
        <v>0.993908978091706</v>
      </c>
      <c r="F195" s="8">
        <f t="shared" ref="F195:F258" si="8">D195-E195</f>
        <v>2.97851099922974e-5</v>
      </c>
      <c r="G195" s="29">
        <f>(1-recovery)*notional*C195*F195</f>
        <v>175.905365669593</v>
      </c>
      <c r="H195" s="8">
        <f t="shared" si="7"/>
        <v>8.83542932587007e-7</v>
      </c>
      <c r="I195" s="30"/>
      <c r="J195" s="31"/>
    </row>
    <row r="196" spans="1:10">
      <c r="A196" s="10">
        <v>194</v>
      </c>
      <c r="B196" s="12">
        <f>'2_Discount_Factors'!B197</f>
        <v>0.531506849315069</v>
      </c>
      <c r="C196" s="12">
        <f>EXP(-r_free*(('2_Discount_Factors'!B196+'2_Discount_Factors'!B197)/2))</f>
        <v>0.984221692953097</v>
      </c>
      <c r="D196" s="12">
        <f>'3_Survival_Probs'!D196</f>
        <v>0.993908978091706</v>
      </c>
      <c r="E196" s="12">
        <f>'3_Survival_Probs'!D197</f>
        <v>0.993879193874276</v>
      </c>
      <c r="F196" s="14">
        <f t="shared" si="8"/>
        <v>2.9784217429496e-5</v>
      </c>
      <c r="G196" s="32">
        <f>(1-recovery)*notional*C196*F196</f>
        <v>175.88563741045</v>
      </c>
      <c r="H196" s="14">
        <f t="shared" si="7"/>
        <v>9.63756917317547e-7</v>
      </c>
      <c r="I196" s="33"/>
      <c r="J196" s="31"/>
    </row>
    <row r="197" spans="1:10">
      <c r="A197" s="4">
        <v>195</v>
      </c>
      <c r="B197" s="6">
        <f>'2_Discount_Factors'!B198</f>
        <v>0.534246575342466</v>
      </c>
      <c r="C197" s="6">
        <f>EXP(-r_free*(('2_Discount_Factors'!B197+'2_Discount_Factors'!B198)/2))</f>
        <v>0.984140801343788</v>
      </c>
      <c r="D197" s="6">
        <f>'3_Survival_Probs'!D197</f>
        <v>0.993879193874276</v>
      </c>
      <c r="E197" s="6">
        <f>'3_Survival_Probs'!D198</f>
        <v>0.993849410549383</v>
      </c>
      <c r="F197" s="8">
        <f t="shared" si="8"/>
        <v>2.97833248933399e-5</v>
      </c>
      <c r="G197" s="29">
        <f>(1-recovery)*notional*C197*F197</f>
        <v>175.865911363283</v>
      </c>
      <c r="H197" s="8">
        <f t="shared" si="7"/>
        <v>1.04395289850352e-6</v>
      </c>
      <c r="I197" s="30"/>
      <c r="J197" s="31"/>
    </row>
    <row r="198" spans="1:10">
      <c r="A198" s="10">
        <v>196</v>
      </c>
      <c r="B198" s="12">
        <f>'2_Discount_Factors'!B199</f>
        <v>0.536986301369863</v>
      </c>
      <c r="C198" s="12">
        <f>EXP(-r_free*(('2_Discount_Factors'!B198+'2_Discount_Factors'!B199)/2))</f>
        <v>0.984059916382831</v>
      </c>
      <c r="D198" s="12">
        <f>'3_Survival_Probs'!D198</f>
        <v>0.993849410549383</v>
      </c>
      <c r="E198" s="12">
        <f>'3_Survival_Probs'!D199</f>
        <v>0.993819628116999</v>
      </c>
      <c r="F198" s="14">
        <f t="shared" si="8"/>
        <v>2.97824323840512e-5</v>
      </c>
      <c r="G198" s="32">
        <f>(1-recovery)*notional*C198*F198</f>
        <v>175.84618752916</v>
      </c>
      <c r="H198" s="14">
        <f t="shared" si="7"/>
        <v>1.12413087918186e-6</v>
      </c>
      <c r="I198" s="33"/>
      <c r="J198" s="31"/>
    </row>
    <row r="199" spans="1:10">
      <c r="A199" s="4">
        <v>197</v>
      </c>
      <c r="B199" s="6">
        <f>'2_Discount_Factors'!B200</f>
        <v>0.53972602739726</v>
      </c>
      <c r="C199" s="6">
        <f>EXP(-r_free*(('2_Discount_Factors'!B199+'2_Discount_Factors'!B200)/2))</f>
        <v>0.98397903806968</v>
      </c>
      <c r="D199" s="6">
        <f>'3_Survival_Probs'!D199</f>
        <v>0.993819628116999</v>
      </c>
      <c r="E199" s="6">
        <f>'3_Survival_Probs'!D200</f>
        <v>0.993789846577098</v>
      </c>
      <c r="F199" s="8">
        <f t="shared" si="8"/>
        <v>2.97815399015189e-5</v>
      </c>
      <c r="G199" s="29">
        <f>(1-recovery)*notional*C199*F199</f>
        <v>175.826465907182</v>
      </c>
      <c r="H199" s="8">
        <f t="shared" si="7"/>
        <v>1.20429086237797e-6</v>
      </c>
      <c r="I199" s="30"/>
      <c r="J199" s="31"/>
    </row>
    <row r="200" spans="1:10">
      <c r="A200" s="10">
        <v>198</v>
      </c>
      <c r="B200" s="12">
        <f>'2_Discount_Factors'!B201</f>
        <v>0.542465753424658</v>
      </c>
      <c r="C200" s="12">
        <f>EXP(-r_free*(('2_Discount_Factors'!B200+'2_Discount_Factors'!B201)/2))</f>
        <v>0.983898166403788</v>
      </c>
      <c r="D200" s="12">
        <f>'3_Survival_Probs'!D200</f>
        <v>0.993789846577098</v>
      </c>
      <c r="E200" s="12">
        <f>'3_Survival_Probs'!D201</f>
        <v>0.993760065929652</v>
      </c>
      <c r="F200" s="14">
        <f t="shared" si="8"/>
        <v>2.97806474456319e-5</v>
      </c>
      <c r="G200" s="32">
        <f>(1-recovery)*notional*C200*F200</f>
        <v>175.806746496449</v>
      </c>
      <c r="H200" s="14">
        <f t="shared" si="7"/>
        <v>1.28443285111562e-6</v>
      </c>
      <c r="I200" s="33"/>
      <c r="J200" s="31"/>
    </row>
    <row r="201" spans="1:10">
      <c r="A201" s="4">
        <v>199</v>
      </c>
      <c r="B201" s="6">
        <f>'2_Discount_Factors'!B202</f>
        <v>0.545205479452055</v>
      </c>
      <c r="C201" s="6">
        <f>EXP(-r_free*(('2_Discount_Factors'!B201+'2_Discount_Factors'!B202)/2))</f>
        <v>0.983817301384609</v>
      </c>
      <c r="D201" s="6">
        <f>'3_Survival_Probs'!D201</f>
        <v>0.993760065929652</v>
      </c>
      <c r="E201" s="6">
        <f>'3_Survival_Probs'!D202</f>
        <v>0.993730286174635</v>
      </c>
      <c r="F201" s="8">
        <f t="shared" si="8"/>
        <v>2.97797550166123e-5</v>
      </c>
      <c r="G201" s="29">
        <f>(1-recovery)*notional*C201*F201</f>
        <v>175.78702929803</v>
      </c>
      <c r="H201" s="8">
        <f t="shared" si="7"/>
        <v>1.36455684843221e-6</v>
      </c>
      <c r="I201" s="30"/>
      <c r="J201" s="31"/>
    </row>
    <row r="202" spans="1:10">
      <c r="A202" s="10">
        <v>200</v>
      </c>
      <c r="B202" s="12">
        <f>'2_Discount_Factors'!B203</f>
        <v>0.547945205479452</v>
      </c>
      <c r="C202" s="12">
        <f>EXP(-r_free*(('2_Discount_Factors'!B202+'2_Discount_Factors'!B203)/2))</f>
        <v>0.983736443011597</v>
      </c>
      <c r="D202" s="12">
        <f>'3_Survival_Probs'!D202</f>
        <v>0.993730286174635</v>
      </c>
      <c r="E202" s="12">
        <f>'3_Survival_Probs'!D203</f>
        <v>0.993700507312021</v>
      </c>
      <c r="F202" s="14">
        <f t="shared" si="8"/>
        <v>2.97788626142381e-5</v>
      </c>
      <c r="G202" s="32">
        <f>(1-recovery)*notional*C202*F202</f>
        <v>175.76731431037</v>
      </c>
      <c r="H202" s="14">
        <f t="shared" si="7"/>
        <v>1.44466285734552e-6</v>
      </c>
      <c r="I202" s="33"/>
      <c r="J202" s="31"/>
    </row>
    <row r="203" spans="1:10">
      <c r="A203" s="4">
        <v>201</v>
      </c>
      <c r="B203" s="6">
        <f>'2_Discount_Factors'!B204</f>
        <v>0.550684931506849</v>
      </c>
      <c r="C203" s="6">
        <f>EXP(-r_free*(('2_Discount_Factors'!B203+'2_Discount_Factors'!B204)/2))</f>
        <v>0.983655591284206</v>
      </c>
      <c r="D203" s="6">
        <f>'3_Survival_Probs'!D203</f>
        <v>0.993700507312021</v>
      </c>
      <c r="E203" s="6">
        <f>'3_Survival_Probs'!D204</f>
        <v>0.993670729341782</v>
      </c>
      <c r="F203" s="8">
        <f t="shared" si="8"/>
        <v>2.97779702386203e-5</v>
      </c>
      <c r="G203" s="29">
        <f>(1-recovery)*notional*C203*F203</f>
        <v>175.747601533881</v>
      </c>
      <c r="H203" s="8">
        <f t="shared" si="7"/>
        <v>1.52475088088756e-6</v>
      </c>
      <c r="I203" s="30"/>
      <c r="J203" s="31"/>
    </row>
    <row r="204" spans="1:10">
      <c r="A204" s="10">
        <v>202</v>
      </c>
      <c r="B204" s="12">
        <f>'2_Discount_Factors'!B205</f>
        <v>0.553424657534247</v>
      </c>
      <c r="C204" s="12">
        <f>EXP(-r_free*(('2_Discount_Factors'!B204+'2_Discount_Factors'!B205)/2))</f>
        <v>0.983574746201889</v>
      </c>
      <c r="D204" s="12">
        <f>'3_Survival_Probs'!D204</f>
        <v>0.993670729341782</v>
      </c>
      <c r="E204" s="12">
        <f>'3_Survival_Probs'!D205</f>
        <v>0.993640952263893</v>
      </c>
      <c r="F204" s="14">
        <f t="shared" si="8"/>
        <v>2.97770778897588e-5</v>
      </c>
      <c r="G204" s="32">
        <f>(1-recovery)*notional*C204*F204</f>
        <v>175.72789096832</v>
      </c>
      <c r="H204" s="14">
        <f t="shared" si="7"/>
        <v>1.60482092208513e-6</v>
      </c>
      <c r="I204" s="33"/>
      <c r="J204" s="31"/>
    </row>
    <row r="205" spans="1:10">
      <c r="A205" s="4">
        <v>203</v>
      </c>
      <c r="B205" s="6">
        <f>'2_Discount_Factors'!B206</f>
        <v>0.556164383561644</v>
      </c>
      <c r="C205" s="6">
        <f>EXP(-r_free*(('2_Discount_Factors'!B205+'2_Discount_Factors'!B206)/2))</f>
        <v>0.9834939077641</v>
      </c>
      <c r="D205" s="6">
        <f>'3_Survival_Probs'!D205</f>
        <v>0.993640952263893</v>
      </c>
      <c r="E205" s="6">
        <f>'3_Survival_Probs'!D206</f>
        <v>0.993611176078325</v>
      </c>
      <c r="F205" s="8">
        <f t="shared" si="8"/>
        <v>2.97761855676537e-5</v>
      </c>
      <c r="G205" s="29">
        <f>(1-recovery)*notional*C205*F205</f>
        <v>175.708182613445</v>
      </c>
      <c r="H205" s="8">
        <f t="shared" si="7"/>
        <v>1.68487298396455e-6</v>
      </c>
      <c r="I205" s="30"/>
      <c r="J205" s="31"/>
    </row>
    <row r="206" spans="1:10">
      <c r="A206" s="10">
        <v>204</v>
      </c>
      <c r="B206" s="12">
        <f>'2_Discount_Factors'!B207</f>
        <v>0.558904109589041</v>
      </c>
      <c r="C206" s="12">
        <f>EXP(-r_free*(('2_Discount_Factors'!B206+'2_Discount_Factors'!B207)/2))</f>
        <v>0.983413075970294</v>
      </c>
      <c r="D206" s="12">
        <f>'3_Survival_Probs'!D206</f>
        <v>0.993611176078325</v>
      </c>
      <c r="E206" s="12">
        <f>'3_Survival_Probs'!D207</f>
        <v>0.993581400785053</v>
      </c>
      <c r="F206" s="14">
        <f t="shared" si="8"/>
        <v>2.9775293272305e-5</v>
      </c>
      <c r="G206" s="32">
        <f>(1-recovery)*notional*C206*F206</f>
        <v>175.68847646901</v>
      </c>
      <c r="H206" s="14">
        <f t="shared" si="7"/>
        <v>1.76490706955171e-6</v>
      </c>
      <c r="I206" s="33"/>
      <c r="J206" s="31"/>
    </row>
    <row r="207" spans="1:10">
      <c r="A207" s="4">
        <v>205</v>
      </c>
      <c r="B207" s="6">
        <f>'2_Discount_Factors'!B208</f>
        <v>0.561643835616438</v>
      </c>
      <c r="C207" s="6">
        <f>EXP(-r_free*(('2_Discount_Factors'!B207+'2_Discount_Factors'!B208)/2))</f>
        <v>0.983332250819923</v>
      </c>
      <c r="D207" s="6">
        <f>'3_Survival_Probs'!D207</f>
        <v>0.993581400785053</v>
      </c>
      <c r="E207" s="6">
        <f>'3_Survival_Probs'!D208</f>
        <v>0.993551626384049</v>
      </c>
      <c r="F207" s="8">
        <f t="shared" si="8"/>
        <v>2.97744010037126e-5</v>
      </c>
      <c r="G207" s="29">
        <f>(1-recovery)*notional*C207*F207</f>
        <v>175.668772534774</v>
      </c>
      <c r="H207" s="8">
        <f t="shared" si="7"/>
        <v>1.84492318187207e-6</v>
      </c>
      <c r="I207" s="30"/>
      <c r="J207" s="31"/>
    </row>
    <row r="208" spans="1:10">
      <c r="A208" s="10">
        <v>206</v>
      </c>
      <c r="B208" s="12">
        <f>'2_Discount_Factors'!B209</f>
        <v>0.564383561643836</v>
      </c>
      <c r="C208" s="12">
        <f>EXP(-r_free*(('2_Discount_Factors'!B208+'2_Discount_Factors'!B209)/2))</f>
        <v>0.983251432312443</v>
      </c>
      <c r="D208" s="12">
        <f>'3_Survival_Probs'!D208</f>
        <v>0.993551626384049</v>
      </c>
      <c r="E208" s="12">
        <f>'3_Survival_Probs'!D209</f>
        <v>0.993521852875287</v>
      </c>
      <c r="F208" s="14">
        <f t="shared" si="8"/>
        <v>2.97735087617657e-5</v>
      </c>
      <c r="G208" s="32">
        <f>(1-recovery)*notional*C208*F208</f>
        <v>175.649070809839</v>
      </c>
      <c r="H208" s="14">
        <f t="shared" si="7"/>
        <v>1.92492132394345e-6</v>
      </c>
      <c r="I208" s="33"/>
      <c r="J208" s="31"/>
    </row>
    <row r="209" spans="1:10">
      <c r="A209" s="4">
        <v>207</v>
      </c>
      <c r="B209" s="6">
        <f>'2_Discount_Factors'!B210</f>
        <v>0.567123287671233</v>
      </c>
      <c r="C209" s="6">
        <f>EXP(-r_free*(('2_Discount_Factors'!B209+'2_Discount_Factors'!B210)/2))</f>
        <v>0.983170620447306</v>
      </c>
      <c r="D209" s="6">
        <f>'3_Survival_Probs'!D209</f>
        <v>0.993521852875287</v>
      </c>
      <c r="E209" s="6">
        <f>'3_Survival_Probs'!D210</f>
        <v>0.993492080258741</v>
      </c>
      <c r="F209" s="8">
        <f t="shared" si="8"/>
        <v>2.9772616546575e-5</v>
      </c>
      <c r="G209" s="29">
        <f>(1-recovery)*notional*C209*F209</f>
        <v>175.629371294616</v>
      </c>
      <c r="H209" s="8">
        <f t="shared" si="7"/>
        <v>2.00490149879699e-6</v>
      </c>
      <c r="I209" s="30"/>
      <c r="J209" s="31"/>
    </row>
    <row r="210" spans="1:10">
      <c r="A210" s="10">
        <v>208</v>
      </c>
      <c r="B210" s="12">
        <f>'2_Discount_Factors'!B211</f>
        <v>0.56986301369863</v>
      </c>
      <c r="C210" s="12">
        <f>EXP(-r_free*(('2_Discount_Factors'!B210+'2_Discount_Factors'!B211)/2))</f>
        <v>0.983089815223968</v>
      </c>
      <c r="D210" s="12">
        <f>'3_Survival_Probs'!D210</f>
        <v>0.993492080258741</v>
      </c>
      <c r="E210" s="12">
        <f>'3_Survival_Probs'!D211</f>
        <v>0.993462308534383</v>
      </c>
      <c r="F210" s="14">
        <f t="shared" si="8"/>
        <v>2.97717243581408e-5</v>
      </c>
      <c r="G210" s="32">
        <f>(1-recovery)*notional*C210*F210</f>
        <v>175.609673988861</v>
      </c>
      <c r="H210" s="14">
        <f t="shared" si="7"/>
        <v>2.08486370945681e-6</v>
      </c>
      <c r="I210" s="33"/>
      <c r="J210" s="31"/>
    </row>
    <row r="211" spans="1:10">
      <c r="A211" s="4">
        <v>209</v>
      </c>
      <c r="B211" s="6">
        <f>'2_Discount_Factors'!B212</f>
        <v>0.572602739726027</v>
      </c>
      <c r="C211" s="6">
        <f>EXP(-r_free*(('2_Discount_Factors'!B211+'2_Discount_Factors'!B212)/2))</f>
        <v>0.983009016641882</v>
      </c>
      <c r="D211" s="6">
        <f>'3_Survival_Probs'!D211</f>
        <v>0.993462308534383</v>
      </c>
      <c r="E211" s="6">
        <f>'3_Survival_Probs'!D212</f>
        <v>0.993432537702186</v>
      </c>
      <c r="F211" s="8">
        <f t="shared" si="8"/>
        <v>2.97708321964629e-5</v>
      </c>
      <c r="G211" s="29">
        <f>(1-recovery)*notional*C211*F211</f>
        <v>175.589978892333</v>
      </c>
      <c r="H211" s="8">
        <f t="shared" si="7"/>
        <v>2.16480795894658e-6</v>
      </c>
      <c r="I211" s="30"/>
      <c r="J211" s="31"/>
    </row>
    <row r="212" spans="1:10">
      <c r="A212" s="10">
        <v>210</v>
      </c>
      <c r="B212" s="12">
        <f>'2_Discount_Factors'!B213</f>
        <v>0.575342465753425</v>
      </c>
      <c r="C212" s="12">
        <f>EXP(-r_free*(('2_Discount_Factors'!B212+'2_Discount_Factors'!B213)/2))</f>
        <v>0.982928224700503</v>
      </c>
      <c r="D212" s="12">
        <f>'3_Survival_Probs'!D212</f>
        <v>0.993432537702186</v>
      </c>
      <c r="E212" s="12">
        <f>'3_Survival_Probs'!D213</f>
        <v>0.993402767762125</v>
      </c>
      <c r="F212" s="14">
        <f t="shared" si="8"/>
        <v>2.97699400615414e-5</v>
      </c>
      <c r="G212" s="32">
        <f>(1-recovery)*notional*C212*F212</f>
        <v>175.570286004788</v>
      </c>
      <c r="H212" s="14">
        <f t="shared" si="7"/>
        <v>2.24473425028953e-6</v>
      </c>
      <c r="I212" s="33"/>
      <c r="J212" s="31"/>
    </row>
    <row r="213" spans="1:10">
      <c r="A213" s="4">
        <v>211</v>
      </c>
      <c r="B213" s="6">
        <f>'2_Discount_Factors'!B214</f>
        <v>0.578082191780822</v>
      </c>
      <c r="C213" s="6">
        <f>EXP(-r_free*(('2_Discount_Factors'!B213+'2_Discount_Factors'!B214)/2))</f>
        <v>0.982847439399284</v>
      </c>
      <c r="D213" s="6">
        <f>'3_Survival_Probs'!D213</f>
        <v>0.993402767762125</v>
      </c>
      <c r="E213" s="6">
        <f>'3_Survival_Probs'!D214</f>
        <v>0.993372998714171</v>
      </c>
      <c r="F213" s="8">
        <f t="shared" si="8"/>
        <v>2.97690479533763e-5</v>
      </c>
      <c r="G213" s="29">
        <f>(1-recovery)*notional*C213*F213</f>
        <v>175.550595325982</v>
      </c>
      <c r="H213" s="8">
        <f t="shared" si="7"/>
        <v>2.32464258650845e-6</v>
      </c>
      <c r="I213" s="30"/>
      <c r="J213" s="31"/>
    </row>
    <row r="214" spans="1:10">
      <c r="A214" s="10">
        <v>212</v>
      </c>
      <c r="B214" s="12">
        <f>'2_Discount_Factors'!B215</f>
        <v>0.580821917808219</v>
      </c>
      <c r="C214" s="12">
        <f>EXP(-r_free*(('2_Discount_Factors'!B214+'2_Discount_Factors'!B215)/2))</f>
        <v>0.98276666073768</v>
      </c>
      <c r="D214" s="12">
        <f>'3_Survival_Probs'!D214</f>
        <v>0.993372998714171</v>
      </c>
      <c r="E214" s="12">
        <f>'3_Survival_Probs'!D215</f>
        <v>0.993343230558299</v>
      </c>
      <c r="F214" s="14">
        <f t="shared" si="8"/>
        <v>2.97681558718565e-5</v>
      </c>
      <c r="G214" s="32">
        <f>(1-recovery)*notional*C214*F214</f>
        <v>175.530906855019</v>
      </c>
      <c r="H214" s="14">
        <f t="shared" si="7"/>
        <v>2.40453297061671e-6</v>
      </c>
      <c r="I214" s="33"/>
      <c r="J214" s="31"/>
    </row>
    <row r="215" spans="1:10">
      <c r="A215" s="4">
        <v>213</v>
      </c>
      <c r="B215" s="6">
        <f>'2_Discount_Factors'!B216</f>
        <v>0.583561643835616</v>
      </c>
      <c r="C215" s="6">
        <f>EXP(-r_free*(('2_Discount_Factors'!B215+'2_Discount_Factors'!B216)/2))</f>
        <v>0.982685888715145</v>
      </c>
      <c r="D215" s="6">
        <f>'3_Survival_Probs'!D215</f>
        <v>0.993343230558299</v>
      </c>
      <c r="E215" s="6">
        <f>'3_Survival_Probs'!D216</f>
        <v>0.993313463294482</v>
      </c>
      <c r="F215" s="8">
        <f t="shared" si="8"/>
        <v>2.97672638170932e-5</v>
      </c>
      <c r="G215" s="29">
        <f>(1-recovery)*notional*C215*F215</f>
        <v>175.51122059231</v>
      </c>
      <c r="H215" s="8">
        <f t="shared" si="7"/>
        <v>2.48440540564459e-6</v>
      </c>
      <c r="I215" s="30"/>
      <c r="J215" s="31"/>
    </row>
    <row r="216" spans="1:10">
      <c r="A216" s="10">
        <v>214</v>
      </c>
      <c r="B216" s="12">
        <f>'2_Discount_Factors'!B217</f>
        <v>0.586301369863014</v>
      </c>
      <c r="C216" s="12">
        <f>EXP(-r_free*(('2_Discount_Factors'!B216+'2_Discount_Factors'!B217)/2))</f>
        <v>0.982605123331134</v>
      </c>
      <c r="D216" s="12">
        <f>'3_Survival_Probs'!D216</f>
        <v>0.993313463294482</v>
      </c>
      <c r="E216" s="12">
        <f>'3_Survival_Probs'!D217</f>
        <v>0.993283696922693</v>
      </c>
      <c r="F216" s="14">
        <f t="shared" si="8"/>
        <v>2.97663717890861e-5</v>
      </c>
      <c r="G216" s="32">
        <f>(1-recovery)*notional*C216*F216</f>
        <v>175.491536537612</v>
      </c>
      <c r="H216" s="14">
        <f t="shared" si="7"/>
        <v>2.56425989461352e-6</v>
      </c>
      <c r="I216" s="33"/>
      <c r="J216" s="31"/>
    </row>
    <row r="217" spans="1:10">
      <c r="A217" s="4">
        <v>215</v>
      </c>
      <c r="B217" s="6">
        <f>'2_Discount_Factors'!B218</f>
        <v>0.589041095890411</v>
      </c>
      <c r="C217" s="6">
        <f>EXP(-r_free*(('2_Discount_Factors'!B217+'2_Discount_Factors'!B218)/2))</f>
        <v>0.9825243645851</v>
      </c>
      <c r="D217" s="6">
        <f>'3_Survival_Probs'!D217</f>
        <v>0.993283696922693</v>
      </c>
      <c r="E217" s="6">
        <f>'3_Survival_Probs'!D218</f>
        <v>0.993253931442905</v>
      </c>
      <c r="F217" s="8">
        <f t="shared" si="8"/>
        <v>2.97654797877245e-5</v>
      </c>
      <c r="G217" s="29">
        <f>(1-recovery)*notional*C217*F217</f>
        <v>175.471854690028</v>
      </c>
      <c r="H217" s="8">
        <f t="shared" si="7"/>
        <v>2.64409644053468e-6</v>
      </c>
      <c r="I217" s="30"/>
      <c r="J217" s="31"/>
    </row>
    <row r="218" spans="1:10">
      <c r="A218" s="10">
        <v>216</v>
      </c>
      <c r="B218" s="12">
        <f>'2_Discount_Factors'!B219</f>
        <v>0.591780821917808</v>
      </c>
      <c r="C218" s="12">
        <f>EXP(-r_free*(('2_Discount_Factors'!B218+'2_Discount_Factors'!B219)/2))</f>
        <v>0.982443612476499</v>
      </c>
      <c r="D218" s="12">
        <f>'3_Survival_Probs'!D218</f>
        <v>0.993253931442905</v>
      </c>
      <c r="E218" s="12">
        <f>'3_Survival_Probs'!D219</f>
        <v>0.993224166855092</v>
      </c>
      <c r="F218" s="14">
        <f t="shared" si="8"/>
        <v>2.97645878132302e-5</v>
      </c>
      <c r="G218" s="32">
        <f>(1-recovery)*notional*C218*F218</f>
        <v>175.452175050623</v>
      </c>
      <c r="H218" s="14">
        <f t="shared" si="7"/>
        <v>2.72391504644804e-6</v>
      </c>
      <c r="I218" s="33"/>
      <c r="J218" s="31"/>
    </row>
    <row r="219" spans="1:10">
      <c r="A219" s="4">
        <v>217</v>
      </c>
      <c r="B219" s="6">
        <f>'2_Discount_Factors'!B220</f>
        <v>0.594520547945205</v>
      </c>
      <c r="C219" s="6">
        <f>EXP(-r_free*(('2_Discount_Factors'!B219+'2_Discount_Factors'!B220)/2))</f>
        <v>0.982362867004785</v>
      </c>
      <c r="D219" s="6">
        <f>'3_Survival_Probs'!D219</f>
        <v>0.993224166855092</v>
      </c>
      <c r="E219" s="6">
        <f>'3_Survival_Probs'!D220</f>
        <v>0.993194403159227</v>
      </c>
      <c r="F219" s="8">
        <f t="shared" si="8"/>
        <v>2.97636958653813e-5</v>
      </c>
      <c r="G219" s="29">
        <f>(1-recovery)*notional*C219*F219</f>
        <v>175.432497617847</v>
      </c>
      <c r="H219" s="8">
        <f t="shared" si="7"/>
        <v>2.80371571535373e-6</v>
      </c>
      <c r="I219" s="30"/>
      <c r="J219" s="31"/>
    </row>
    <row r="220" spans="1:10">
      <c r="A220" s="10">
        <v>218</v>
      </c>
      <c r="B220" s="12">
        <f>'2_Discount_Factors'!B221</f>
        <v>0.597260273972603</v>
      </c>
      <c r="C220" s="12">
        <f>EXP(-r_free*(('2_Discount_Factors'!B220+'2_Discount_Factors'!B221)/2))</f>
        <v>0.982282128169413</v>
      </c>
      <c r="D220" s="12">
        <f>'3_Survival_Probs'!D220</f>
        <v>0.993194403159227</v>
      </c>
      <c r="E220" s="12">
        <f>'3_Survival_Probs'!D221</f>
        <v>0.993164640355283</v>
      </c>
      <c r="F220" s="14">
        <f t="shared" si="8"/>
        <v>2.97628039442888e-5</v>
      </c>
      <c r="G220" s="32">
        <f>(1-recovery)*notional*C220*F220</f>
        <v>175.41282239211</v>
      </c>
      <c r="H220" s="14">
        <f t="shared" si="7"/>
        <v>2.88349845028127e-6</v>
      </c>
      <c r="I220" s="33"/>
    </row>
    <row r="221" spans="1:10">
      <c r="A221" s="4">
        <v>219</v>
      </c>
      <c r="B221" s="6">
        <f>'2_Discount_Factors'!B222</f>
        <v>0.6</v>
      </c>
      <c r="C221" s="6">
        <f>EXP(-r_free*(('2_Discount_Factors'!B221+'2_Discount_Factors'!B222)/2))</f>
        <v>0.982201395969836</v>
      </c>
      <c r="D221" s="6">
        <f>'3_Survival_Probs'!D221</f>
        <v>0.993164640355283</v>
      </c>
      <c r="E221" s="6">
        <f>'3_Survival_Probs'!D222</f>
        <v>0.993134878443233</v>
      </c>
      <c r="F221" s="8">
        <f t="shared" si="8"/>
        <v>2.97619120499526e-5</v>
      </c>
      <c r="G221" s="29">
        <f>(1-recovery)*notional*C221*F221</f>
        <v>175.39314937317</v>
      </c>
      <c r="H221" s="8">
        <f t="shared" si="7"/>
        <v>2.96326325424991e-6</v>
      </c>
      <c r="I221" s="30"/>
    </row>
    <row r="222" spans="1:10">
      <c r="A222" s="10">
        <v>220</v>
      </c>
      <c r="B222" s="12">
        <f>'2_Discount_Factors'!B223</f>
        <v>0.602739726027397</v>
      </c>
      <c r="C222" s="12">
        <f>EXP(-r_free*(('2_Discount_Factors'!B222+'2_Discount_Factors'!B223)/2))</f>
        <v>0.98212067040551</v>
      </c>
      <c r="D222" s="12">
        <f>'3_Survival_Probs'!D222</f>
        <v>0.993134878443233</v>
      </c>
      <c r="E222" s="12">
        <f>'3_Survival_Probs'!D223</f>
        <v>0.99310511742305</v>
      </c>
      <c r="F222" s="14">
        <f t="shared" si="8"/>
        <v>2.97610201822618e-5</v>
      </c>
      <c r="G222" s="32">
        <f>(1-recovery)*notional*C222*F222</f>
        <v>175.373478560129</v>
      </c>
      <c r="H222" s="14">
        <f t="shared" si="7"/>
        <v>3.04301013026709e-6</v>
      </c>
      <c r="I222" s="33"/>
    </row>
    <row r="223" spans="1:10">
      <c r="A223" s="4">
        <v>221</v>
      </c>
      <c r="B223" s="6">
        <f>'2_Discount_Factors'!B224</f>
        <v>0.605479452054794</v>
      </c>
      <c r="C223" s="6">
        <f>EXP(-r_free*(('2_Discount_Factors'!B223+'2_Discount_Factors'!B224)/2))</f>
        <v>0.982039951475889</v>
      </c>
      <c r="D223" s="6">
        <f>'3_Survival_Probs'!D223</f>
        <v>0.99310511742305</v>
      </c>
      <c r="E223" s="6">
        <f>'3_Survival_Probs'!D224</f>
        <v>0.993075357294709</v>
      </c>
      <c r="F223" s="8">
        <f t="shared" si="8"/>
        <v>2.97601283413274e-5</v>
      </c>
      <c r="G223" s="29">
        <f>(1-recovery)*notional*C223*F223</f>
        <v>175.3538099534</v>
      </c>
      <c r="H223" s="8">
        <f t="shared" si="7"/>
        <v>3.12273908136193e-6</v>
      </c>
      <c r="I223" s="30"/>
    </row>
    <row r="224" spans="1:10">
      <c r="A224" s="10">
        <v>222</v>
      </c>
      <c r="B224" s="12">
        <f>'2_Discount_Factors'!B225</f>
        <v>0.608219178082192</v>
      </c>
      <c r="C224" s="12">
        <f>EXP(-r_free*(('2_Discount_Factors'!B224+'2_Discount_Factors'!B225)/2))</f>
        <v>0.981959239180428</v>
      </c>
      <c r="D224" s="12">
        <f>'3_Survival_Probs'!D224</f>
        <v>0.993075357294709</v>
      </c>
      <c r="E224" s="12">
        <f>'3_Survival_Probs'!D225</f>
        <v>0.993045598058182</v>
      </c>
      <c r="F224" s="14">
        <f t="shared" si="8"/>
        <v>2.97592365271493e-5</v>
      </c>
      <c r="G224" s="32">
        <f>(1-recovery)*notional*C224*F224</f>
        <v>175.33414355274</v>
      </c>
      <c r="H224" s="14">
        <f t="shared" si="7"/>
        <v>3.20245011055233e-6</v>
      </c>
      <c r="I224" s="33"/>
    </row>
    <row r="225" spans="1:9">
      <c r="A225" s="4">
        <v>223</v>
      </c>
      <c r="B225" s="6">
        <f>'2_Discount_Factors'!B226</f>
        <v>0.610958904109589</v>
      </c>
      <c r="C225" s="6">
        <f>EXP(-r_free*(('2_Discount_Factors'!B225+'2_Discount_Factors'!B226)/2))</f>
        <v>0.981878533518582</v>
      </c>
      <c r="D225" s="6">
        <f>'3_Survival_Probs'!D225</f>
        <v>0.993045598058182</v>
      </c>
      <c r="E225" s="6">
        <f>'3_Survival_Probs'!D226</f>
        <v>0.993015839713442</v>
      </c>
      <c r="F225" s="8">
        <f t="shared" si="8"/>
        <v>2.97583447397276e-5</v>
      </c>
      <c r="G225" s="29">
        <f>(1-recovery)*notional*C225*F225</f>
        <v>175.314479357905</v>
      </c>
      <c r="H225" s="8">
        <f t="shared" si="7"/>
        <v>3.28214322085577e-6</v>
      </c>
      <c r="I225" s="30"/>
    </row>
    <row r="226" spans="1:9">
      <c r="A226" s="10">
        <v>224</v>
      </c>
      <c r="B226" s="12">
        <f>'2_Discount_Factors'!B227</f>
        <v>0.613698630136986</v>
      </c>
      <c r="C226" s="12">
        <f>EXP(-r_free*(('2_Discount_Factors'!B226+'2_Discount_Factors'!B227)/2))</f>
        <v>0.981797834489805</v>
      </c>
      <c r="D226" s="12">
        <f>'3_Survival_Probs'!D226</f>
        <v>0.993015839713442</v>
      </c>
      <c r="E226" s="12">
        <f>'3_Survival_Probs'!D227</f>
        <v>0.992986082260463</v>
      </c>
      <c r="F226" s="14">
        <f t="shared" si="8"/>
        <v>2.97574529789513e-5</v>
      </c>
      <c r="G226" s="32">
        <f>(1-recovery)*notional*C226*F226</f>
        <v>175.294817367999</v>
      </c>
      <c r="H226" s="14">
        <f t="shared" si="7"/>
        <v>3.36181841527671e-6</v>
      </c>
      <c r="I226" s="33"/>
    </row>
    <row r="227" spans="1:9">
      <c r="A227" s="4">
        <v>225</v>
      </c>
      <c r="B227" s="6">
        <f>'2_Discount_Factors'!B228</f>
        <v>0.616438356164384</v>
      </c>
      <c r="C227" s="6">
        <f>EXP(-r_free*(('2_Discount_Factors'!B227+'2_Discount_Factors'!B228)/2))</f>
        <v>0.981717142093552</v>
      </c>
      <c r="D227" s="6">
        <f>'3_Survival_Probs'!D227</f>
        <v>0.992986082260463</v>
      </c>
      <c r="E227" s="6">
        <f>'3_Survival_Probs'!D228</f>
        <v>0.992956325699218</v>
      </c>
      <c r="F227" s="8">
        <f t="shared" si="8"/>
        <v>2.97565612449313e-5</v>
      </c>
      <c r="G227" s="29">
        <f>(1-recovery)*notional*C227*F227</f>
        <v>175.275157583434</v>
      </c>
      <c r="H227" s="8">
        <f t="shared" si="7"/>
        <v>3.4414756968437e-6</v>
      </c>
      <c r="I227" s="30"/>
    </row>
    <row r="228" spans="1:9">
      <c r="A228" s="10">
        <v>226</v>
      </c>
      <c r="B228" s="12">
        <f>'2_Discount_Factors'!B229</f>
        <v>0.619178082191781</v>
      </c>
      <c r="C228" s="12">
        <f>EXP(-r_free*(('2_Discount_Factors'!B228+'2_Discount_Factors'!B229)/2))</f>
        <v>0.981636456329279</v>
      </c>
      <c r="D228" s="12">
        <f>'3_Survival_Probs'!D228</f>
        <v>0.992956325699218</v>
      </c>
      <c r="E228" s="12">
        <f>'3_Survival_Probs'!D229</f>
        <v>0.992926570029681</v>
      </c>
      <c r="F228" s="14">
        <f t="shared" si="8"/>
        <v>2.97556695376677e-5</v>
      </c>
      <c r="G228" s="32">
        <f>(1-recovery)*notional*C228*F228</f>
        <v>175.255500003967</v>
      </c>
      <c r="H228" s="14">
        <f t="shared" si="7"/>
        <v>3.52111506857287e-6</v>
      </c>
      <c r="I228" s="33"/>
    </row>
    <row r="229" spans="1:9">
      <c r="A229" s="4">
        <v>227</v>
      </c>
      <c r="B229" s="6">
        <f>'2_Discount_Factors'!B230</f>
        <v>0.621917808219178</v>
      </c>
      <c r="C229" s="6">
        <f>EXP(-r_free*(('2_Discount_Factors'!B229+'2_Discount_Factors'!B230)/2))</f>
        <v>0.98155577719644</v>
      </c>
      <c r="D229" s="6">
        <f>'3_Survival_Probs'!D229</f>
        <v>0.992926570029681</v>
      </c>
      <c r="E229" s="6">
        <f>'3_Survival_Probs'!D230</f>
        <v>0.992896815251823</v>
      </c>
      <c r="F229" s="8">
        <f t="shared" si="8"/>
        <v>2.97547778570495e-5</v>
      </c>
      <c r="G229" s="29">
        <f>(1-recovery)*notional*C229*F229</f>
        <v>175.235844628702</v>
      </c>
      <c r="H229" s="8">
        <f t="shared" si="7"/>
        <v>3.60073653346649e-6</v>
      </c>
      <c r="I229" s="30"/>
    </row>
    <row r="230" spans="1:9">
      <c r="A230" s="10">
        <v>228</v>
      </c>
      <c r="B230" s="12">
        <f>'2_Discount_Factors'!B231</f>
        <v>0.624657534246575</v>
      </c>
      <c r="C230" s="12">
        <f>EXP(-r_free*(('2_Discount_Factors'!B230+'2_Discount_Factors'!B231)/2))</f>
        <v>0.98147510469449</v>
      </c>
      <c r="D230" s="12">
        <f>'3_Survival_Probs'!D230</f>
        <v>0.992896815251823</v>
      </c>
      <c r="E230" s="12">
        <f>'3_Survival_Probs'!D231</f>
        <v>0.99286706136562</v>
      </c>
      <c r="F230" s="14">
        <f t="shared" si="8"/>
        <v>2.97538862031876e-5</v>
      </c>
      <c r="G230" s="32">
        <f>(1-recovery)*notional*C230*F230</f>
        <v>175.216191458049</v>
      </c>
      <c r="H230" s="14">
        <f t="shared" si="7"/>
        <v>3.68034009455264e-6</v>
      </c>
      <c r="I230" s="33"/>
    </row>
    <row r="231" spans="1:9">
      <c r="A231" s="4">
        <v>229</v>
      </c>
      <c r="B231" s="6">
        <f>'2_Discount_Factors'!B232</f>
        <v>0.627397260273973</v>
      </c>
      <c r="C231" s="6">
        <f>EXP(-r_free*(('2_Discount_Factors'!B231+'2_Discount_Factors'!B232)/2))</f>
        <v>0.981394438822884</v>
      </c>
      <c r="D231" s="6">
        <f>'3_Survival_Probs'!D231</f>
        <v>0.99286706136562</v>
      </c>
      <c r="E231" s="6">
        <f>'3_Survival_Probs'!D232</f>
        <v>0.992837308371044</v>
      </c>
      <c r="F231" s="8">
        <f t="shared" si="8"/>
        <v>2.97529945760822e-5</v>
      </c>
      <c r="G231" s="29">
        <f>(1-recovery)*notional*C231*F231</f>
        <v>175.196540491767</v>
      </c>
      <c r="H231" s="8">
        <f t="shared" si="7"/>
        <v>3.75992575484615e-6</v>
      </c>
      <c r="I231" s="30"/>
    </row>
    <row r="232" spans="1:9">
      <c r="A232" s="10">
        <v>230</v>
      </c>
      <c r="B232" s="12">
        <f>'2_Discount_Factors'!B233</f>
        <v>0.63013698630137</v>
      </c>
      <c r="C232" s="12">
        <f>EXP(-r_free*(('2_Discount_Factors'!B232+'2_Discount_Factors'!B233)/2))</f>
        <v>0.981313779581077</v>
      </c>
      <c r="D232" s="12">
        <f>'3_Survival_Probs'!D232</f>
        <v>0.992837308371044</v>
      </c>
      <c r="E232" s="12">
        <f>'3_Survival_Probs'!D233</f>
        <v>0.992807556268069</v>
      </c>
      <c r="F232" s="14">
        <f t="shared" si="8"/>
        <v>2.9752102975622e-5</v>
      </c>
      <c r="G232" s="32">
        <f>(1-recovery)*notional*C232*F232</f>
        <v>175.176891728958</v>
      </c>
      <c r="H232" s="14">
        <f t="shared" si="7"/>
        <v>3.83949351734704e-6</v>
      </c>
      <c r="I232" s="33"/>
    </row>
    <row r="233" spans="1:9">
      <c r="A233" s="4">
        <v>231</v>
      </c>
      <c r="B233" s="6">
        <f>'2_Discount_Factors'!B234</f>
        <v>0.632876712328767</v>
      </c>
      <c r="C233" s="6">
        <f>EXP(-r_free*(('2_Discount_Factors'!B233+'2_Discount_Factors'!B234)/2))</f>
        <v>0.981233126968524</v>
      </c>
      <c r="D233" s="6">
        <f>'3_Survival_Probs'!D233</f>
        <v>0.992807556268069</v>
      </c>
      <c r="E233" s="6">
        <f>'3_Survival_Probs'!D234</f>
        <v>0.992777805056667</v>
      </c>
      <c r="F233" s="8">
        <f t="shared" si="8"/>
        <v>2.97512114019183e-5</v>
      </c>
      <c r="G233" s="29">
        <f>(1-recovery)*notional*C233*F233</f>
        <v>175.157245170035</v>
      </c>
      <c r="H233" s="8">
        <f t="shared" si="7"/>
        <v>3.91904338508299e-6</v>
      </c>
      <c r="I233" s="30"/>
    </row>
    <row r="234" spans="1:9">
      <c r="A234" s="10">
        <v>232</v>
      </c>
      <c r="B234" s="12">
        <f>'2_Discount_Factors'!B235</f>
        <v>0.635616438356164</v>
      </c>
      <c r="C234" s="12">
        <f>EXP(-r_free*(('2_Discount_Factors'!B234+'2_Discount_Factors'!B235)/2))</f>
        <v>0.981152480984681</v>
      </c>
      <c r="D234" s="12">
        <f>'3_Survival_Probs'!D234</f>
        <v>0.992777805056667</v>
      </c>
      <c r="E234" s="12">
        <f>'3_Survival_Probs'!D235</f>
        <v>0.992748054736812</v>
      </c>
      <c r="F234" s="14">
        <f t="shared" si="8"/>
        <v>2.97503198549709e-5</v>
      </c>
      <c r="G234" s="32">
        <f>(1-recovery)*notional*C234*F234</f>
        <v>175.137600814755</v>
      </c>
      <c r="H234" s="14">
        <f t="shared" si="7"/>
        <v>3.99857536106748e-6</v>
      </c>
      <c r="I234" s="33"/>
    </row>
    <row r="235" spans="1:9">
      <c r="A235" s="4">
        <v>233</v>
      </c>
      <c r="B235" s="6">
        <f>'2_Discount_Factors'!B236</f>
        <v>0.638356164383562</v>
      </c>
      <c r="C235" s="6">
        <f>EXP(-r_free*(('2_Discount_Factors'!B235+'2_Discount_Factors'!B236)/2))</f>
        <v>0.981071841629003</v>
      </c>
      <c r="D235" s="6">
        <f>'3_Survival_Probs'!D235</f>
        <v>0.992748054736812</v>
      </c>
      <c r="E235" s="6">
        <f>'3_Survival_Probs'!D236</f>
        <v>0.992718305308477</v>
      </c>
      <c r="F235" s="8">
        <f t="shared" si="8"/>
        <v>2.97494283346689e-5</v>
      </c>
      <c r="G235" s="29">
        <f>(1-recovery)*notional*C235*F235</f>
        <v>175.117958662222</v>
      </c>
      <c r="H235" s="8">
        <f t="shared" si="7"/>
        <v>4.07808944829833e-6</v>
      </c>
      <c r="I235" s="30"/>
    </row>
    <row r="236" spans="1:9">
      <c r="A236" s="10">
        <v>234</v>
      </c>
      <c r="B236" s="12">
        <f>'2_Discount_Factors'!B237</f>
        <v>0.641095890410959</v>
      </c>
      <c r="C236" s="12">
        <f>EXP(-r_free*(('2_Discount_Factors'!B236+'2_Discount_Factors'!B237)/2))</f>
        <v>0.980991208900944</v>
      </c>
      <c r="D236" s="12">
        <f>'3_Survival_Probs'!D236</f>
        <v>0.992718305308477</v>
      </c>
      <c r="E236" s="12">
        <f>'3_Survival_Probs'!D237</f>
        <v>0.992688556771636</v>
      </c>
      <c r="F236" s="14">
        <f t="shared" si="8"/>
        <v>2.97485368411232e-5</v>
      </c>
      <c r="G236" s="32">
        <f>(1-recovery)*notional*C236*F236</f>
        <v>175.098318712846</v>
      </c>
      <c r="H236" s="14">
        <f t="shared" si="7"/>
        <v>4.15758564980276e-6</v>
      </c>
      <c r="I236" s="33"/>
    </row>
    <row r="237" spans="1:9">
      <c r="A237" s="4">
        <v>235</v>
      </c>
      <c r="B237" s="6">
        <f>'2_Discount_Factors'!B238</f>
        <v>0.643835616438356</v>
      </c>
      <c r="C237" s="6">
        <f>EXP(-r_free*(('2_Discount_Factors'!B237+'2_Discount_Factors'!B238)/2))</f>
        <v>0.980910582799961</v>
      </c>
      <c r="D237" s="6">
        <f>'3_Survival_Probs'!D237</f>
        <v>0.992688556771636</v>
      </c>
      <c r="E237" s="6">
        <f>'3_Survival_Probs'!D238</f>
        <v>0.992658809126262</v>
      </c>
      <c r="F237" s="8">
        <f t="shared" si="8"/>
        <v>2.97476453743339e-5</v>
      </c>
      <c r="G237" s="29">
        <f>(1-recovery)*notional*C237*F237</f>
        <v>175.078680966387</v>
      </c>
      <c r="H237" s="8">
        <f t="shared" si="7"/>
        <v>4.23706396859293e-6</v>
      </c>
      <c r="I237" s="30"/>
    </row>
    <row r="238" spans="1:9">
      <c r="A238" s="10">
        <v>236</v>
      </c>
      <c r="B238" s="12">
        <f>'2_Discount_Factors'!B239</f>
        <v>0.646575342465753</v>
      </c>
      <c r="C238" s="12">
        <f>EXP(-r_free*(('2_Discount_Factors'!B238+'2_Discount_Factors'!B239)/2))</f>
        <v>0.980829963325508</v>
      </c>
      <c r="D238" s="12">
        <f>'3_Survival_Probs'!D238</f>
        <v>0.992658809126262</v>
      </c>
      <c r="E238" s="12">
        <f>'3_Survival_Probs'!D239</f>
        <v>0.992629062372327</v>
      </c>
      <c r="F238" s="14">
        <f t="shared" si="8"/>
        <v>2.974675393419e-5</v>
      </c>
      <c r="G238" s="32">
        <f>(1-recovery)*notional*C238*F238</f>
        <v>175.059045421947</v>
      </c>
      <c r="H238" s="14">
        <f t="shared" si="7"/>
        <v>4.31652440766446e-6</v>
      </c>
      <c r="I238" s="33"/>
    </row>
    <row r="239" spans="1:9">
      <c r="A239" s="4">
        <v>237</v>
      </c>
      <c r="B239" s="6">
        <f>'2_Discount_Factors'!B240</f>
        <v>0.649315068493151</v>
      </c>
      <c r="C239" s="6">
        <f>EXP(-r_free*(('2_Discount_Factors'!B239+'2_Discount_Factors'!B240)/2))</f>
        <v>0.980749350477041</v>
      </c>
      <c r="D239" s="6">
        <f>'3_Survival_Probs'!D239</f>
        <v>0.992629062372327</v>
      </c>
      <c r="E239" s="6">
        <f>'3_Survival_Probs'!D240</f>
        <v>0.992599316509807</v>
      </c>
      <c r="F239" s="8">
        <f t="shared" si="8"/>
        <v>2.97458625208025e-5</v>
      </c>
      <c r="G239" s="29">
        <f>(1-recovery)*notional*C239*F239</f>
        <v>175.039412079938</v>
      </c>
      <c r="H239" s="8">
        <f t="shared" si="7"/>
        <v>4.39596697004412e-6</v>
      </c>
      <c r="I239" s="30"/>
    </row>
    <row r="240" spans="1:9">
      <c r="A240" s="10">
        <v>238</v>
      </c>
      <c r="B240" s="12">
        <f>'2_Discount_Factors'!B241</f>
        <v>0.652054794520548</v>
      </c>
      <c r="C240" s="12">
        <f>EXP(-r_free*(('2_Discount_Factors'!B240+'2_Discount_Factors'!B241)/2))</f>
        <v>0.980668744254015</v>
      </c>
      <c r="D240" s="12">
        <f>'3_Survival_Probs'!D240</f>
        <v>0.992599316509807</v>
      </c>
      <c r="E240" s="12">
        <f>'3_Survival_Probs'!D241</f>
        <v>0.992569571538673</v>
      </c>
      <c r="F240" s="14">
        <f t="shared" si="8"/>
        <v>2.97449711340603e-5</v>
      </c>
      <c r="G240" s="32">
        <f>(1-recovery)*notional*C240*F240</f>
        <v>175.019780939465</v>
      </c>
      <c r="H240" s="14">
        <f t="shared" si="7"/>
        <v>4.47539165872605e-6</v>
      </c>
      <c r="I240" s="33"/>
    </row>
    <row r="241" spans="1:9">
      <c r="A241" s="4">
        <v>239</v>
      </c>
      <c r="B241" s="6">
        <f>'2_Discount_Factors'!B242</f>
        <v>0.654794520547945</v>
      </c>
      <c r="C241" s="6">
        <f>EXP(-r_free*(('2_Discount_Factors'!B241+'2_Discount_Factors'!B242)/2))</f>
        <v>0.980588144655886</v>
      </c>
      <c r="D241" s="6">
        <f>'3_Survival_Probs'!D241</f>
        <v>0.992569571538673</v>
      </c>
      <c r="E241" s="6">
        <f>'3_Survival_Probs'!D242</f>
        <v>0.992539827458898</v>
      </c>
      <c r="F241" s="8">
        <f t="shared" si="8"/>
        <v>2.97440797740745e-5</v>
      </c>
      <c r="G241" s="29">
        <f>(1-recovery)*notional*C241*F241</f>
        <v>175.000152000938</v>
      </c>
      <c r="H241" s="8">
        <f t="shared" si="7"/>
        <v>4.55479847673675e-6</v>
      </c>
      <c r="I241" s="30"/>
    </row>
    <row r="242" spans="1:9">
      <c r="A242" s="10">
        <v>240</v>
      </c>
      <c r="B242" s="12">
        <f>'2_Discount_Factors'!B243</f>
        <v>0.657534246575342</v>
      </c>
      <c r="C242" s="12">
        <f>EXP(-r_free*(('2_Discount_Factors'!B242+'2_Discount_Factors'!B243)/2))</f>
        <v>0.980507551682109</v>
      </c>
      <c r="D242" s="12">
        <f>'3_Survival_Probs'!D242</f>
        <v>0.992539827458898</v>
      </c>
      <c r="E242" s="12">
        <f>'3_Survival_Probs'!D243</f>
        <v>0.992510084270458</v>
      </c>
      <c r="F242" s="14">
        <f t="shared" si="8"/>
        <v>2.9743188440845e-5</v>
      </c>
      <c r="G242" s="32">
        <f>(1-recovery)*notional*C242*F242</f>
        <v>174.980525264115</v>
      </c>
      <c r="H242" s="14">
        <f t="shared" si="7"/>
        <v>4.63418742708617e-6</v>
      </c>
      <c r="I242" s="33"/>
    </row>
    <row r="243" spans="1:9">
      <c r="A243" s="4">
        <v>241</v>
      </c>
      <c r="B243" s="6">
        <f>'2_Discount_Factors'!B244</f>
        <v>0.66027397260274</v>
      </c>
      <c r="C243" s="6">
        <f>EXP(-r_free*(('2_Discount_Factors'!B243+'2_Discount_Factors'!B244)/2))</f>
        <v>0.98042696533214</v>
      </c>
      <c r="D243" s="6">
        <f>'3_Survival_Probs'!D243</f>
        <v>0.992510084270458</v>
      </c>
      <c r="E243" s="6">
        <f>'3_Survival_Probs'!D244</f>
        <v>0.992480341973323</v>
      </c>
      <c r="F243" s="8">
        <f t="shared" si="8"/>
        <v>2.97422971342609e-5</v>
      </c>
      <c r="G243" s="29">
        <f>(1-recovery)*notional*C243*F243</f>
        <v>174.960900728101</v>
      </c>
      <c r="H243" s="8">
        <f t="shared" si="7"/>
        <v>4.71355851276621e-6</v>
      </c>
      <c r="I243" s="30"/>
    </row>
    <row r="244" spans="1:9">
      <c r="A244" s="10">
        <v>242</v>
      </c>
      <c r="B244" s="12">
        <f>'2_Discount_Factors'!B245</f>
        <v>0.663013698630137</v>
      </c>
      <c r="C244" s="12">
        <f>EXP(-r_free*(('2_Discount_Factors'!B244+'2_Discount_Factors'!B245)/2))</f>
        <v>0.980346385605435</v>
      </c>
      <c r="D244" s="12">
        <f>'3_Survival_Probs'!D244</f>
        <v>0.992480341973323</v>
      </c>
      <c r="E244" s="12">
        <f>'3_Survival_Probs'!D245</f>
        <v>0.992450600567469</v>
      </c>
      <c r="F244" s="14">
        <f t="shared" si="8"/>
        <v>2.97414058544332e-5</v>
      </c>
      <c r="G244" s="32">
        <f>(1-recovery)*notional*C244*F244</f>
        <v>174.941278393307</v>
      </c>
      <c r="H244" s="14">
        <f t="shared" si="7"/>
        <v>4.79291173680295e-6</v>
      </c>
      <c r="I244" s="33"/>
    </row>
    <row r="245" spans="1:9">
      <c r="A245" s="4">
        <v>243</v>
      </c>
      <c r="B245" s="6">
        <f>'2_Discount_Factors'!B246</f>
        <v>0.665753424657534</v>
      </c>
      <c r="C245" s="6">
        <f>EXP(-r_free*(('2_Discount_Factors'!B245+'2_Discount_Factors'!B246)/2))</f>
        <v>0.980265812501449</v>
      </c>
      <c r="D245" s="6">
        <f>'3_Survival_Probs'!D245</f>
        <v>0.992450600567469</v>
      </c>
      <c r="E245" s="6">
        <f>'3_Survival_Probs'!D246</f>
        <v>0.992420860052868</v>
      </c>
      <c r="F245" s="8">
        <f t="shared" si="8"/>
        <v>2.97405146012508e-5</v>
      </c>
      <c r="G245" s="29">
        <f>(1-recovery)*notional*C245*F245</f>
        <v>174.921658258838</v>
      </c>
      <c r="H245" s="8">
        <f t="shared" si="7"/>
        <v>4.87224710218682e-6</v>
      </c>
      <c r="I245" s="30"/>
    </row>
    <row r="246" spans="1:9">
      <c r="A246" s="10">
        <v>244</v>
      </c>
      <c r="B246" s="12">
        <f>'2_Discount_Factors'!B247</f>
        <v>0.668493150684932</v>
      </c>
      <c r="C246" s="12">
        <f>EXP(-r_free*(('2_Discount_Factors'!B246+'2_Discount_Factors'!B247)/2))</f>
        <v>0.980185246019637</v>
      </c>
      <c r="D246" s="12">
        <f>'3_Survival_Probs'!D246</f>
        <v>0.992420860052868</v>
      </c>
      <c r="E246" s="12">
        <f>'3_Survival_Probs'!D247</f>
        <v>0.992391120429493</v>
      </c>
      <c r="F246" s="14">
        <f t="shared" si="8"/>
        <v>2.97396233748248e-5</v>
      </c>
      <c r="G246" s="32">
        <f>(1-recovery)*notional*C246*F246</f>
        <v>174.902040325104</v>
      </c>
      <c r="H246" s="14">
        <f t="shared" si="7"/>
        <v>4.9515646119436e-6</v>
      </c>
      <c r="I246" s="33"/>
    </row>
    <row r="247" spans="1:9">
      <c r="A247" s="4">
        <v>245</v>
      </c>
      <c r="B247" s="6">
        <f>'2_Discount_Factors'!B248</f>
        <v>0.671232876712329</v>
      </c>
      <c r="C247" s="6">
        <f>EXP(-r_free*(('2_Discount_Factors'!B247+'2_Discount_Factors'!B248)/2))</f>
        <v>0.980104686159456</v>
      </c>
      <c r="D247" s="6">
        <f>'3_Survival_Probs'!D247</f>
        <v>0.992391120429493</v>
      </c>
      <c r="E247" s="6">
        <f>'3_Survival_Probs'!D248</f>
        <v>0.992361381697318</v>
      </c>
      <c r="F247" s="8">
        <f t="shared" si="8"/>
        <v>2.97387321751552e-5</v>
      </c>
      <c r="G247" s="29">
        <f>(1-recovery)*notional*C247*F247</f>
        <v>174.882424591864</v>
      </c>
      <c r="H247" s="8">
        <f t="shared" si="7"/>
        <v>5.03086426908102e-6</v>
      </c>
      <c r="I247" s="30"/>
    </row>
    <row r="248" spans="1:9">
      <c r="A248" s="10">
        <v>246</v>
      </c>
      <c r="B248" s="12">
        <f>'2_Discount_Factors'!B249</f>
        <v>0.673972602739726</v>
      </c>
      <c r="C248" s="12">
        <f>EXP(-r_free*(('2_Discount_Factors'!B248+'2_Discount_Factors'!B249)/2))</f>
        <v>0.980024132920361</v>
      </c>
      <c r="D248" s="12">
        <f>'3_Survival_Probs'!D248</f>
        <v>0.992361381697318</v>
      </c>
      <c r="E248" s="12">
        <f>'3_Survival_Probs'!D249</f>
        <v>0.992331643856316</v>
      </c>
      <c r="F248" s="14">
        <f t="shared" si="8"/>
        <v>2.97378410021309e-5</v>
      </c>
      <c r="G248" s="32">
        <f>(1-recovery)*notional*C248*F248</f>
        <v>174.862811058222</v>
      </c>
      <c r="H248" s="14">
        <f t="shared" si="7"/>
        <v>5.11014607658731e-6</v>
      </c>
      <c r="I248" s="33"/>
    </row>
    <row r="249" spans="1:9">
      <c r="A249" s="4">
        <v>247</v>
      </c>
      <c r="B249" s="6">
        <f>'2_Discount_Factors'!B250</f>
        <v>0.676712328767123</v>
      </c>
      <c r="C249" s="6">
        <f>EXP(-r_free*(('2_Discount_Factors'!B249+'2_Discount_Factors'!B250)/2))</f>
        <v>0.979943586301808</v>
      </c>
      <c r="D249" s="6">
        <f>'3_Survival_Probs'!D249</f>
        <v>0.992331643856316</v>
      </c>
      <c r="E249" s="6">
        <f>'3_Survival_Probs'!D250</f>
        <v>0.99230190690646</v>
      </c>
      <c r="F249" s="8">
        <f t="shared" si="8"/>
        <v>2.9736949855752e-5</v>
      </c>
      <c r="G249" s="29">
        <f>(1-recovery)*notional*C249*F249</f>
        <v>174.843199723936</v>
      </c>
      <c r="H249" s="8">
        <f t="shared" ref="H249:H275" si="9">C249*(B249-0.498630136986301)*F249</f>
        <v>5.18941003746843e-6</v>
      </c>
      <c r="I249" s="30"/>
    </row>
    <row r="250" spans="1:9">
      <c r="A250" s="10">
        <v>248</v>
      </c>
      <c r="B250" s="12">
        <f>'2_Discount_Factors'!B251</f>
        <v>0.679452054794521</v>
      </c>
      <c r="C250" s="12">
        <f>EXP(-r_free*(('2_Discount_Factors'!B250+'2_Discount_Factors'!B251)/2))</f>
        <v>0.979863046303253</v>
      </c>
      <c r="D250" s="12">
        <f>'3_Survival_Probs'!D250</f>
        <v>0.99230190690646</v>
      </c>
      <c r="E250" s="12">
        <f>'3_Survival_Probs'!D251</f>
        <v>0.992272170847724</v>
      </c>
      <c r="F250" s="14">
        <f t="shared" si="8"/>
        <v>2.97360587362405e-5</v>
      </c>
      <c r="G250" s="32">
        <f>(1-recovery)*notional*C250*F250</f>
        <v>174.823590590071</v>
      </c>
      <c r="H250" s="14">
        <f t="shared" si="9"/>
        <v>5.26865615476926e-6</v>
      </c>
      <c r="I250" s="33"/>
    </row>
    <row r="251" spans="1:9">
      <c r="A251" s="4">
        <v>249</v>
      </c>
      <c r="B251" s="6">
        <f>'2_Discount_Factors'!B252</f>
        <v>0.682191780821918</v>
      </c>
      <c r="C251" s="6">
        <f>EXP(-r_free*(('2_Discount_Factors'!B251+'2_Discount_Factors'!B252)/2))</f>
        <v>0.979782512924152</v>
      </c>
      <c r="D251" s="6">
        <f>'3_Survival_Probs'!D251</f>
        <v>0.992272170847724</v>
      </c>
      <c r="E251" s="6">
        <f>'3_Survival_Probs'!D252</f>
        <v>0.99224243568008</v>
      </c>
      <c r="F251" s="8">
        <f t="shared" si="8"/>
        <v>2.97351676432633e-5</v>
      </c>
      <c r="G251" s="29">
        <f>(1-recovery)*notional*C251*F251</f>
        <v>174.803983654425</v>
      </c>
      <c r="H251" s="8">
        <f t="shared" si="9"/>
        <v>5.34788443143675e-6</v>
      </c>
      <c r="I251" s="30"/>
    </row>
    <row r="252" spans="1:9">
      <c r="A252" s="10">
        <v>250</v>
      </c>
      <c r="B252" s="12">
        <f>'2_Discount_Factors'!B253</f>
        <v>0.684931506849315</v>
      </c>
      <c r="C252" s="12">
        <f>EXP(-r_free*(('2_Discount_Factors'!B252+'2_Discount_Factors'!B253)/2))</f>
        <v>0.979701986163961</v>
      </c>
      <c r="D252" s="12">
        <f>'3_Survival_Probs'!D252</f>
        <v>0.99224243568008</v>
      </c>
      <c r="E252" s="12">
        <f>'3_Survival_Probs'!D253</f>
        <v>0.992212701403503</v>
      </c>
      <c r="F252" s="14">
        <f t="shared" si="8"/>
        <v>2.97342765770425e-5</v>
      </c>
      <c r="G252" s="32">
        <f>(1-recovery)*notional*C252*F252</f>
        <v>174.784378918063</v>
      </c>
      <c r="H252" s="14">
        <f t="shared" si="9"/>
        <v>5.4270948705152e-6</v>
      </c>
      <c r="I252" s="33"/>
    </row>
    <row r="253" spans="1:9">
      <c r="A253" s="4">
        <v>251</v>
      </c>
      <c r="B253" s="6">
        <f>'2_Discount_Factors'!B254</f>
        <v>0.687671232876712</v>
      </c>
      <c r="C253" s="6">
        <f>EXP(-r_free*(('2_Discount_Factors'!B253+'2_Discount_Factors'!B254)/2))</f>
        <v>0.979621466022136</v>
      </c>
      <c r="D253" s="6">
        <f>'3_Survival_Probs'!D253</f>
        <v>0.992212701403503</v>
      </c>
      <c r="E253" s="6">
        <f>'3_Survival_Probs'!D254</f>
        <v>0.992182968017966</v>
      </c>
      <c r="F253" s="8">
        <f t="shared" si="8"/>
        <v>2.97333855375781e-5</v>
      </c>
      <c r="G253" s="29">
        <f>(1-recovery)*notional*C253*F253</f>
        <v>174.764776380742</v>
      </c>
      <c r="H253" s="8">
        <f t="shared" si="9"/>
        <v>5.50628747500968e-6</v>
      </c>
      <c r="I253" s="30"/>
    </row>
    <row r="254" spans="1:9">
      <c r="A254" s="10">
        <v>252</v>
      </c>
      <c r="B254" s="12">
        <f>'2_Discount_Factors'!B255</f>
        <v>0.69041095890411</v>
      </c>
      <c r="C254" s="12">
        <f>EXP(-r_free*(('2_Discount_Factors'!B254+'2_Discount_Factors'!B255)/2))</f>
        <v>0.979540952498132</v>
      </c>
      <c r="D254" s="12">
        <f>'3_Survival_Probs'!D254</f>
        <v>0.992182968017966</v>
      </c>
      <c r="E254" s="12">
        <f>'3_Survival_Probs'!D255</f>
        <v>0.992153235523441</v>
      </c>
      <c r="F254" s="14">
        <f t="shared" si="8"/>
        <v>2.9732494524759e-5</v>
      </c>
      <c r="G254" s="32">
        <f>(1-recovery)*notional*C254*F254</f>
        <v>174.745176041568</v>
      </c>
      <c r="H254" s="14">
        <f t="shared" si="9"/>
        <v>5.585462247904e-6</v>
      </c>
      <c r="I254" s="33"/>
    </row>
    <row r="255" spans="1:9">
      <c r="A255" s="4">
        <v>253</v>
      </c>
      <c r="B255" s="6">
        <f>'2_Discount_Factors'!B256</f>
        <v>0.693150684931507</v>
      </c>
      <c r="C255" s="6">
        <f>EXP(-r_free*(('2_Discount_Factors'!B255+'2_Discount_Factors'!B256)/2))</f>
        <v>0.979460445591407</v>
      </c>
      <c r="D255" s="6">
        <f>'3_Survival_Probs'!D255</f>
        <v>0.992153235523441</v>
      </c>
      <c r="E255" s="6">
        <f>'3_Survival_Probs'!D256</f>
        <v>0.992123503919902</v>
      </c>
      <c r="F255" s="8">
        <f t="shared" si="8"/>
        <v>2.97316035386963e-5</v>
      </c>
      <c r="G255" s="29">
        <f>(1-recovery)*notional*C255*F255</f>
        <v>174.725577900951</v>
      </c>
      <c r="H255" s="8">
        <f t="shared" si="9"/>
        <v>5.66461919222263e-6</v>
      </c>
      <c r="I255" s="30"/>
    </row>
    <row r="256" spans="1:9">
      <c r="A256" s="10">
        <v>254</v>
      </c>
      <c r="B256" s="12">
        <f>'2_Discount_Factors'!B257</f>
        <v>0.695890410958904</v>
      </c>
      <c r="C256" s="12">
        <f>EXP(-r_free*(('2_Discount_Factors'!B256+'2_Discount_Factors'!B257)/2))</f>
        <v>0.979379945301415</v>
      </c>
      <c r="D256" s="12">
        <f>'3_Survival_Probs'!D256</f>
        <v>0.992123503919902</v>
      </c>
      <c r="E256" s="12">
        <f>'3_Survival_Probs'!D257</f>
        <v>0.992093773207323</v>
      </c>
      <c r="F256" s="14">
        <f t="shared" si="8"/>
        <v>2.9730712579279e-5</v>
      </c>
      <c r="G256" s="32">
        <f>(1-recovery)*notional*C256*F256</f>
        <v>174.705981957998</v>
      </c>
      <c r="H256" s="14">
        <f t="shared" si="9"/>
        <v>5.74375831094789e-6</v>
      </c>
      <c r="I256" s="33"/>
    </row>
    <row r="257" spans="1:9">
      <c r="A257" s="4">
        <v>255</v>
      </c>
      <c r="B257" s="6">
        <f>'2_Discount_Factors'!B258</f>
        <v>0.698630136986301</v>
      </c>
      <c r="C257" s="6">
        <f>EXP(-r_free*(('2_Discount_Factors'!B257+'2_Discount_Factors'!B258)/2))</f>
        <v>0.979299451627614</v>
      </c>
      <c r="D257" s="6">
        <f>'3_Survival_Probs'!D257</f>
        <v>0.992093773207323</v>
      </c>
      <c r="E257" s="6">
        <f>'3_Survival_Probs'!D258</f>
        <v>0.992064043385676</v>
      </c>
      <c r="F257" s="8">
        <f t="shared" si="8"/>
        <v>2.9729821646618e-5</v>
      </c>
      <c r="G257" s="29">
        <f>(1-recovery)*notional*C257*F257</f>
        <v>174.686388213119</v>
      </c>
      <c r="H257" s="8">
        <f t="shared" si="9"/>
        <v>5.82287960710396e-6</v>
      </c>
      <c r="I257" s="30"/>
    </row>
    <row r="258" spans="1:9">
      <c r="A258" s="10">
        <v>256</v>
      </c>
      <c r="B258" s="12">
        <f>'2_Discount_Factors'!B259</f>
        <v>0.701369863013699</v>
      </c>
      <c r="C258" s="12">
        <f>EXP(-r_free*(('2_Discount_Factors'!B258+'2_Discount_Factors'!B259)/2))</f>
        <v>0.97921896456946</v>
      </c>
      <c r="D258" s="12">
        <f>'3_Survival_Probs'!D258</f>
        <v>0.992064043385676</v>
      </c>
      <c r="E258" s="12">
        <f>'3_Survival_Probs'!D259</f>
        <v>0.992034314454936</v>
      </c>
      <c r="F258" s="14">
        <f t="shared" si="8"/>
        <v>2.97289307406023e-5</v>
      </c>
      <c r="G258" s="32">
        <f>(1-recovery)*notional*C258*F258</f>
        <v>174.666796665419</v>
      </c>
      <c r="H258" s="14">
        <f t="shared" si="9"/>
        <v>5.9019830836717e-6</v>
      </c>
      <c r="I258" s="33"/>
    </row>
    <row r="259" spans="1:9">
      <c r="A259" s="4">
        <v>257</v>
      </c>
      <c r="B259" s="6">
        <f>'2_Discount_Factors'!B260</f>
        <v>0.704109589041096</v>
      </c>
      <c r="C259" s="6">
        <f>EXP(-r_free*(('2_Discount_Factors'!B259+'2_Discount_Factors'!B260)/2))</f>
        <v>0.979138484126408</v>
      </c>
      <c r="D259" s="6">
        <f>'3_Survival_Probs'!D259</f>
        <v>0.992034314454936</v>
      </c>
      <c r="E259" s="6">
        <f>'3_Survival_Probs'!D260</f>
        <v>0.992004586415074</v>
      </c>
      <c r="F259" s="8">
        <f t="shared" ref="F259:F322" si="10">D259-E259</f>
        <v>2.97280398613431e-5</v>
      </c>
      <c r="G259" s="29">
        <f>(1-recovery)*notional*C259*F259</f>
        <v>174.647207315309</v>
      </c>
      <c r="H259" s="8">
        <f t="shared" si="9"/>
        <v>5.98106874367499e-6</v>
      </c>
      <c r="I259" s="30"/>
    </row>
    <row r="260" spans="1:9">
      <c r="A260" s="10">
        <v>258</v>
      </c>
      <c r="B260" s="12">
        <f>'2_Discount_Factors'!B261</f>
        <v>0.706849315068493</v>
      </c>
      <c r="C260" s="12">
        <f>EXP(-r_free*(('2_Discount_Factors'!B260+'2_Discount_Factors'!B261)/2))</f>
        <v>0.979058010297915</v>
      </c>
      <c r="D260" s="12">
        <f>'3_Survival_Probs'!D260</f>
        <v>0.992004586415074</v>
      </c>
      <c r="E260" s="12">
        <f>'3_Survival_Probs'!D261</f>
        <v>0.991974859266066</v>
      </c>
      <c r="F260" s="14">
        <f t="shared" si="10"/>
        <v>2.97271490087292e-5</v>
      </c>
      <c r="G260" s="32">
        <f>(1-recovery)*notional*C260*F260</f>
        <v>174.627620161896</v>
      </c>
      <c r="H260" s="14">
        <f t="shared" si="9"/>
        <v>6.06013659009321e-6</v>
      </c>
      <c r="I260" s="33"/>
    </row>
    <row r="261" spans="1:9">
      <c r="A261" s="4">
        <v>259</v>
      </c>
      <c r="B261" s="6">
        <f>'2_Discount_Factors'!B262</f>
        <v>0.70958904109589</v>
      </c>
      <c r="C261" s="6">
        <f>EXP(-r_free*(('2_Discount_Factors'!B261+'2_Discount_Factors'!B262)/2))</f>
        <v>0.978977543083438</v>
      </c>
      <c r="D261" s="6">
        <f>'3_Survival_Probs'!D261</f>
        <v>0.991974859266066</v>
      </c>
      <c r="E261" s="6">
        <f>'3_Survival_Probs'!D262</f>
        <v>0.991945133007883</v>
      </c>
      <c r="F261" s="8">
        <f t="shared" si="10"/>
        <v>2.97262581827606e-5</v>
      </c>
      <c r="G261" s="29">
        <f>(1-recovery)*notional*C261*F261</f>
        <v>174.608035204938</v>
      </c>
      <c r="H261" s="8">
        <f t="shared" si="9"/>
        <v>6.13918662592705e-6</v>
      </c>
      <c r="I261" s="30"/>
    </row>
    <row r="262" spans="1:9">
      <c r="A262" s="10">
        <v>260</v>
      </c>
      <c r="B262" s="12">
        <f>'2_Discount_Factors'!B263</f>
        <v>0.712328767123288</v>
      </c>
      <c r="C262" s="12">
        <f>EXP(-r_free*(('2_Discount_Factors'!B262+'2_Discount_Factors'!B263)/2))</f>
        <v>0.978897082482433</v>
      </c>
      <c r="D262" s="12">
        <f>'3_Survival_Probs'!D262</f>
        <v>0.991945133007883</v>
      </c>
      <c r="E262" s="12">
        <f>'3_Survival_Probs'!D263</f>
        <v>0.991915407640499</v>
      </c>
      <c r="F262" s="14">
        <f t="shared" si="10"/>
        <v>2.97253673835485e-5</v>
      </c>
      <c r="G262" s="32">
        <f>(1-recovery)*notional*C262*F262</f>
        <v>174.588452444844</v>
      </c>
      <c r="H262" s="14">
        <f t="shared" si="9"/>
        <v>6.21821885419995e-6</v>
      </c>
      <c r="I262" s="33"/>
    </row>
    <row r="263" spans="1:9">
      <c r="A263" s="4">
        <v>261</v>
      </c>
      <c r="B263" s="6">
        <f>'2_Discount_Factors'!B264</f>
        <v>0.715068493150685</v>
      </c>
      <c r="C263" s="6">
        <f>EXP(-r_free*(('2_Discount_Factors'!B263+'2_Discount_Factors'!B264)/2))</f>
        <v>0.978816628494355</v>
      </c>
      <c r="D263" s="6">
        <f>'3_Survival_Probs'!D263</f>
        <v>0.991915407640499</v>
      </c>
      <c r="E263" s="6">
        <f>'3_Survival_Probs'!D264</f>
        <v>0.991885683163888</v>
      </c>
      <c r="F263" s="8">
        <f t="shared" si="10"/>
        <v>2.97244766110927e-5</v>
      </c>
      <c r="G263" s="29">
        <f>(1-recovery)*notional*C263*F263</f>
        <v>174.568871881374</v>
      </c>
      <c r="H263" s="8">
        <f t="shared" si="9"/>
        <v>6.2972332779126e-6</v>
      </c>
      <c r="I263" s="30"/>
    </row>
    <row r="264" spans="1:9">
      <c r="A264" s="10">
        <v>262</v>
      </c>
      <c r="B264" s="12">
        <f>'2_Discount_Factors'!B265</f>
        <v>0.717808219178082</v>
      </c>
      <c r="C264" s="12">
        <f>EXP(-r_free*(('2_Discount_Factors'!B264+'2_Discount_Factors'!B265)/2))</f>
        <v>0.978736181118663</v>
      </c>
      <c r="D264" s="12">
        <f>'3_Survival_Probs'!D264</f>
        <v>0.991885683163888</v>
      </c>
      <c r="E264" s="12">
        <f>'3_Survival_Probs'!D265</f>
        <v>0.991855959578023</v>
      </c>
      <c r="F264" s="14">
        <f t="shared" si="10"/>
        <v>2.97235858651712e-5</v>
      </c>
      <c r="G264" s="32">
        <f>(1-recovery)*notional*C264*F264</f>
        <v>174.549293512982</v>
      </c>
      <c r="H264" s="14">
        <f t="shared" si="9"/>
        <v>6.37622990001762e-6</v>
      </c>
      <c r="I264" s="33"/>
    </row>
    <row r="265" spans="1:9">
      <c r="A265" s="4">
        <v>263</v>
      </c>
      <c r="B265" s="6">
        <f>'2_Discount_Factors'!B266</f>
        <v>0.720547945205479</v>
      </c>
      <c r="C265" s="6">
        <f>EXP(-r_free*(('2_Discount_Factors'!B265+'2_Discount_Factors'!B266)/2))</f>
        <v>0.978655740354812</v>
      </c>
      <c r="D265" s="6">
        <f>'3_Survival_Probs'!D265</f>
        <v>0.991855959578023</v>
      </c>
      <c r="E265" s="6">
        <f>'3_Survival_Probs'!D266</f>
        <v>0.991826236882877</v>
      </c>
      <c r="F265" s="8">
        <f t="shared" si="10"/>
        <v>2.97226951461171e-5</v>
      </c>
      <c r="G265" s="29">
        <f>(1-recovery)*notional*C265*F265</f>
        <v>174.529717341382</v>
      </c>
      <c r="H265" s="8">
        <f t="shared" si="9"/>
        <v>6.45520872358537e-6</v>
      </c>
      <c r="I265" s="30"/>
    </row>
    <row r="266" spans="1:9">
      <c r="A266" s="10">
        <v>264</v>
      </c>
      <c r="B266" s="12">
        <f>'2_Discount_Factors'!B267</f>
        <v>0.723287671232877</v>
      </c>
      <c r="C266" s="12">
        <f>EXP(-r_free*(('2_Discount_Factors'!B266+'2_Discount_Factors'!B267)/2))</f>
        <v>0.978575306202259</v>
      </c>
      <c r="D266" s="12">
        <f>'3_Survival_Probs'!D266</f>
        <v>0.991826236882877</v>
      </c>
      <c r="E266" s="12">
        <f>'3_Survival_Probs'!D267</f>
        <v>0.991796515078423</v>
      </c>
      <c r="F266" s="14">
        <f t="shared" si="10"/>
        <v>2.97218044535974e-5</v>
      </c>
      <c r="G266" s="32">
        <f>(1-recovery)*notional*C266*F266</f>
        <v>174.510143364377</v>
      </c>
      <c r="H266" s="14">
        <f t="shared" si="9"/>
        <v>6.53416975154288e-6</v>
      </c>
      <c r="I266" s="33"/>
    </row>
    <row r="267" spans="1:9">
      <c r="A267" s="4">
        <v>265</v>
      </c>
      <c r="B267" s="6">
        <f>'2_Discount_Factors'!B268</f>
        <v>0.726027397260274</v>
      </c>
      <c r="C267" s="6">
        <f>EXP(-r_free*(('2_Discount_Factors'!B267+'2_Discount_Factors'!B268)/2))</f>
        <v>0.978494878660461</v>
      </c>
      <c r="D267" s="6">
        <f>'3_Survival_Probs'!D267</f>
        <v>0.991796515078423</v>
      </c>
      <c r="E267" s="6">
        <f>'3_Survival_Probs'!D268</f>
        <v>0.991766794164636</v>
      </c>
      <c r="F267" s="8">
        <f t="shared" si="10"/>
        <v>2.9720913787834e-5</v>
      </c>
      <c r="G267" s="29">
        <f>(1-recovery)*notional*C267*F267</f>
        <v>174.490571583028</v>
      </c>
      <c r="H267" s="8">
        <f t="shared" si="9"/>
        <v>6.61311298693669e-6</v>
      </c>
      <c r="I267" s="30"/>
    </row>
    <row r="268" spans="1:9">
      <c r="A268" s="10">
        <v>266</v>
      </c>
      <c r="B268" s="12">
        <f>'2_Discount_Factors'!B269</f>
        <v>0.728767123287671</v>
      </c>
      <c r="C268" s="12">
        <f>EXP(-r_free*(('2_Discount_Factors'!B268+'2_Discount_Factors'!B269)/2))</f>
        <v>0.978414457728874</v>
      </c>
      <c r="D268" s="12">
        <f>'3_Survival_Probs'!D268</f>
        <v>0.991766794164636</v>
      </c>
      <c r="E268" s="12">
        <f>'3_Survival_Probs'!D269</f>
        <v>0.991737074141487</v>
      </c>
      <c r="F268" s="14">
        <f t="shared" si="10"/>
        <v>2.9720023148827e-5</v>
      </c>
      <c r="G268" s="32">
        <f>(1-recovery)*notional*C268*F268</f>
        <v>174.471001997095</v>
      </c>
      <c r="H268" s="14">
        <f t="shared" si="9"/>
        <v>6.69203843276531e-6</v>
      </c>
      <c r="I268" s="33"/>
    </row>
    <row r="269" spans="1:9">
      <c r="A269" s="4">
        <v>267</v>
      </c>
      <c r="B269" s="6">
        <f>'2_Discount_Factors'!B270</f>
        <v>0.731506849315068</v>
      </c>
      <c r="C269" s="6">
        <f>EXP(-r_free*(('2_Discount_Factors'!B269+'2_Discount_Factors'!B270)/2))</f>
        <v>0.978334043406955</v>
      </c>
      <c r="D269" s="6">
        <f>'3_Survival_Probs'!D269</f>
        <v>0.991737074141487</v>
      </c>
      <c r="E269" s="6">
        <f>'3_Survival_Probs'!D270</f>
        <v>0.99170735500895</v>
      </c>
      <c r="F269" s="8">
        <f t="shared" si="10"/>
        <v>2.97191325364654e-5</v>
      </c>
      <c r="G269" s="29">
        <f>(1-recovery)*notional*C269*F269</f>
        <v>174.451434605684</v>
      </c>
      <c r="H269" s="8">
        <f t="shared" si="9"/>
        <v>6.77094609200146e-6</v>
      </c>
      <c r="I269" s="30"/>
    </row>
    <row r="270" spans="1:9">
      <c r="A270" s="10">
        <v>268</v>
      </c>
      <c r="B270" s="12">
        <f>'2_Discount_Factors'!B271</f>
        <v>0.734246575342466</v>
      </c>
      <c r="C270" s="12">
        <f>EXP(-r_free*(('2_Discount_Factors'!B270+'2_Discount_Factors'!B271)/2))</f>
        <v>0.97825363569416</v>
      </c>
      <c r="D270" s="12">
        <f>'3_Survival_Probs'!D270</f>
        <v>0.99170735500895</v>
      </c>
      <c r="E270" s="12">
        <f>'3_Survival_Probs'!D271</f>
        <v>0.991677636766999</v>
      </c>
      <c r="F270" s="14">
        <f t="shared" si="10"/>
        <v>2.97182419507491e-5</v>
      </c>
      <c r="G270" s="32">
        <f>(1-recovery)*notional*C270*F270</f>
        <v>174.431869408554</v>
      </c>
      <c r="H270" s="14">
        <f t="shared" si="9"/>
        <v>6.84983596764187e-6</v>
      </c>
      <c r="I270" s="33"/>
    </row>
    <row r="271" spans="1:9">
      <c r="A271" s="4">
        <v>269</v>
      </c>
      <c r="B271" s="6">
        <f>'2_Discount_Factors'!B272</f>
        <v>0.736986301369863</v>
      </c>
      <c r="C271" s="6">
        <f>EXP(-r_free*(('2_Discount_Factors'!B271+'2_Discount_Factors'!B272)/2))</f>
        <v>0.978173234589947</v>
      </c>
      <c r="D271" s="6">
        <f>'3_Survival_Probs'!D271</f>
        <v>0.991677636766999</v>
      </c>
      <c r="E271" s="6">
        <f>'3_Survival_Probs'!D272</f>
        <v>0.991647919415608</v>
      </c>
      <c r="F271" s="8">
        <f t="shared" si="10"/>
        <v>2.97173513917892e-5</v>
      </c>
      <c r="G271" s="29">
        <f>(1-recovery)*notional*C271*F271</f>
        <v>174.412306406115</v>
      </c>
      <c r="H271" s="8">
        <f t="shared" si="9"/>
        <v>6.92870806270869e-6</v>
      </c>
      <c r="I271" s="30"/>
    </row>
    <row r="272" spans="1:9">
      <c r="A272" s="10">
        <v>270</v>
      </c>
      <c r="B272" s="12">
        <f>'2_Discount_Factors'!B273</f>
        <v>0.73972602739726</v>
      </c>
      <c r="C272" s="12">
        <f>EXP(-r_free*(('2_Discount_Factors'!B272+'2_Discount_Factors'!B273)/2))</f>
        <v>0.978092840093773</v>
      </c>
      <c r="D272" s="12">
        <f>'3_Survival_Probs'!D272</f>
        <v>0.991647919415608</v>
      </c>
      <c r="E272" s="12">
        <f>'3_Survival_Probs'!D273</f>
        <v>0.991618202954748</v>
      </c>
      <c r="F272" s="14">
        <f t="shared" si="10"/>
        <v>2.97164608594747e-5</v>
      </c>
      <c r="G272" s="32">
        <f>(1-recovery)*notional*C272*F272</f>
        <v>174.392745597474</v>
      </c>
      <c r="H272" s="14">
        <f t="shared" si="9"/>
        <v>7.00756238017248e-6</v>
      </c>
      <c r="I272" s="33"/>
    </row>
    <row r="273" spans="1:9">
      <c r="A273" s="4">
        <v>271</v>
      </c>
      <c r="B273" s="6">
        <f>'2_Discount_Factors'!B274</f>
        <v>0.742465753424657</v>
      </c>
      <c r="C273" s="6">
        <f>EXP(-r_free*(('2_Discount_Factors'!B273+'2_Discount_Factors'!B274)/2))</f>
        <v>0.978012452205093</v>
      </c>
      <c r="D273" s="6">
        <f>'3_Survival_Probs'!D273</f>
        <v>0.991618202954748</v>
      </c>
      <c r="E273" s="6">
        <f>'3_Survival_Probs'!D274</f>
        <v>0.991588487384394</v>
      </c>
      <c r="F273" s="8">
        <f t="shared" si="10"/>
        <v>2.97155703538055e-5</v>
      </c>
      <c r="G273" s="29">
        <f>(1-recovery)*notional*C273*F273</f>
        <v>174.373186982389</v>
      </c>
      <c r="H273" s="8">
        <f t="shared" si="9"/>
        <v>7.08639892302862e-6</v>
      </c>
      <c r="I273" s="30"/>
    </row>
    <row r="274" spans="1:9">
      <c r="A274" s="10">
        <v>272</v>
      </c>
      <c r="B274" s="12">
        <f>'2_Discount_Factors'!B275</f>
        <v>0.745205479452055</v>
      </c>
      <c r="C274" s="12">
        <f>EXP(-r_free*(('2_Discount_Factors'!B274+'2_Discount_Factors'!B275)/2))</f>
        <v>0.977932070923366</v>
      </c>
      <c r="D274" s="12">
        <f>'3_Survival_Probs'!D274</f>
        <v>0.991588487384394</v>
      </c>
      <c r="E274" s="12">
        <f>'3_Survival_Probs'!D275</f>
        <v>0.99155877270452</v>
      </c>
      <c r="F274" s="14">
        <f t="shared" si="10"/>
        <v>2.97146798748926e-5</v>
      </c>
      <c r="G274" s="32">
        <f>(1-recovery)*notional*C274*F274</f>
        <v>174.353630561272</v>
      </c>
      <c r="H274" s="14">
        <f t="shared" si="9"/>
        <v>7.16521769429885e-6</v>
      </c>
      <c r="I274" s="33"/>
    </row>
    <row r="275" spans="1:9">
      <c r="A275" s="34">
        <v>273</v>
      </c>
      <c r="B275" s="35">
        <f>'2_Discount_Factors'!B276</f>
        <v>0.747945205479452</v>
      </c>
      <c r="C275" s="35">
        <f>EXP(-r_free*(('2_Discount_Factors'!B275+'2_Discount_Factors'!B276)/2))</f>
        <v>0.977851696248048</v>
      </c>
      <c r="D275" s="35">
        <f>'3_Survival_Probs'!D275</f>
        <v>0.99155877270452</v>
      </c>
      <c r="E275" s="35">
        <f>'3_Survival_Probs'!D276</f>
        <v>0.991529058915097</v>
      </c>
      <c r="F275" s="36">
        <f t="shared" si="10"/>
        <v>2.97137894226251e-5</v>
      </c>
      <c r="G275" s="37">
        <f>(1-recovery)*notional*C275*F275</f>
        <v>174.334076333228</v>
      </c>
      <c r="H275" s="36">
        <f t="shared" si="9"/>
        <v>7.24401869695149e-6</v>
      </c>
      <c r="I275" s="38" t="s">
        <v>71</v>
      </c>
    </row>
    <row r="276" spans="1:9">
      <c r="A276" s="10">
        <v>274</v>
      </c>
      <c r="B276" s="12">
        <f>'2_Discount_Factors'!B277</f>
        <v>0.750684931506849</v>
      </c>
      <c r="C276" s="12">
        <f>EXP(-r_free*(('2_Discount_Factors'!B276+'2_Discount_Factors'!B277)/2))</f>
        <v>0.977771328178596</v>
      </c>
      <c r="D276" s="12">
        <f>'3_Survival_Probs'!D276</f>
        <v>0.991529058915097</v>
      </c>
      <c r="E276" s="12">
        <f>'3_Survival_Probs'!D277</f>
        <v>0.9914993460161</v>
      </c>
      <c r="F276" s="14">
        <f t="shared" si="10"/>
        <v>2.9712898997114e-5</v>
      </c>
      <c r="G276" s="32">
        <f>(1-recovery)*notional*C276*F276</f>
        <v>174.314524298668</v>
      </c>
      <c r="H276" s="14">
        <f t="shared" ref="H276:H339" si="11">C276*(B276-0.747945205479452)*F276</f>
        <v>7.95956731957418e-8</v>
      </c>
      <c r="I276" s="33"/>
    </row>
    <row r="277" spans="1:9">
      <c r="A277" s="4">
        <v>275</v>
      </c>
      <c r="B277" s="6">
        <f>'2_Discount_Factors'!B278</f>
        <v>0.753424657534247</v>
      </c>
      <c r="C277" s="6">
        <f>EXP(-r_free*(('2_Discount_Factors'!B277+'2_Discount_Factors'!B278)/2))</f>
        <v>0.977690966714468</v>
      </c>
      <c r="D277" s="6">
        <f>'3_Survival_Probs'!D277</f>
        <v>0.9914993460161</v>
      </c>
      <c r="E277" s="6">
        <f>'3_Survival_Probs'!D278</f>
        <v>0.991469634007502</v>
      </c>
      <c r="F277" s="8">
        <f t="shared" si="10"/>
        <v>2.97120085982483e-5</v>
      </c>
      <c r="G277" s="29">
        <f>(1-recovery)*notional*C277*F277</f>
        <v>174.2949744567</v>
      </c>
      <c r="H277" s="8">
        <f t="shared" si="11"/>
        <v>1.59173492654523e-7</v>
      </c>
      <c r="I277" s="30"/>
    </row>
    <row r="278" spans="1:9">
      <c r="A278" s="10">
        <v>276</v>
      </c>
      <c r="B278" s="12">
        <f>'2_Discount_Factors'!B279</f>
        <v>0.756164383561644</v>
      </c>
      <c r="C278" s="12">
        <f>EXP(-r_free*(('2_Discount_Factors'!B278+'2_Discount_Factors'!B279)/2))</f>
        <v>0.97761061185512</v>
      </c>
      <c r="D278" s="12">
        <f>'3_Survival_Probs'!D278</f>
        <v>0.991469634007502</v>
      </c>
      <c r="E278" s="12">
        <f>'3_Survival_Probs'!D279</f>
        <v>0.991439922889276</v>
      </c>
      <c r="F278" s="14">
        <f t="shared" si="10"/>
        <v>2.97111182260279e-5</v>
      </c>
      <c r="G278" s="32">
        <f>(1-recovery)*notional*C278*F278</f>
        <v>174.275426807082</v>
      </c>
      <c r="H278" s="14">
        <f t="shared" si="11"/>
        <v>2.38733461379566e-7</v>
      </c>
      <c r="I278" s="33"/>
    </row>
    <row r="279" spans="1:9">
      <c r="A279" s="4">
        <v>277</v>
      </c>
      <c r="B279" s="6">
        <f>'2_Discount_Factors'!B280</f>
        <v>0.758904109589041</v>
      </c>
      <c r="C279" s="6">
        <f>EXP(-r_free*(('2_Discount_Factors'!B279+'2_Discount_Factors'!B280)/2))</f>
        <v>0.977530263600009</v>
      </c>
      <c r="D279" s="6">
        <f>'3_Survival_Probs'!D279</f>
        <v>0.991439922889276</v>
      </c>
      <c r="E279" s="6">
        <f>'3_Survival_Probs'!D280</f>
        <v>0.991410212661395</v>
      </c>
      <c r="F279" s="8">
        <f t="shared" si="10"/>
        <v>2.97102278804529e-5</v>
      </c>
      <c r="G279" s="29">
        <f>(1-recovery)*notional*C279*F279</f>
        <v>174.255881349573</v>
      </c>
      <c r="H279" s="8">
        <f t="shared" si="11"/>
        <v>3.1827558237365e-7</v>
      </c>
      <c r="I279" s="30"/>
    </row>
    <row r="280" spans="1:9">
      <c r="A280" s="10">
        <v>278</v>
      </c>
      <c r="B280" s="12">
        <f>'2_Discount_Factors'!B281</f>
        <v>0.761643835616438</v>
      </c>
      <c r="C280" s="12">
        <f>EXP(-r_free*(('2_Discount_Factors'!B280+'2_Discount_Factors'!B281)/2))</f>
        <v>0.977449921948594</v>
      </c>
      <c r="D280" s="12">
        <f>'3_Survival_Probs'!D280</f>
        <v>0.991410212661395</v>
      </c>
      <c r="E280" s="12">
        <f>'3_Survival_Probs'!D281</f>
        <v>0.991380503323833</v>
      </c>
      <c r="F280" s="14">
        <f t="shared" si="10"/>
        <v>2.97093375616342e-5</v>
      </c>
      <c r="G280" s="32">
        <f>(1-recovery)*notional*C280*F280</f>
        <v>174.236338084583</v>
      </c>
      <c r="H280" s="14">
        <f t="shared" si="11"/>
        <v>3.97799858640601e-7</v>
      </c>
      <c r="I280" s="33"/>
    </row>
    <row r="281" spans="1:9">
      <c r="A281" s="4">
        <v>279</v>
      </c>
      <c r="B281" s="6">
        <f>'2_Discount_Factors'!B282</f>
        <v>0.764383561643836</v>
      </c>
      <c r="C281" s="6">
        <f>EXP(-r_free*(('2_Discount_Factors'!B281+'2_Discount_Factors'!B282)/2))</f>
        <v>0.97736958690033</v>
      </c>
      <c r="D281" s="6">
        <f>'3_Survival_Probs'!D281</f>
        <v>0.991380503323833</v>
      </c>
      <c r="E281" s="6">
        <f>'3_Survival_Probs'!D282</f>
        <v>0.991350794876564</v>
      </c>
      <c r="F281" s="8">
        <f t="shared" si="10"/>
        <v>2.97084472694609e-5</v>
      </c>
      <c r="G281" s="29">
        <f>(1-recovery)*notional*C281*F281</f>
        <v>174.216797011219</v>
      </c>
      <c r="H281" s="8">
        <f t="shared" si="11"/>
        <v>4.77306293181424e-7</v>
      </c>
      <c r="I281" s="30"/>
    </row>
    <row r="282" spans="1:9">
      <c r="A282" s="10">
        <v>280</v>
      </c>
      <c r="B282" s="12">
        <f>'2_Discount_Factors'!B283</f>
        <v>0.767123287671233</v>
      </c>
      <c r="C282" s="12">
        <f>EXP(-r_free*(('2_Discount_Factors'!B282+'2_Discount_Factors'!B283)/2))</f>
        <v>0.977289258454676</v>
      </c>
      <c r="D282" s="12">
        <f>'3_Survival_Probs'!D282</f>
        <v>0.991350794876564</v>
      </c>
      <c r="E282" s="12">
        <f>'3_Survival_Probs'!D283</f>
        <v>0.99132108731956</v>
      </c>
      <c r="F282" s="14">
        <f t="shared" si="10"/>
        <v>2.97075570040439e-5</v>
      </c>
      <c r="G282" s="32">
        <f>(1-recovery)*notional*C282*F282</f>
        <v>174.197258129893</v>
      </c>
      <c r="H282" s="14">
        <f t="shared" si="11"/>
        <v>5.56794888999658e-7</v>
      </c>
      <c r="I282" s="33"/>
    </row>
    <row r="283" spans="1:9">
      <c r="A283" s="4">
        <v>281</v>
      </c>
      <c r="B283" s="6">
        <f>'2_Discount_Factors'!B284</f>
        <v>0.76986301369863</v>
      </c>
      <c r="C283" s="6">
        <f>EXP(-r_free*(('2_Discount_Factors'!B283+'2_Discount_Factors'!B284)/2))</f>
        <v>0.977208936611088</v>
      </c>
      <c r="D283" s="6">
        <f>'3_Survival_Probs'!D283</f>
        <v>0.99132108731956</v>
      </c>
      <c r="E283" s="6">
        <f>'3_Survival_Probs'!D284</f>
        <v>0.991291380652795</v>
      </c>
      <c r="F283" s="8">
        <f t="shared" si="10"/>
        <v>2.97066667652723e-5</v>
      </c>
      <c r="G283" s="29">
        <f>(1-recovery)*notional*C283*F283</f>
        <v>174.17772143971</v>
      </c>
      <c r="H283" s="8">
        <f t="shared" si="11"/>
        <v>6.36265649094833e-7</v>
      </c>
      <c r="I283" s="30"/>
    </row>
    <row r="284" spans="1:9">
      <c r="A284" s="10">
        <v>282</v>
      </c>
      <c r="B284" s="12">
        <f>'2_Discount_Factors'!B285</f>
        <v>0.772602739726027</v>
      </c>
      <c r="C284" s="12">
        <f>EXP(-r_free*(('2_Discount_Factors'!B284+'2_Discount_Factors'!B285)/2))</f>
        <v>0.977128621369025</v>
      </c>
      <c r="D284" s="12">
        <f>'3_Survival_Probs'!D284</f>
        <v>0.991291380652795</v>
      </c>
      <c r="E284" s="12">
        <f>'3_Survival_Probs'!D285</f>
        <v>0.991261674876242</v>
      </c>
      <c r="F284" s="14">
        <f t="shared" si="10"/>
        <v>2.97057765531461e-5</v>
      </c>
      <c r="G284" s="32">
        <f>(1-recovery)*notional*C284*F284</f>
        <v>174.158186940432</v>
      </c>
      <c r="H284" s="14">
        <f t="shared" si="11"/>
        <v>7.15718576467531e-7</v>
      </c>
      <c r="I284" s="33"/>
    </row>
    <row r="285" spans="1:9">
      <c r="A285" s="4">
        <v>283</v>
      </c>
      <c r="B285" s="6">
        <f>'2_Discount_Factors'!B286</f>
        <v>0.775342465753425</v>
      </c>
      <c r="C285" s="6">
        <f>EXP(-r_free*(('2_Discount_Factors'!B285+'2_Discount_Factors'!B286)/2))</f>
        <v>0.977048312727943</v>
      </c>
      <c r="D285" s="6">
        <f>'3_Survival_Probs'!D285</f>
        <v>0.991261674876242</v>
      </c>
      <c r="E285" s="6">
        <f>'3_Survival_Probs'!D286</f>
        <v>0.991231969989874</v>
      </c>
      <c r="F285" s="8">
        <f t="shared" si="10"/>
        <v>2.97048863676652e-5</v>
      </c>
      <c r="G285" s="29">
        <f>(1-recovery)*notional*C285*F285</f>
        <v>174.138654631815</v>
      </c>
      <c r="H285" s="8">
        <f t="shared" si="11"/>
        <v>7.95153674117882e-7</v>
      </c>
      <c r="I285" s="30"/>
    </row>
    <row r="286" spans="1:9">
      <c r="A286" s="10">
        <v>284</v>
      </c>
      <c r="B286" s="12">
        <f>'2_Discount_Factors'!B287</f>
        <v>0.778082191780822</v>
      </c>
      <c r="C286" s="12">
        <f>EXP(-r_free*(('2_Discount_Factors'!B286+'2_Discount_Factors'!B287)/2))</f>
        <v>0.976968010687299</v>
      </c>
      <c r="D286" s="12">
        <f>'3_Survival_Probs'!D286</f>
        <v>0.991231969989874</v>
      </c>
      <c r="E286" s="12">
        <f>'3_Survival_Probs'!D287</f>
        <v>0.991202265993665</v>
      </c>
      <c r="F286" s="14">
        <f t="shared" si="10"/>
        <v>2.97039962088297e-5</v>
      </c>
      <c r="G286" s="32">
        <f>(1-recovery)*notional*C286*F286</f>
        <v>174.119124513621</v>
      </c>
      <c r="H286" s="14">
        <f t="shared" si="11"/>
        <v>8.74570945045586e-7</v>
      </c>
      <c r="I286" s="33"/>
    </row>
    <row r="287" spans="1:9">
      <c r="A287" s="4">
        <v>285</v>
      </c>
      <c r="B287" s="6">
        <f>'2_Discount_Factors'!B288</f>
        <v>0.780821917808219</v>
      </c>
      <c r="C287" s="6">
        <f>EXP(-r_free*(('2_Discount_Factors'!B287+'2_Discount_Factors'!B288)/2))</f>
        <v>0.976887715246553</v>
      </c>
      <c r="D287" s="6">
        <f>'3_Survival_Probs'!D287</f>
        <v>0.991202265993665</v>
      </c>
      <c r="E287" s="6">
        <f>'3_Survival_Probs'!D288</f>
        <v>0.991172562887588</v>
      </c>
      <c r="F287" s="8">
        <f t="shared" si="10"/>
        <v>2.97031060767505e-5</v>
      </c>
      <c r="G287" s="29">
        <f>(1-recovery)*notional*C287*F287</f>
        <v>174.099596586257</v>
      </c>
      <c r="H287" s="8">
        <f t="shared" si="11"/>
        <v>9.53970392253465e-7</v>
      </c>
      <c r="I287" s="30"/>
    </row>
    <row r="288" spans="1:9">
      <c r="A288" s="10">
        <v>286</v>
      </c>
      <c r="B288" s="12">
        <f>'2_Discount_Factors'!B289</f>
        <v>0.783561643835616</v>
      </c>
      <c r="C288" s="12">
        <f>EXP(-r_free*(('2_Discount_Factors'!B288+'2_Discount_Factors'!B289)/2))</f>
        <v>0.97680742640516</v>
      </c>
      <c r="D288" s="12">
        <f>'3_Survival_Probs'!D288</f>
        <v>0.991172562887588</v>
      </c>
      <c r="E288" s="12">
        <f>'3_Survival_Probs'!D289</f>
        <v>0.991142860671617</v>
      </c>
      <c r="F288" s="14">
        <f t="shared" si="10"/>
        <v>2.97022159713167e-5</v>
      </c>
      <c r="G288" s="32">
        <f>(1-recovery)*notional*C288*F288</f>
        <v>174.080070848833</v>
      </c>
      <c r="H288" s="14">
        <f t="shared" si="11"/>
        <v>1.03335201873737e-6</v>
      </c>
      <c r="I288" s="33"/>
    </row>
    <row r="289" spans="1:9">
      <c r="A289" s="4">
        <v>287</v>
      </c>
      <c r="B289" s="6">
        <f>'2_Discount_Factors'!B290</f>
        <v>0.786301369863014</v>
      </c>
      <c r="C289" s="6">
        <f>EXP(-r_free*(('2_Discount_Factors'!B289+'2_Discount_Factors'!B290)/2))</f>
        <v>0.976727144162579</v>
      </c>
      <c r="D289" s="6">
        <f>'3_Survival_Probs'!D289</f>
        <v>0.991142860671617</v>
      </c>
      <c r="E289" s="6">
        <f>'3_Survival_Probs'!D290</f>
        <v>0.991113159345724</v>
      </c>
      <c r="F289" s="8">
        <f t="shared" si="10"/>
        <v>2.97013258926393e-5</v>
      </c>
      <c r="G289" s="29">
        <f>(1-recovery)*notional*C289*F289</f>
        <v>174.060547301758</v>
      </c>
      <c r="H289" s="8">
        <f t="shared" si="11"/>
        <v>1.11271582749982e-6</v>
      </c>
      <c r="I289" s="30"/>
    </row>
    <row r="290" spans="1:9">
      <c r="A290" s="10">
        <v>288</v>
      </c>
      <c r="B290" s="12">
        <f>'2_Discount_Factors'!B291</f>
        <v>0.789041095890411</v>
      </c>
      <c r="C290" s="12">
        <f>EXP(-r_free*(('2_Discount_Factors'!B290+'2_Discount_Factors'!B291)/2))</f>
        <v>0.976646868518268</v>
      </c>
      <c r="D290" s="12">
        <f>'3_Survival_Probs'!D290</f>
        <v>0.991113159345724</v>
      </c>
      <c r="E290" s="12">
        <f>'3_Survival_Probs'!D291</f>
        <v>0.991083458909884</v>
      </c>
      <c r="F290" s="14">
        <f t="shared" si="10"/>
        <v>2.97004358404962e-5</v>
      </c>
      <c r="G290" s="32">
        <f>(1-recovery)*notional*C290*F290</f>
        <v>174.04102594349</v>
      </c>
      <c r="H290" s="14">
        <f t="shared" si="11"/>
        <v>1.19206182153076e-6</v>
      </c>
      <c r="I290" s="33"/>
    </row>
    <row r="291" spans="1:9">
      <c r="A291" s="4">
        <v>289</v>
      </c>
      <c r="B291" s="6">
        <f>'2_Discount_Factors'!B292</f>
        <v>0.791780821917808</v>
      </c>
      <c r="C291" s="6">
        <f>EXP(-r_free*(('2_Discount_Factors'!B291+'2_Discount_Factors'!B292)/2))</f>
        <v>0.976566599471683</v>
      </c>
      <c r="D291" s="6">
        <f>'3_Survival_Probs'!D291</f>
        <v>0.991083458909884</v>
      </c>
      <c r="E291" s="6">
        <f>'3_Survival_Probs'!D292</f>
        <v>0.991053759364069</v>
      </c>
      <c r="F291" s="8">
        <f t="shared" si="10"/>
        <v>2.96995458151095e-5</v>
      </c>
      <c r="G291" s="29">
        <f>(1-recovery)*notional*C291*F291</f>
        <v>174.02150677509</v>
      </c>
      <c r="H291" s="8">
        <f t="shared" si="11"/>
        <v>1.27139000383627e-6</v>
      </c>
      <c r="I291" s="30"/>
    </row>
    <row r="292" spans="1:9">
      <c r="A292" s="10">
        <v>290</v>
      </c>
      <c r="B292" s="12">
        <f>'2_Discount_Factors'!B293</f>
        <v>0.794520547945205</v>
      </c>
      <c r="C292" s="12">
        <f>EXP(-r_free*(('2_Discount_Factors'!B292+'2_Discount_Factors'!B293)/2))</f>
        <v>0.976486337022284</v>
      </c>
      <c r="D292" s="12">
        <f>'3_Survival_Probs'!D292</f>
        <v>0.991053759364069</v>
      </c>
      <c r="E292" s="12">
        <f>'3_Survival_Probs'!D293</f>
        <v>0.991024060708252</v>
      </c>
      <c r="F292" s="14">
        <f t="shared" si="10"/>
        <v>2.96986558163681e-5</v>
      </c>
      <c r="G292" s="32">
        <f>(1-recovery)*notional*C292*F292</f>
        <v>174.001989795665</v>
      </c>
      <c r="H292" s="14">
        <f t="shared" si="11"/>
        <v>1.35070037740927e-6</v>
      </c>
      <c r="I292" s="33"/>
    </row>
    <row r="293" spans="1:9">
      <c r="A293" s="4">
        <v>291</v>
      </c>
      <c r="B293" s="6">
        <f>'2_Discount_Factors'!B294</f>
        <v>0.797260273972603</v>
      </c>
      <c r="C293" s="6">
        <f>EXP(-r_free*(('2_Discount_Factors'!B293+'2_Discount_Factors'!B294)/2))</f>
        <v>0.976406081169526</v>
      </c>
      <c r="D293" s="6">
        <f>'3_Survival_Probs'!D293</f>
        <v>0.991024060708252</v>
      </c>
      <c r="E293" s="6">
        <f>'3_Survival_Probs'!D294</f>
        <v>0.990994362942408</v>
      </c>
      <c r="F293" s="8">
        <f t="shared" si="10"/>
        <v>2.96977658443831e-5</v>
      </c>
      <c r="G293" s="29">
        <f>(1-recovery)*notional*C293*F293</f>
        <v>173.982475005626</v>
      </c>
      <c r="H293" s="8">
        <f t="shared" si="11"/>
        <v>1.42999294525172e-6</v>
      </c>
      <c r="I293" s="30"/>
    </row>
    <row r="294" spans="1:9">
      <c r="A294" s="10">
        <v>292</v>
      </c>
      <c r="B294" s="12">
        <f>'2_Discount_Factors'!B295</f>
        <v>0.8</v>
      </c>
      <c r="C294" s="12">
        <f>EXP(-r_free*(('2_Discount_Factors'!B294+'2_Discount_Factors'!B295)/2))</f>
        <v>0.976325831912869</v>
      </c>
      <c r="D294" s="12">
        <f>'3_Survival_Probs'!D294</f>
        <v>0.990994362942408</v>
      </c>
      <c r="E294" s="12">
        <f>'3_Survival_Probs'!D295</f>
        <v>0.990964666066509</v>
      </c>
      <c r="F294" s="14">
        <f t="shared" si="10"/>
        <v>2.96968758989324e-5</v>
      </c>
      <c r="G294" s="32">
        <f>(1-recovery)*notional*C294*F294</f>
        <v>173.962962403431</v>
      </c>
      <c r="H294" s="14">
        <f t="shared" si="11"/>
        <v>1.5092677103494e-6</v>
      </c>
      <c r="I294" s="33"/>
    </row>
    <row r="295" spans="1:9">
      <c r="A295" s="4">
        <v>293</v>
      </c>
      <c r="B295" s="6">
        <f>'2_Discount_Factors'!B296</f>
        <v>0.802739726027397</v>
      </c>
      <c r="C295" s="6">
        <f>EXP(-r_free*(('2_Discount_Factors'!B295+'2_Discount_Factors'!B296)/2))</f>
        <v>0.976245589251771</v>
      </c>
      <c r="D295" s="6">
        <f>'3_Survival_Probs'!D295</f>
        <v>0.990964666066509</v>
      </c>
      <c r="E295" s="6">
        <f>'3_Survival_Probs'!D296</f>
        <v>0.990934970080529</v>
      </c>
      <c r="F295" s="8">
        <f t="shared" si="10"/>
        <v>2.96959859802381e-5</v>
      </c>
      <c r="G295" s="29">
        <f>(1-recovery)*notional*C295*F295</f>
        <v>173.94345199014</v>
      </c>
      <c r="H295" s="8">
        <f t="shared" si="11"/>
        <v>1.58852467570904e-6</v>
      </c>
      <c r="I295" s="30"/>
    </row>
    <row r="296" spans="1:9">
      <c r="A296" s="10">
        <v>294</v>
      </c>
      <c r="B296" s="12">
        <f>'2_Discount_Factors'!B297</f>
        <v>0.805479452054795</v>
      </c>
      <c r="C296" s="12">
        <f>EXP(-r_free*(('2_Discount_Factors'!B296+'2_Discount_Factors'!B297)/2))</f>
        <v>0.976165353185689</v>
      </c>
      <c r="D296" s="12">
        <f>'3_Survival_Probs'!D296</f>
        <v>0.990934970080529</v>
      </c>
      <c r="E296" s="12">
        <f>'3_Survival_Probs'!D297</f>
        <v>0.990905274984441</v>
      </c>
      <c r="F296" s="14">
        <f t="shared" si="10"/>
        <v>2.96950960881892e-5</v>
      </c>
      <c r="G296" s="32">
        <f>(1-recovery)*notional*C296*F296</f>
        <v>173.923943764861</v>
      </c>
      <c r="H296" s="14">
        <f t="shared" si="11"/>
        <v>1.66776384432059e-6</v>
      </c>
      <c r="I296" s="33"/>
    </row>
    <row r="297" spans="1:9">
      <c r="A297" s="4">
        <v>295</v>
      </c>
      <c r="B297" s="6">
        <f>'2_Discount_Factors'!B298</f>
        <v>0.808219178082192</v>
      </c>
      <c r="C297" s="6">
        <f>EXP(-r_free*(('2_Discount_Factors'!B297+'2_Discount_Factors'!B298)/2))</f>
        <v>0.97608512371408</v>
      </c>
      <c r="D297" s="6">
        <f>'3_Survival_Probs'!D297</f>
        <v>0.990905274984441</v>
      </c>
      <c r="E297" s="6">
        <f>'3_Survival_Probs'!D298</f>
        <v>0.990875580778218</v>
      </c>
      <c r="F297" s="8">
        <f t="shared" si="10"/>
        <v>2.96942062227856e-5</v>
      </c>
      <c r="G297" s="29">
        <f>(1-recovery)*notional*C297*F297</f>
        <v>173.904437727355</v>
      </c>
      <c r="H297" s="8">
        <f t="shared" si="11"/>
        <v>1.74698521917891e-6</v>
      </c>
      <c r="I297" s="30"/>
    </row>
    <row r="298" spans="1:9">
      <c r="A298" s="10">
        <v>296</v>
      </c>
      <c r="B298" s="12">
        <f>'2_Discount_Factors'!B299</f>
        <v>0.810958904109589</v>
      </c>
      <c r="C298" s="12">
        <f>EXP(-r_free*(('2_Discount_Factors'!B298+'2_Discount_Factors'!B299)/2))</f>
        <v>0.976004900836404</v>
      </c>
      <c r="D298" s="12">
        <f>'3_Survival_Probs'!D298</f>
        <v>0.990875580778218</v>
      </c>
      <c r="E298" s="12">
        <f>'3_Survival_Probs'!D299</f>
        <v>0.990845887461834</v>
      </c>
      <c r="F298" s="14">
        <f t="shared" si="10"/>
        <v>2.96933163840274e-5</v>
      </c>
      <c r="G298" s="32">
        <f>(1-recovery)*notional*C298*F298</f>
        <v>173.88493387738</v>
      </c>
      <c r="H298" s="14">
        <f t="shared" si="11"/>
        <v>1.82618880327842e-6</v>
      </c>
      <c r="I298" s="33"/>
    </row>
    <row r="299" spans="1:9">
      <c r="A299" s="4">
        <v>297</v>
      </c>
      <c r="B299" s="6">
        <f>'2_Discount_Factors'!B300</f>
        <v>0.813698630136986</v>
      </c>
      <c r="C299" s="6">
        <f>EXP(-r_free*(('2_Discount_Factors'!B299+'2_Discount_Factors'!B300)/2))</f>
        <v>0.975924684552118</v>
      </c>
      <c r="D299" s="6">
        <f>'3_Survival_Probs'!D299</f>
        <v>0.990845887461834</v>
      </c>
      <c r="E299" s="6">
        <f>'3_Survival_Probs'!D300</f>
        <v>0.990816195035262</v>
      </c>
      <c r="F299" s="8">
        <f t="shared" si="10"/>
        <v>2.96924265720255e-5</v>
      </c>
      <c r="G299" s="29">
        <f>(1-recovery)*notional*C299*F299</f>
        <v>173.865432215346</v>
      </c>
      <c r="H299" s="8">
        <f t="shared" si="11"/>
        <v>1.90537459962023e-6</v>
      </c>
      <c r="I299" s="30"/>
    </row>
    <row r="300" spans="1:9">
      <c r="A300" s="10">
        <v>298</v>
      </c>
      <c r="B300" s="12">
        <f>'2_Discount_Factors'!B301</f>
        <v>0.816438356164384</v>
      </c>
      <c r="C300" s="12">
        <f>EXP(-r_free*(('2_Discount_Factors'!B300+'2_Discount_Factors'!B301)/2))</f>
        <v>0.975844474860681</v>
      </c>
      <c r="D300" s="12">
        <f>'3_Survival_Probs'!D300</f>
        <v>0.990816195035262</v>
      </c>
      <c r="E300" s="12">
        <f>'3_Survival_Probs'!D301</f>
        <v>0.990786503498475</v>
      </c>
      <c r="F300" s="14">
        <f t="shared" si="10"/>
        <v>2.9691536786558e-5</v>
      </c>
      <c r="G300" s="32">
        <f>(1-recovery)*notional*C300*F300</f>
        <v>173.845932739712</v>
      </c>
      <c r="H300" s="14">
        <f t="shared" si="11"/>
        <v>1.98454261118392e-6</v>
      </c>
      <c r="I300" s="33"/>
    </row>
    <row r="301" spans="1:9">
      <c r="A301" s="4">
        <v>299</v>
      </c>
      <c r="B301" s="6">
        <f>'2_Discount_Factors'!B302</f>
        <v>0.819178082191781</v>
      </c>
      <c r="C301" s="6">
        <f>EXP(-r_free*(('2_Discount_Factors'!B301+'2_Discount_Factors'!B302)/2))</f>
        <v>0.97576427176155</v>
      </c>
      <c r="D301" s="6">
        <f>'3_Survival_Probs'!D301</f>
        <v>0.990786503498475</v>
      </c>
      <c r="E301" s="6">
        <f>'3_Survival_Probs'!D302</f>
        <v>0.990756812851447</v>
      </c>
      <c r="F301" s="8">
        <f t="shared" si="10"/>
        <v>2.96906470278469e-5</v>
      </c>
      <c r="G301" s="29">
        <f>(1-recovery)*notional*C301*F301</f>
        <v>173.826435451537</v>
      </c>
      <c r="H301" s="8">
        <f t="shared" si="11"/>
        <v>2.06369284097716e-6</v>
      </c>
      <c r="I301" s="30"/>
    </row>
    <row r="302" spans="1:9">
      <c r="A302" s="10">
        <v>300</v>
      </c>
      <c r="B302" s="12">
        <f>'2_Discount_Factors'!B303</f>
        <v>0.821917808219178</v>
      </c>
      <c r="C302" s="12">
        <f>EXP(-r_free*(('2_Discount_Factors'!B302+'2_Discount_Factors'!B303)/2))</f>
        <v>0.975684075254183</v>
      </c>
      <c r="D302" s="12">
        <f>'3_Survival_Probs'!D302</f>
        <v>0.990756812851447</v>
      </c>
      <c r="E302" s="12">
        <f>'3_Survival_Probs'!D303</f>
        <v>0.990727123094152</v>
      </c>
      <c r="F302" s="14">
        <f t="shared" si="10"/>
        <v>2.9689757295781e-5</v>
      </c>
      <c r="G302" s="32">
        <f>(1-recovery)*notional*C302*F302</f>
        <v>173.806940349932</v>
      </c>
      <c r="H302" s="14">
        <f t="shared" si="11"/>
        <v>2.14282529198546e-6</v>
      </c>
      <c r="I302" s="33"/>
    </row>
    <row r="303" spans="1:9">
      <c r="A303" s="4">
        <v>301</v>
      </c>
      <c r="B303" s="6">
        <f>'2_Discount_Factors'!B304</f>
        <v>0.824657534246575</v>
      </c>
      <c r="C303" s="6">
        <f>EXP(-r_free*(('2_Discount_Factors'!B303+'2_Discount_Factors'!B304)/2))</f>
        <v>0.97560388533804</v>
      </c>
      <c r="D303" s="6">
        <f>'3_Survival_Probs'!D303</f>
        <v>0.990727123094152</v>
      </c>
      <c r="E303" s="6">
        <f>'3_Survival_Probs'!D304</f>
        <v>0.990697434226561</v>
      </c>
      <c r="F303" s="8">
        <f t="shared" si="10"/>
        <v>2.96888675904716e-5</v>
      </c>
      <c r="G303" s="29">
        <f>(1-recovery)*notional*C303*F303</f>
        <v>173.787447435304</v>
      </c>
      <c r="H303" s="8">
        <f t="shared" si="11"/>
        <v>2.22193996720937e-6</v>
      </c>
      <c r="I303" s="30"/>
    </row>
    <row r="304" spans="1:9">
      <c r="A304" s="10">
        <v>302</v>
      </c>
      <c r="B304" s="12">
        <f>'2_Discount_Factors'!B305</f>
        <v>0.827397260273973</v>
      </c>
      <c r="C304" s="12">
        <f>EXP(-r_free*(('2_Discount_Factors'!B304+'2_Discount_Factors'!B305)/2))</f>
        <v>0.975523702012577</v>
      </c>
      <c r="D304" s="12">
        <f>'3_Survival_Probs'!D304</f>
        <v>0.990697434226561</v>
      </c>
      <c r="E304" s="12">
        <f>'3_Survival_Probs'!D305</f>
        <v>0.990667746248649</v>
      </c>
      <c r="F304" s="14">
        <f t="shared" si="10"/>
        <v>2.96879779116965e-5</v>
      </c>
      <c r="G304" s="32">
        <f>(1-recovery)*notional*C304*F304</f>
        <v>173.767956706115</v>
      </c>
      <c r="H304" s="14">
        <f t="shared" si="11"/>
        <v>2.30103686962436e-6</v>
      </c>
      <c r="I304" s="33"/>
    </row>
    <row r="305" spans="1:9">
      <c r="A305" s="4">
        <v>303</v>
      </c>
      <c r="B305" s="6">
        <f>'2_Discount_Factors'!B306</f>
        <v>0.83013698630137</v>
      </c>
      <c r="C305" s="6">
        <f>EXP(-r_free*(('2_Discount_Factors'!B305+'2_Discount_Factors'!B306)/2))</f>
        <v>0.975443525277254</v>
      </c>
      <c r="D305" s="6">
        <f>'3_Survival_Probs'!D305</f>
        <v>0.990667746248649</v>
      </c>
      <c r="E305" s="6">
        <f>'3_Survival_Probs'!D306</f>
        <v>0.99063805916039</v>
      </c>
      <c r="F305" s="8">
        <f t="shared" si="10"/>
        <v>2.96870882595668e-5</v>
      </c>
      <c r="G305" s="29">
        <f>(1-recovery)*notional*C305*F305</f>
        <v>173.748468162773</v>
      </c>
      <c r="H305" s="8">
        <f t="shared" si="11"/>
        <v>2.38011600222977e-6</v>
      </c>
      <c r="I305" s="30"/>
    </row>
    <row r="306" spans="1:9">
      <c r="A306" s="10">
        <v>304</v>
      </c>
      <c r="B306" s="12">
        <f>'2_Discount_Factors'!B307</f>
        <v>0.832876712328767</v>
      </c>
      <c r="C306" s="12">
        <f>EXP(-r_free*(('2_Discount_Factors'!B306+'2_Discount_Factors'!B307)/2))</f>
        <v>0.975363355131529</v>
      </c>
      <c r="D306" s="12">
        <f>'3_Survival_Probs'!D306</f>
        <v>0.99063805916039</v>
      </c>
      <c r="E306" s="12">
        <f>'3_Survival_Probs'!D307</f>
        <v>0.990608372961756</v>
      </c>
      <c r="F306" s="14">
        <f t="shared" si="10"/>
        <v>2.96861986341934e-5</v>
      </c>
      <c r="G306" s="32">
        <f>(1-recovery)*notional*C306*F306</f>
        <v>173.728981805687</v>
      </c>
      <c r="H306" s="14">
        <f t="shared" si="11"/>
        <v>2.45917736802572e-6</v>
      </c>
      <c r="I306" s="33"/>
    </row>
    <row r="307" spans="1:9">
      <c r="A307" s="4">
        <v>305</v>
      </c>
      <c r="B307" s="6">
        <f>'2_Discount_Factors'!B308</f>
        <v>0.835616438356164</v>
      </c>
      <c r="C307" s="6">
        <f>EXP(-r_free*(('2_Discount_Factors'!B307+'2_Discount_Factors'!B308)/2))</f>
        <v>0.97528319157486</v>
      </c>
      <c r="D307" s="6">
        <f>'3_Survival_Probs'!D307</f>
        <v>0.990608372961756</v>
      </c>
      <c r="E307" s="6">
        <f>'3_Survival_Probs'!D308</f>
        <v>0.99057868765272</v>
      </c>
      <c r="F307" s="8">
        <f t="shared" si="10"/>
        <v>2.96853090354654e-5</v>
      </c>
      <c r="G307" s="29">
        <f>(1-recovery)*notional*C307*F307</f>
        <v>173.709497633968</v>
      </c>
      <c r="H307" s="8">
        <f t="shared" si="11"/>
        <v>2.53822096999406e-6</v>
      </c>
      <c r="I307" s="30"/>
    </row>
    <row r="308" spans="1:9">
      <c r="A308" s="10">
        <v>306</v>
      </c>
      <c r="B308" s="12">
        <f>'2_Discount_Factors'!B309</f>
        <v>0.838356164383562</v>
      </c>
      <c r="C308" s="12">
        <f>EXP(-r_free*(('2_Discount_Factors'!B308+'2_Discount_Factors'!B309)/2))</f>
        <v>0.975203034606706</v>
      </c>
      <c r="D308" s="12">
        <f>'3_Survival_Probs'!D308</f>
        <v>0.99057868765272</v>
      </c>
      <c r="E308" s="12">
        <f>'3_Survival_Probs'!D309</f>
        <v>0.990549003233257</v>
      </c>
      <c r="F308" s="14">
        <f t="shared" si="10"/>
        <v>2.96844194632717e-5</v>
      </c>
      <c r="G308" s="32">
        <f>(1-recovery)*notional*C308*F308</f>
        <v>173.690015646726</v>
      </c>
      <c r="H308" s="14">
        <f t="shared" si="11"/>
        <v>2.61724681111505e-6</v>
      </c>
      <c r="I308" s="33"/>
    </row>
    <row r="309" spans="1:9">
      <c r="A309" s="4">
        <v>307</v>
      </c>
      <c r="B309" s="6">
        <f>'2_Discount_Factors'!B310</f>
        <v>0.841095890410959</v>
      </c>
      <c r="C309" s="6">
        <f>EXP(-r_free*(('2_Discount_Factors'!B309+'2_Discount_Factors'!B310)/2))</f>
        <v>0.975122884226525</v>
      </c>
      <c r="D309" s="6">
        <f>'3_Survival_Probs'!D309</f>
        <v>0.990549003233257</v>
      </c>
      <c r="E309" s="6">
        <f>'3_Survival_Probs'!D310</f>
        <v>0.990519319703339</v>
      </c>
      <c r="F309" s="8">
        <f t="shared" si="10"/>
        <v>2.96835299178344e-5</v>
      </c>
      <c r="G309" s="29">
        <f>(1-recovery)*notional*C309*F309</f>
        <v>173.670535845018</v>
      </c>
      <c r="H309" s="8">
        <f t="shared" si="11"/>
        <v>2.69625489439754e-6</v>
      </c>
      <c r="I309" s="30"/>
    </row>
    <row r="310" spans="1:9">
      <c r="A310" s="10">
        <v>308</v>
      </c>
      <c r="B310" s="12">
        <f>'2_Discount_Factors'!B311</f>
        <v>0.843835616438356</v>
      </c>
      <c r="C310" s="12">
        <f>EXP(-r_free*(('2_Discount_Factors'!B310+'2_Discount_Factors'!B311)/2))</f>
        <v>0.975042740433776</v>
      </c>
      <c r="D310" s="12">
        <f>'3_Survival_Probs'!D310</f>
        <v>0.990519319703339</v>
      </c>
      <c r="E310" s="12">
        <f>'3_Survival_Probs'!D311</f>
        <v>0.99048963706294</v>
      </c>
      <c r="F310" s="14">
        <f t="shared" si="10"/>
        <v>2.96826403990424e-5</v>
      </c>
      <c r="G310" s="32">
        <f>(1-recovery)*notional*C310*F310</f>
        <v>173.651058227956</v>
      </c>
      <c r="H310" s="14">
        <f t="shared" si="11"/>
        <v>2.77524522282122e-6</v>
      </c>
      <c r="I310" s="33"/>
    </row>
    <row r="311" spans="1:9">
      <c r="A311" s="4">
        <v>309</v>
      </c>
      <c r="B311" s="6">
        <f>'2_Discount_Factors'!B312</f>
        <v>0.846575342465753</v>
      </c>
      <c r="C311" s="6">
        <f>EXP(-r_free*(('2_Discount_Factors'!B311+'2_Discount_Factors'!B312)/2))</f>
        <v>0.974962603227917</v>
      </c>
      <c r="D311" s="6">
        <f>'3_Survival_Probs'!D311</f>
        <v>0.99048963706294</v>
      </c>
      <c r="E311" s="6">
        <f>'3_Survival_Probs'!D312</f>
        <v>0.990459955312033</v>
      </c>
      <c r="F311" s="8">
        <f t="shared" si="10"/>
        <v>2.96817509070069e-5</v>
      </c>
      <c r="G311" s="29">
        <f>(1-recovery)*notional*C311*F311</f>
        <v>173.631582795948</v>
      </c>
      <c r="H311" s="8">
        <f t="shared" si="11"/>
        <v>2.85421779938545e-6</v>
      </c>
      <c r="I311" s="30"/>
    </row>
    <row r="312" spans="1:9">
      <c r="A312" s="10">
        <v>310</v>
      </c>
      <c r="B312" s="12">
        <f>'2_Discount_Factors'!B313</f>
        <v>0.849315068493151</v>
      </c>
      <c r="C312" s="12">
        <f>EXP(-r_free*(('2_Discount_Factors'!B312+'2_Discount_Factors'!B313)/2))</f>
        <v>0.974882472608408</v>
      </c>
      <c r="D312" s="12">
        <f>'3_Survival_Probs'!D312</f>
        <v>0.990459955312033</v>
      </c>
      <c r="E312" s="12">
        <f>'3_Survival_Probs'!D313</f>
        <v>0.990430274450592</v>
      </c>
      <c r="F312" s="14">
        <f t="shared" si="10"/>
        <v>2.96808614415056e-5</v>
      </c>
      <c r="G312" s="32">
        <f>(1-recovery)*notional*C312*F312</f>
        <v>173.612109547455</v>
      </c>
      <c r="H312" s="14">
        <f t="shared" si="11"/>
        <v>2.93317262705746e-6</v>
      </c>
      <c r="I312" s="33"/>
    </row>
    <row r="313" spans="1:9">
      <c r="A313" s="4">
        <v>311</v>
      </c>
      <c r="B313" s="6">
        <f>'2_Discount_Factors'!B314</f>
        <v>0.852054794520548</v>
      </c>
      <c r="C313" s="6">
        <f>EXP(-r_free*(('2_Discount_Factors'!B313+'2_Discount_Factors'!B314)/2))</f>
        <v>0.974802348574705</v>
      </c>
      <c r="D313" s="6">
        <f>'3_Survival_Probs'!D313</f>
        <v>0.990430274450592</v>
      </c>
      <c r="E313" s="6">
        <f>'3_Survival_Probs'!D314</f>
        <v>0.990400594478589</v>
      </c>
      <c r="F313" s="8">
        <f t="shared" si="10"/>
        <v>2.96799720026497e-5</v>
      </c>
      <c r="G313" s="29">
        <f>(1-recovery)*notional*C313*F313</f>
        <v>173.592638482887</v>
      </c>
      <c r="H313" s="8">
        <f t="shared" si="11"/>
        <v>3.01210970883548e-6</v>
      </c>
      <c r="I313" s="30"/>
    </row>
    <row r="314" spans="1:9">
      <c r="A314" s="10">
        <v>312</v>
      </c>
      <c r="B314" s="12">
        <f>'2_Discount_Factors'!B315</f>
        <v>0.854794520547945</v>
      </c>
      <c r="C314" s="12">
        <f>EXP(-r_free*(('2_Discount_Factors'!B314+'2_Discount_Factors'!B315)/2))</f>
        <v>0.97472223112627</v>
      </c>
      <c r="D314" s="12">
        <f>'3_Survival_Probs'!D314</f>
        <v>0.990400594478589</v>
      </c>
      <c r="E314" s="12">
        <f>'3_Survival_Probs'!D315</f>
        <v>0.990370915395998</v>
      </c>
      <c r="F314" s="14">
        <f t="shared" si="10"/>
        <v>2.96790825904392e-5</v>
      </c>
      <c r="G314" s="32">
        <f>(1-recovery)*notional*C314*F314</f>
        <v>173.573169602002</v>
      </c>
      <c r="H314" s="14">
        <f t="shared" si="11"/>
        <v>3.09102904770689e-6</v>
      </c>
      <c r="I314" s="33"/>
    </row>
    <row r="315" spans="1:9">
      <c r="A315" s="4">
        <v>313</v>
      </c>
      <c r="B315" s="6">
        <f>'2_Discount_Factors'!B316</f>
        <v>0.857534246575342</v>
      </c>
      <c r="C315" s="6">
        <f>EXP(-r_free*(('2_Discount_Factors'!B315+'2_Discount_Factors'!B316)/2))</f>
        <v>0.974642120262559</v>
      </c>
      <c r="D315" s="6">
        <f>'3_Survival_Probs'!D315</f>
        <v>0.990370915395998</v>
      </c>
      <c r="E315" s="6">
        <f>'3_Survival_Probs'!D316</f>
        <v>0.990341237202793</v>
      </c>
      <c r="F315" s="8">
        <f t="shared" si="10"/>
        <v>2.9678193204985e-5</v>
      </c>
      <c r="G315" s="29">
        <f>(1-recovery)*notional*C315*F315</f>
        <v>173.553702905211</v>
      </c>
      <c r="H315" s="8">
        <f t="shared" si="11"/>
        <v>3.16993064667052e-6</v>
      </c>
      <c r="I315" s="30"/>
    </row>
    <row r="316" spans="1:9">
      <c r="A316" s="10">
        <v>314</v>
      </c>
      <c r="B316" s="12">
        <f>'2_Discount_Factors'!B317</f>
        <v>0.86027397260274</v>
      </c>
      <c r="C316" s="12">
        <f>EXP(-r_free*(('2_Discount_Factors'!B316+'2_Discount_Factors'!B317)/2))</f>
        <v>0.974562015983032</v>
      </c>
      <c r="D316" s="12">
        <f>'3_Survival_Probs'!D316</f>
        <v>0.990341237202793</v>
      </c>
      <c r="E316" s="12">
        <f>'3_Survival_Probs'!D317</f>
        <v>0.990311559898947</v>
      </c>
      <c r="F316" s="14">
        <f t="shared" si="10"/>
        <v>2.96773038460652e-5</v>
      </c>
      <c r="G316" s="32">
        <f>(1-recovery)*notional*C316*F316</f>
        <v>173.534238390974</v>
      </c>
      <c r="H316" s="14">
        <f t="shared" si="11"/>
        <v>3.24881450868946e-6</v>
      </c>
      <c r="I316" s="33"/>
    </row>
    <row r="317" spans="1:9">
      <c r="A317" s="4">
        <v>315</v>
      </c>
      <c r="B317" s="6">
        <f>'2_Discount_Factors'!B318</f>
        <v>0.863013698630137</v>
      </c>
      <c r="C317" s="6">
        <f>EXP(-r_free*(('2_Discount_Factors'!B317+'2_Discount_Factors'!B318)/2))</f>
        <v>0.974481918287149</v>
      </c>
      <c r="D317" s="6">
        <f>'3_Survival_Probs'!D317</f>
        <v>0.990311559898947</v>
      </c>
      <c r="E317" s="6">
        <f>'3_Survival_Probs'!D318</f>
        <v>0.990281883484433</v>
      </c>
      <c r="F317" s="8">
        <f t="shared" si="10"/>
        <v>2.96764145139017e-5</v>
      </c>
      <c r="G317" s="29">
        <f>(1-recovery)*notional*C317*F317</f>
        <v>173.514776060349</v>
      </c>
      <c r="H317" s="8">
        <f t="shared" si="11"/>
        <v>3.32768063677382e-6</v>
      </c>
      <c r="I317" s="30"/>
    </row>
    <row r="318" spans="1:9">
      <c r="A318" s="10">
        <v>316</v>
      </c>
      <c r="B318" s="12">
        <f>'2_Discount_Factors'!B319</f>
        <v>0.865753424657534</v>
      </c>
      <c r="C318" s="12">
        <f>EXP(-r_free*(('2_Discount_Factors'!B318+'2_Discount_Factors'!B319)/2))</f>
        <v>0.974401827174367</v>
      </c>
      <c r="D318" s="12">
        <f>'3_Survival_Probs'!D318</f>
        <v>0.990281883484433</v>
      </c>
      <c r="E318" s="12">
        <f>'3_Survival_Probs'!D319</f>
        <v>0.990252207959225</v>
      </c>
      <c r="F318" s="14">
        <f t="shared" si="10"/>
        <v>2.96755252083836e-5</v>
      </c>
      <c r="G318" s="32">
        <f>(1-recovery)*notional*C318*F318</f>
        <v>173.495315912448</v>
      </c>
      <c r="H318" s="14">
        <f t="shared" si="11"/>
        <v>3.40652903389737e-6</v>
      </c>
      <c r="I318" s="33"/>
    </row>
    <row r="319" spans="1:9">
      <c r="A319" s="4">
        <v>317</v>
      </c>
      <c r="B319" s="6">
        <f>'2_Discount_Factors'!B320</f>
        <v>0.868493150684931</v>
      </c>
      <c r="C319" s="6">
        <f>EXP(-r_free*(('2_Discount_Factors'!B319+'2_Discount_Factors'!B320)/2))</f>
        <v>0.974321742644145</v>
      </c>
      <c r="D319" s="6">
        <f>'3_Survival_Probs'!D319</f>
        <v>0.990252207959225</v>
      </c>
      <c r="E319" s="6">
        <f>'3_Survival_Probs'!D320</f>
        <v>0.990222533323296</v>
      </c>
      <c r="F319" s="8">
        <f t="shared" si="10"/>
        <v>2.96746359293998e-5</v>
      </c>
      <c r="G319" s="29">
        <f>(1-recovery)*notional*C319*F319</f>
        <v>173.47585794638</v>
      </c>
      <c r="H319" s="8">
        <f t="shared" si="11"/>
        <v>3.4853597030323e-6</v>
      </c>
      <c r="I319" s="30"/>
    </row>
    <row r="320" spans="1:9">
      <c r="A320" s="10">
        <v>318</v>
      </c>
      <c r="B320" s="12">
        <f>'2_Discount_Factors'!B321</f>
        <v>0.871232876712329</v>
      </c>
      <c r="C320" s="12">
        <f>EXP(-r_free*(('2_Discount_Factors'!B320+'2_Discount_Factors'!B321)/2))</f>
        <v>0.974241664695943</v>
      </c>
      <c r="D320" s="12">
        <f>'3_Survival_Probs'!D320</f>
        <v>0.990222533323296</v>
      </c>
      <c r="E320" s="12">
        <f>'3_Survival_Probs'!D321</f>
        <v>0.990192859576619</v>
      </c>
      <c r="F320" s="14">
        <f t="shared" si="10"/>
        <v>2.96737466771724e-5</v>
      </c>
      <c r="G320" s="32">
        <f>(1-recovery)*notional*C320*F320</f>
        <v>173.456402163205</v>
      </c>
      <c r="H320" s="14">
        <f t="shared" si="11"/>
        <v>3.56417264718914e-6</v>
      </c>
      <c r="I320" s="33"/>
    </row>
    <row r="321" spans="1:9">
      <c r="A321" s="4">
        <v>319</v>
      </c>
      <c r="B321" s="6">
        <f>'2_Discount_Factors'!B322</f>
        <v>0.873972602739726</v>
      </c>
      <c r="C321" s="6">
        <f>EXP(-r_free*(('2_Discount_Factors'!B321+'2_Discount_Factors'!B322)/2))</f>
        <v>0.97416159332922</v>
      </c>
      <c r="D321" s="6">
        <f>'3_Survival_Probs'!D321</f>
        <v>0.990192859576619</v>
      </c>
      <c r="E321" s="6">
        <f>'3_Survival_Probs'!D322</f>
        <v>0.990163186719167</v>
      </c>
      <c r="F321" s="8">
        <f t="shared" si="10"/>
        <v>2.96728574515903e-5</v>
      </c>
      <c r="G321" s="29">
        <f>(1-recovery)*notional*C321*F321</f>
        <v>173.436948562032</v>
      </c>
      <c r="H321" s="8">
        <f t="shared" si="11"/>
        <v>3.64296786933949e-6</v>
      </c>
      <c r="I321" s="30"/>
    </row>
    <row r="322" spans="1:9">
      <c r="A322" s="10">
        <v>320</v>
      </c>
      <c r="B322" s="12">
        <f>'2_Discount_Factors'!B323</f>
        <v>0.876712328767123</v>
      </c>
      <c r="C322" s="12">
        <f>EXP(-r_free*(('2_Discount_Factors'!B322+'2_Discount_Factors'!B323)/2))</f>
        <v>0.974081528543435</v>
      </c>
      <c r="D322" s="12">
        <f>'3_Survival_Probs'!D322</f>
        <v>0.990163186719167</v>
      </c>
      <c r="E322" s="12">
        <f>'3_Survival_Probs'!D323</f>
        <v>0.990133514750914</v>
      </c>
      <c r="F322" s="14">
        <f t="shared" si="10"/>
        <v>2.96719682525426e-5</v>
      </c>
      <c r="G322" s="32">
        <f>(1-recovery)*notional*C322*F322</f>
        <v>173.417497141974</v>
      </c>
      <c r="H322" s="14">
        <f t="shared" si="11"/>
        <v>3.72174537245332e-6</v>
      </c>
      <c r="I322" s="33"/>
    </row>
    <row r="323" spans="1:9">
      <c r="A323" s="4">
        <v>321</v>
      </c>
      <c r="B323" s="6">
        <f>'2_Discount_Factors'!B324</f>
        <v>0.879452054794521</v>
      </c>
      <c r="C323" s="6">
        <f>EXP(-r_free*(('2_Discount_Factors'!B323+'2_Discount_Factors'!B324)/2))</f>
        <v>0.974001470338047</v>
      </c>
      <c r="D323" s="6">
        <f>'3_Survival_Probs'!D323</f>
        <v>0.990133514750914</v>
      </c>
      <c r="E323" s="6">
        <f>'3_Survival_Probs'!D324</f>
        <v>0.990103843671834</v>
      </c>
      <c r="F323" s="8">
        <f t="shared" ref="F323:F386" si="12">D323-E323</f>
        <v>2.96710790802512e-5</v>
      </c>
      <c r="G323" s="29">
        <f>(1-recovery)*notional*C323*F323</f>
        <v>173.398047904087</v>
      </c>
      <c r="H323" s="8">
        <f t="shared" si="11"/>
        <v>3.80050515954164e-6</v>
      </c>
      <c r="I323" s="30"/>
    </row>
    <row r="324" spans="1:9">
      <c r="A324" s="10">
        <v>322</v>
      </c>
      <c r="B324" s="12">
        <f>'2_Discount_Factors'!B325</f>
        <v>0.882191780821918</v>
      </c>
      <c r="C324" s="12">
        <f>EXP(-r_free*(('2_Discount_Factors'!B324+'2_Discount_Factors'!B325)/2))</f>
        <v>0.973921418712514</v>
      </c>
      <c r="D324" s="12">
        <f>'3_Survival_Probs'!D324</f>
        <v>0.990103843671834</v>
      </c>
      <c r="E324" s="12">
        <f>'3_Survival_Probs'!D325</f>
        <v>0.9900741734819</v>
      </c>
      <c r="F324" s="14">
        <f t="shared" si="12"/>
        <v>2.96701899346052e-5</v>
      </c>
      <c r="G324" s="32">
        <f>(1-recovery)*notional*C324*F324</f>
        <v>173.378600847483</v>
      </c>
      <c r="H324" s="14">
        <f t="shared" si="11"/>
        <v>3.87924723357382e-6</v>
      </c>
      <c r="I324" s="33"/>
    </row>
    <row r="325" spans="1:9">
      <c r="A325" s="4">
        <v>323</v>
      </c>
      <c r="B325" s="6">
        <f>'2_Discount_Factors'!B326</f>
        <v>0.884931506849315</v>
      </c>
      <c r="C325" s="6">
        <f>EXP(-r_free*(('2_Discount_Factors'!B325+'2_Discount_Factors'!B326)/2))</f>
        <v>0.973841373666297</v>
      </c>
      <c r="D325" s="6">
        <f>'3_Survival_Probs'!D325</f>
        <v>0.9900741734819</v>
      </c>
      <c r="E325" s="6">
        <f>'3_Survival_Probs'!D326</f>
        <v>0.990044504181084</v>
      </c>
      <c r="F325" s="8">
        <f t="shared" si="12"/>
        <v>2.96693008154936e-5</v>
      </c>
      <c r="G325" s="29">
        <f>(1-recovery)*notional*C325*F325</f>
        <v>173.359155971273</v>
      </c>
      <c r="H325" s="8">
        <f t="shared" si="11"/>
        <v>3.95797159751765e-6</v>
      </c>
      <c r="I325" s="30"/>
    </row>
    <row r="326" spans="1:9">
      <c r="A326" s="10">
        <v>324</v>
      </c>
      <c r="B326" s="12">
        <f>'2_Discount_Factors'!B327</f>
        <v>0.887671232876712</v>
      </c>
      <c r="C326" s="12">
        <f>EXP(-r_free*(('2_Discount_Factors'!B326+'2_Discount_Factors'!B327)/2))</f>
        <v>0.973761335198855</v>
      </c>
      <c r="D326" s="12">
        <f>'3_Survival_Probs'!D326</f>
        <v>0.990044504181084</v>
      </c>
      <c r="E326" s="12">
        <f>'3_Survival_Probs'!D327</f>
        <v>0.990014835769361</v>
      </c>
      <c r="F326" s="14">
        <f t="shared" si="12"/>
        <v>2.96684117231383e-5</v>
      </c>
      <c r="G326" s="32">
        <f>(1-recovery)*notional*C326*F326</f>
        <v>173.339713276515</v>
      </c>
      <c r="H326" s="14">
        <f t="shared" si="11"/>
        <v>4.0366782543846e-6</v>
      </c>
      <c r="I326" s="33"/>
    </row>
    <row r="327" spans="1:9">
      <c r="A327" s="4">
        <v>325</v>
      </c>
      <c r="B327" s="6">
        <f>'2_Discount_Factors'!B328</f>
        <v>0.89041095890411</v>
      </c>
      <c r="C327" s="6">
        <f>EXP(-r_free*(('2_Discount_Factors'!B327+'2_Discount_Factors'!B328)/2))</f>
        <v>0.973681303309646</v>
      </c>
      <c r="D327" s="6">
        <f>'3_Survival_Probs'!D327</f>
        <v>0.990014835769361</v>
      </c>
      <c r="E327" s="6">
        <f>'3_Survival_Probs'!D328</f>
        <v>0.989985168246703</v>
      </c>
      <c r="F327" s="8">
        <f t="shared" si="12"/>
        <v>2.96675226574283e-5</v>
      </c>
      <c r="G327" s="29">
        <f>(1-recovery)*notional*C327*F327</f>
        <v>173.32027276232</v>
      </c>
      <c r="H327" s="8">
        <f t="shared" si="11"/>
        <v>4.11536720714184e-6</v>
      </c>
      <c r="I327" s="30"/>
    </row>
    <row r="328" spans="1:9">
      <c r="A328" s="10">
        <v>326</v>
      </c>
      <c r="B328" s="12">
        <f>'2_Discount_Factors'!B329</f>
        <v>0.893150684931507</v>
      </c>
      <c r="C328" s="12">
        <f>EXP(-r_free*(('2_Discount_Factors'!B328+'2_Discount_Factors'!B329)/2))</f>
        <v>0.97360127799813</v>
      </c>
      <c r="D328" s="12">
        <f>'3_Survival_Probs'!D328</f>
        <v>0.989985168246703</v>
      </c>
      <c r="E328" s="12">
        <f>'3_Survival_Probs'!D329</f>
        <v>0.989955501613085</v>
      </c>
      <c r="F328" s="14">
        <f t="shared" si="12"/>
        <v>2.96666336183637e-5</v>
      </c>
      <c r="G328" s="32">
        <f>(1-recovery)*notional*C328*F328</f>
        <v>173.300834428447</v>
      </c>
      <c r="H328" s="14">
        <f t="shared" si="11"/>
        <v>4.19403845877065e-6</v>
      </c>
      <c r="I328" s="33"/>
    </row>
    <row r="329" spans="1:9">
      <c r="A329" s="4">
        <v>327</v>
      </c>
      <c r="B329" s="6">
        <f>'2_Discount_Factors'!B330</f>
        <v>0.895890410958904</v>
      </c>
      <c r="C329" s="6">
        <f>EXP(-r_free*(('2_Discount_Factors'!B329+'2_Discount_Factors'!B330)/2))</f>
        <v>0.973521259263767</v>
      </c>
      <c r="D329" s="6">
        <f>'3_Survival_Probs'!D329</f>
        <v>0.989955501613085</v>
      </c>
      <c r="E329" s="6">
        <f>'3_Survival_Probs'!D330</f>
        <v>0.989925835868479</v>
      </c>
      <c r="F329" s="8">
        <f t="shared" si="12"/>
        <v>2.96657446058335e-5</v>
      </c>
      <c r="G329" s="29">
        <f>(1-recovery)*notional*C329*F329</f>
        <v>173.28139827401</v>
      </c>
      <c r="H329" s="8">
        <f t="shared" si="11"/>
        <v>4.27269201223586e-6</v>
      </c>
      <c r="I329" s="30"/>
    </row>
    <row r="330" spans="1:9">
      <c r="A330" s="10">
        <v>328</v>
      </c>
      <c r="B330" s="12">
        <f>'2_Discount_Factors'!B331</f>
        <v>0.898630136986301</v>
      </c>
      <c r="C330" s="12">
        <f>EXP(-r_free*(('2_Discount_Factors'!B330+'2_Discount_Factors'!B331)/2))</f>
        <v>0.973441247106016</v>
      </c>
      <c r="D330" s="12">
        <f>'3_Survival_Probs'!D330</f>
        <v>0.989925835868479</v>
      </c>
      <c r="E330" s="12">
        <f>'3_Survival_Probs'!D331</f>
        <v>0.989896171012859</v>
      </c>
      <c r="F330" s="14">
        <f t="shared" si="12"/>
        <v>2.96648556200596e-5</v>
      </c>
      <c r="G330" s="32">
        <f>(1-recovery)*notional*C330*F330</f>
        <v>173.261964300064</v>
      </c>
      <c r="H330" s="14">
        <f t="shared" si="11"/>
        <v>4.35132787054956e-6</v>
      </c>
      <c r="I330" s="33"/>
    </row>
    <row r="331" spans="1:9">
      <c r="A331" s="4">
        <v>329</v>
      </c>
      <c r="B331" s="6">
        <f>'2_Discount_Factors'!B332</f>
        <v>0.901369863013699</v>
      </c>
      <c r="C331" s="6">
        <f>EXP(-r_free*(('2_Discount_Factors'!B331+'2_Discount_Factors'!B332)/2))</f>
        <v>0.973361241524337</v>
      </c>
      <c r="D331" s="6">
        <f>'3_Survival_Probs'!D331</f>
        <v>0.989896171012859</v>
      </c>
      <c r="E331" s="6">
        <f>'3_Survival_Probs'!D332</f>
        <v>0.989866507046198</v>
      </c>
      <c r="F331" s="8">
        <f t="shared" si="12"/>
        <v>2.96639666608201e-5</v>
      </c>
      <c r="G331" s="29">
        <f>(1-recovery)*notional*C331*F331</f>
        <v>173.242532505074</v>
      </c>
      <c r="H331" s="8">
        <f t="shared" si="11"/>
        <v>4.42994603665943e-6</v>
      </c>
      <c r="I331" s="30"/>
    </row>
    <row r="332" spans="1:9">
      <c r="A332" s="10">
        <v>330</v>
      </c>
      <c r="B332" s="12">
        <f>'2_Discount_Factors'!B333</f>
        <v>0.904109589041096</v>
      </c>
      <c r="C332" s="12">
        <f>EXP(-r_free*(('2_Discount_Factors'!B332+'2_Discount_Factors'!B333)/2))</f>
        <v>0.973281242518188</v>
      </c>
      <c r="D332" s="12">
        <f>'3_Survival_Probs'!D332</f>
        <v>0.989866507046198</v>
      </c>
      <c r="E332" s="12">
        <f>'3_Survival_Probs'!D333</f>
        <v>0.98983684396847</v>
      </c>
      <c r="F332" s="14">
        <f t="shared" si="12"/>
        <v>2.96630777283369e-5</v>
      </c>
      <c r="G332" s="32">
        <f>(1-recovery)*notional*C332*F332</f>
        <v>173.223102890096</v>
      </c>
      <c r="H332" s="14">
        <f t="shared" si="11"/>
        <v>4.50854651357784e-6</v>
      </c>
      <c r="I332" s="33"/>
    </row>
    <row r="333" spans="1:9">
      <c r="A333" s="4">
        <v>331</v>
      </c>
      <c r="B333" s="6">
        <f>'2_Discount_Factors'!B334</f>
        <v>0.906849315068493</v>
      </c>
      <c r="C333" s="6">
        <f>EXP(-r_free*(('2_Discount_Factors'!B333+'2_Discount_Factors'!B334)/2))</f>
        <v>0.97320125008703</v>
      </c>
      <c r="D333" s="6">
        <f>'3_Survival_Probs'!D333</f>
        <v>0.98983684396847</v>
      </c>
      <c r="E333" s="6">
        <f>'3_Survival_Probs'!D334</f>
        <v>0.989807181779648</v>
      </c>
      <c r="F333" s="8">
        <f t="shared" si="12"/>
        <v>2.9662188822388e-5</v>
      </c>
      <c r="G333" s="29">
        <f>(1-recovery)*notional*C333*F333</f>
        <v>173.203675453593</v>
      </c>
      <c r="H333" s="8">
        <f t="shared" si="11"/>
        <v>4.58712930425042e-6</v>
      </c>
      <c r="I333" s="30"/>
    </row>
    <row r="334" spans="1:9">
      <c r="A334" s="10">
        <v>332</v>
      </c>
      <c r="B334" s="12">
        <f>'2_Discount_Factors'!B335</f>
        <v>0.90958904109589</v>
      </c>
      <c r="C334" s="12">
        <f>EXP(-r_free*(('2_Discount_Factors'!B334+'2_Discount_Factors'!B335)/2))</f>
        <v>0.973121264230323</v>
      </c>
      <c r="D334" s="12">
        <f>'3_Survival_Probs'!D334</f>
        <v>0.989807181779648</v>
      </c>
      <c r="E334" s="12">
        <f>'3_Survival_Probs'!D335</f>
        <v>0.989777520479704</v>
      </c>
      <c r="F334" s="14">
        <f t="shared" si="12"/>
        <v>2.96612999431956e-5</v>
      </c>
      <c r="G334" s="32">
        <f>(1-recovery)*notional*C334*F334</f>
        <v>173.184250196624</v>
      </c>
      <c r="H334" s="14">
        <f t="shared" si="11"/>
        <v>4.66569441168986e-6</v>
      </c>
      <c r="I334" s="33"/>
    </row>
    <row r="335" spans="1:9">
      <c r="A335" s="4">
        <v>333</v>
      </c>
      <c r="B335" s="6">
        <f>'2_Discount_Factors'!B336</f>
        <v>0.912328767123288</v>
      </c>
      <c r="C335" s="6">
        <f>EXP(-r_free*(('2_Discount_Factors'!B335+'2_Discount_Factors'!B336)/2))</f>
        <v>0.973041284947525</v>
      </c>
      <c r="D335" s="6">
        <f>'3_Survival_Probs'!D335</f>
        <v>0.989777520479704</v>
      </c>
      <c r="E335" s="6">
        <f>'3_Survival_Probs'!D336</f>
        <v>0.989747860068614</v>
      </c>
      <c r="F335" s="8">
        <f t="shared" si="12"/>
        <v>2.96604110905374e-5</v>
      </c>
      <c r="G335" s="29">
        <f>(1-recovery)*notional*C335*F335</f>
        <v>173.16482711765</v>
      </c>
      <c r="H335" s="8">
        <f t="shared" si="11"/>
        <v>4.74424183883973e-6</v>
      </c>
      <c r="I335" s="30"/>
    </row>
    <row r="336" spans="1:9">
      <c r="A336" s="10">
        <v>334</v>
      </c>
      <c r="B336" s="12">
        <f>'2_Discount_Factors'!B337</f>
        <v>0.915068493150685</v>
      </c>
      <c r="C336" s="12">
        <f>EXP(-r_free*(('2_Discount_Factors'!B336+'2_Discount_Factors'!B337)/2))</f>
        <v>0.972961312238096</v>
      </c>
      <c r="D336" s="12">
        <f>'3_Survival_Probs'!D336</f>
        <v>0.989747860068614</v>
      </c>
      <c r="E336" s="12">
        <f>'3_Survival_Probs'!D337</f>
        <v>0.989718200546349</v>
      </c>
      <c r="F336" s="14">
        <f t="shared" si="12"/>
        <v>2.96595222645246e-5</v>
      </c>
      <c r="G336" s="32">
        <f>(1-recovery)*notional*C336*F336</f>
        <v>173.145406217081</v>
      </c>
      <c r="H336" s="14">
        <f t="shared" si="11"/>
        <v>4.82277158869496e-6</v>
      </c>
      <c r="I336" s="33"/>
    </row>
    <row r="337" spans="1:9">
      <c r="A337" s="4">
        <v>335</v>
      </c>
      <c r="B337" s="6">
        <f>'2_Discount_Factors'!B338</f>
        <v>0.917808219178082</v>
      </c>
      <c r="C337" s="6">
        <f>EXP(-r_free*(('2_Discount_Factors'!B337+'2_Discount_Factors'!B338)/2))</f>
        <v>0.972881346101497</v>
      </c>
      <c r="D337" s="6">
        <f>'3_Survival_Probs'!D337</f>
        <v>0.989718200546349</v>
      </c>
      <c r="E337" s="6">
        <f>'3_Survival_Probs'!D338</f>
        <v>0.989688541912884</v>
      </c>
      <c r="F337" s="8">
        <f t="shared" si="12"/>
        <v>2.96586334651572e-5</v>
      </c>
      <c r="G337" s="29">
        <f>(1-recovery)*notional*C337*F337</f>
        <v>173.125987494678</v>
      </c>
      <c r="H337" s="8">
        <f t="shared" si="11"/>
        <v>4.9012836642329e-6</v>
      </c>
      <c r="I337" s="30"/>
    </row>
    <row r="338" spans="1:9">
      <c r="A338" s="10">
        <v>336</v>
      </c>
      <c r="B338" s="12">
        <f>'2_Discount_Factors'!B339</f>
        <v>0.920547945205479</v>
      </c>
      <c r="C338" s="12">
        <f>EXP(-r_free*(('2_Discount_Factors'!B338+'2_Discount_Factors'!B339)/2))</f>
        <v>0.972801386537187</v>
      </c>
      <c r="D338" s="12">
        <f>'3_Survival_Probs'!D338</f>
        <v>0.989688541912884</v>
      </c>
      <c r="E338" s="12">
        <f>'3_Survival_Probs'!D339</f>
        <v>0.989658884168192</v>
      </c>
      <c r="F338" s="14">
        <f t="shared" si="12"/>
        <v>2.96577446924351e-5</v>
      </c>
      <c r="G338" s="32">
        <f>(1-recovery)*notional*C338*F338</f>
        <v>173.106570950201</v>
      </c>
      <c r="H338" s="14">
        <f t="shared" si="11"/>
        <v>4.97977806843043e-6</v>
      </c>
      <c r="I338" s="33"/>
    </row>
    <row r="339" spans="1:9">
      <c r="A339" s="4">
        <v>337</v>
      </c>
      <c r="B339" s="6">
        <f>'2_Discount_Factors'!B340</f>
        <v>0.923287671232877</v>
      </c>
      <c r="C339" s="6">
        <f>EXP(-r_free*(('2_Discount_Factors'!B339+'2_Discount_Factors'!B340)/2))</f>
        <v>0.972721433544626</v>
      </c>
      <c r="D339" s="6">
        <f>'3_Survival_Probs'!D339</f>
        <v>0.989658884168192</v>
      </c>
      <c r="E339" s="6">
        <f>'3_Survival_Probs'!D340</f>
        <v>0.989629227312245</v>
      </c>
      <c r="F339" s="8">
        <f t="shared" si="12"/>
        <v>2.96568559463584e-5</v>
      </c>
      <c r="G339" s="29">
        <f>(1-recovery)*notional*C339*F339</f>
        <v>173.087156583409</v>
      </c>
      <c r="H339" s="8">
        <f t="shared" si="11"/>
        <v>5.05825480426401e-6</v>
      </c>
      <c r="I339" s="30"/>
    </row>
    <row r="340" spans="1:9">
      <c r="A340" s="10">
        <v>338</v>
      </c>
      <c r="B340" s="12">
        <f>'2_Discount_Factors'!B341</f>
        <v>0.926027397260274</v>
      </c>
      <c r="C340" s="12">
        <f>EXP(-r_free*(('2_Discount_Factors'!B340+'2_Discount_Factors'!B341)/2))</f>
        <v>0.972641487123274</v>
      </c>
      <c r="D340" s="12">
        <f>'3_Survival_Probs'!D340</f>
        <v>0.989629227312245</v>
      </c>
      <c r="E340" s="12">
        <f>'3_Survival_Probs'!D341</f>
        <v>0.989599571345019</v>
      </c>
      <c r="F340" s="14">
        <f t="shared" si="12"/>
        <v>2.9655967226927e-5</v>
      </c>
      <c r="G340" s="32">
        <f>(1-recovery)*notional*C340*F340</f>
        <v>173.067744394064</v>
      </c>
      <c r="H340" s="14">
        <f t="shared" ref="H340:H367" si="13">C340*(B340-0.747945205479452)*F340</f>
        <v>5.13671387470966e-6</v>
      </c>
      <c r="I340" s="33"/>
    </row>
    <row r="341" spans="1:9">
      <c r="A341" s="4">
        <v>339</v>
      </c>
      <c r="B341" s="6">
        <f>'2_Discount_Factors'!B342</f>
        <v>0.928767123287671</v>
      </c>
      <c r="C341" s="6">
        <f>EXP(-r_free*(('2_Discount_Factors'!B341+'2_Discount_Factors'!B342)/2))</f>
        <v>0.97256154727259</v>
      </c>
      <c r="D341" s="6">
        <f>'3_Survival_Probs'!D341</f>
        <v>0.989599571345019</v>
      </c>
      <c r="E341" s="6">
        <f>'3_Survival_Probs'!D342</f>
        <v>0.989569916266484</v>
      </c>
      <c r="F341" s="8">
        <f t="shared" si="12"/>
        <v>2.96550785340299e-5</v>
      </c>
      <c r="G341" s="29">
        <f>(1-recovery)*notional*C341*F341</f>
        <v>173.048334381278</v>
      </c>
      <c r="H341" s="8">
        <f t="shared" si="13"/>
        <v>5.21515528272345e-6</v>
      </c>
      <c r="I341" s="30"/>
    </row>
    <row r="342" spans="1:9">
      <c r="A342" s="10">
        <v>340</v>
      </c>
      <c r="B342" s="12">
        <f>'2_Discount_Factors'!B343</f>
        <v>0.931506849315068</v>
      </c>
      <c r="C342" s="12">
        <f>EXP(-r_free*(('2_Discount_Factors'!B342+'2_Discount_Factors'!B343)/2))</f>
        <v>0.972481613992035</v>
      </c>
      <c r="D342" s="12">
        <f>'3_Survival_Probs'!D342</f>
        <v>0.989569916266484</v>
      </c>
      <c r="E342" s="12">
        <f>'3_Survival_Probs'!D343</f>
        <v>0.989540262076617</v>
      </c>
      <c r="F342" s="14">
        <f t="shared" si="12"/>
        <v>2.96541898678893e-5</v>
      </c>
      <c r="G342" s="32">
        <f>(1-recovery)*notional*C342*F342</f>
        <v>173.028926546107</v>
      </c>
      <c r="H342" s="14">
        <f t="shared" si="13"/>
        <v>5.29357903131926e-6</v>
      </c>
      <c r="I342" s="33"/>
    </row>
    <row r="343" spans="1:9">
      <c r="A343" s="4">
        <v>341</v>
      </c>
      <c r="B343" s="6">
        <f>'2_Discount_Factors'!B344</f>
        <v>0.934246575342466</v>
      </c>
      <c r="C343" s="6">
        <f>EXP(-r_free*(('2_Discount_Factors'!B343+'2_Discount_Factors'!B344)/2))</f>
        <v>0.972401687281069</v>
      </c>
      <c r="D343" s="6">
        <f>'3_Survival_Probs'!D343</f>
        <v>0.989540262076617</v>
      </c>
      <c r="E343" s="6">
        <f>'3_Survival_Probs'!D344</f>
        <v>0.989510608775388</v>
      </c>
      <c r="F343" s="8">
        <f t="shared" si="12"/>
        <v>2.96533012282829e-5</v>
      </c>
      <c r="G343" s="29">
        <f>(1-recovery)*notional*C343*F343</f>
        <v>173.009520887017</v>
      </c>
      <c r="H343" s="8">
        <f t="shared" si="13"/>
        <v>5.37198512343248e-6</v>
      </c>
      <c r="I343" s="30"/>
    </row>
    <row r="344" spans="1:9">
      <c r="A344" s="10">
        <v>342</v>
      </c>
      <c r="B344" s="12">
        <f>'2_Discount_Factors'!B345</f>
        <v>0.936986301369863</v>
      </c>
      <c r="C344" s="12">
        <f>EXP(-r_free*(('2_Discount_Factors'!B344+'2_Discount_Factors'!B345)/2))</f>
        <v>0.972321767139152</v>
      </c>
      <c r="D344" s="12">
        <f>'3_Survival_Probs'!D344</f>
        <v>0.989510608775388</v>
      </c>
      <c r="E344" s="12">
        <f>'3_Survival_Probs'!D345</f>
        <v>0.989480956362773</v>
      </c>
      <c r="F344" s="14">
        <f t="shared" si="12"/>
        <v>2.96524126154329e-5</v>
      </c>
      <c r="G344" s="32">
        <f>(1-recovery)*notional*C344*F344</f>
        <v>172.990117405062</v>
      </c>
      <c r="H344" s="14">
        <f t="shared" si="13"/>
        <v>5.45037356207731e-6</v>
      </c>
      <c r="I344" s="33"/>
    </row>
    <row r="345" spans="1:9">
      <c r="A345" s="4">
        <v>343</v>
      </c>
      <c r="B345" s="6">
        <f>'2_Discount_Factors'!B346</f>
        <v>0.93972602739726</v>
      </c>
      <c r="C345" s="6">
        <f>EXP(-r_free*(('2_Discount_Factors'!B345+'2_Discount_Factors'!B346)/2))</f>
        <v>0.972241853565743</v>
      </c>
      <c r="D345" s="6">
        <f>'3_Survival_Probs'!D345</f>
        <v>0.989480956362773</v>
      </c>
      <c r="E345" s="6">
        <f>'3_Survival_Probs'!D346</f>
        <v>0.989451304838744</v>
      </c>
      <c r="F345" s="8">
        <f t="shared" si="12"/>
        <v>2.96515240291173e-5</v>
      </c>
      <c r="G345" s="29">
        <f>(1-recovery)*notional*C345*F345</f>
        <v>172.970716098709</v>
      </c>
      <c r="H345" s="8">
        <f t="shared" si="13"/>
        <v>5.52874435018705e-6</v>
      </c>
      <c r="I345" s="30"/>
    </row>
    <row r="346" spans="1:9">
      <c r="A346" s="10">
        <v>344</v>
      </c>
      <c r="B346" s="12">
        <f>'2_Discount_Factors'!B347</f>
        <v>0.942465753424658</v>
      </c>
      <c r="C346" s="12">
        <f>EXP(-r_free*(('2_Discount_Factors'!B346+'2_Discount_Factors'!B347)/2))</f>
        <v>0.972161946560303</v>
      </c>
      <c r="D346" s="12">
        <f>'3_Survival_Probs'!D346</f>
        <v>0.989451304838744</v>
      </c>
      <c r="E346" s="12">
        <f>'3_Survival_Probs'!D347</f>
        <v>0.989421654203274</v>
      </c>
      <c r="F346" s="14">
        <f t="shared" si="12"/>
        <v>2.9650635469447e-5</v>
      </c>
      <c r="G346" s="32">
        <f>(1-recovery)*notional*C346*F346</f>
        <v>172.951316968366</v>
      </c>
      <c r="H346" s="14">
        <f t="shared" si="13"/>
        <v>5.60709749075523e-6</v>
      </c>
      <c r="I346" s="33"/>
    </row>
    <row r="347" spans="1:9">
      <c r="A347" s="4">
        <v>345</v>
      </c>
      <c r="B347" s="6">
        <f>'2_Discount_Factors'!B348</f>
        <v>0.945205479452055</v>
      </c>
      <c r="C347" s="6">
        <f>EXP(-r_free*(('2_Discount_Factors'!B347+'2_Discount_Factors'!B348)/2))</f>
        <v>0.972082046122293</v>
      </c>
      <c r="D347" s="6">
        <f>'3_Survival_Probs'!D347</f>
        <v>0.989421654203274</v>
      </c>
      <c r="E347" s="6">
        <f>'3_Survival_Probs'!D348</f>
        <v>0.989392004456338</v>
      </c>
      <c r="F347" s="8">
        <f t="shared" si="12"/>
        <v>2.96497469363111e-5</v>
      </c>
      <c r="G347" s="29">
        <f>(1-recovery)*notional*C347*F347</f>
        <v>172.931920013145</v>
      </c>
      <c r="H347" s="8">
        <f t="shared" si="13"/>
        <v>5.68543298673352e-6</v>
      </c>
      <c r="I347" s="30"/>
    </row>
    <row r="348" spans="1:9">
      <c r="A348" s="10">
        <v>346</v>
      </c>
      <c r="B348" s="12">
        <f>'2_Discount_Factors'!B349</f>
        <v>0.947945205479452</v>
      </c>
      <c r="C348" s="12">
        <f>EXP(-r_free*(('2_Discount_Factors'!B348+'2_Discount_Factors'!B349)/2))</f>
        <v>0.972002152251172</v>
      </c>
      <c r="D348" s="12">
        <f>'3_Survival_Probs'!D348</f>
        <v>0.989392004456338</v>
      </c>
      <c r="E348" s="12">
        <f>'3_Survival_Probs'!D349</f>
        <v>0.989362355597908</v>
      </c>
      <c r="F348" s="14">
        <f t="shared" si="12"/>
        <v>2.96488584299315e-5</v>
      </c>
      <c r="G348" s="32">
        <f>(1-recovery)*notional*C348*F348</f>
        <v>172.912525234102</v>
      </c>
      <c r="H348" s="14">
        <f t="shared" si="13"/>
        <v>5.76375084113674e-6</v>
      </c>
      <c r="I348" s="33"/>
    </row>
    <row r="349" spans="1:9">
      <c r="A349" s="4">
        <v>347</v>
      </c>
      <c r="B349" s="6">
        <f>'2_Discount_Factors'!B350</f>
        <v>0.950684931506849</v>
      </c>
      <c r="C349" s="6">
        <f>EXP(-r_free*(('2_Discount_Factors'!B349+'2_Discount_Factors'!B350)/2))</f>
        <v>0.971922264946401</v>
      </c>
      <c r="D349" s="6">
        <f>'3_Survival_Probs'!D349</f>
        <v>0.989362355597908</v>
      </c>
      <c r="E349" s="6">
        <f>'3_Survival_Probs'!D350</f>
        <v>0.989332707627958</v>
      </c>
      <c r="F349" s="8">
        <f t="shared" si="12"/>
        <v>2.96479699501973e-5</v>
      </c>
      <c r="G349" s="29">
        <f>(1-recovery)*notional*C349*F349</f>
        <v>172.893132630351</v>
      </c>
      <c r="H349" s="8">
        <f t="shared" si="13"/>
        <v>5.84205105691598e-6</v>
      </c>
      <c r="I349" s="30"/>
    </row>
    <row r="350" spans="1:9">
      <c r="A350" s="10">
        <v>348</v>
      </c>
      <c r="B350" s="12">
        <f>'2_Discount_Factors'!B351</f>
        <v>0.953424657534247</v>
      </c>
      <c r="C350" s="12">
        <f>EXP(-r_free*(('2_Discount_Factors'!B350+'2_Discount_Factors'!B351)/2))</f>
        <v>0.971842384207439</v>
      </c>
      <c r="D350" s="12">
        <f>'3_Survival_Probs'!D350</f>
        <v>0.989332707627958</v>
      </c>
      <c r="E350" s="12">
        <f>'3_Survival_Probs'!D351</f>
        <v>0.989303060546461</v>
      </c>
      <c r="F350" s="14">
        <f t="shared" si="12"/>
        <v>2.96470814969974e-5</v>
      </c>
      <c r="G350" s="32">
        <f>(1-recovery)*notional*C350*F350</f>
        <v>172.873742201005</v>
      </c>
      <c r="H350" s="14">
        <f t="shared" si="13"/>
        <v>5.92033363702072e-6</v>
      </c>
      <c r="I350" s="33"/>
    </row>
    <row r="351" spans="1:9">
      <c r="A351" s="4">
        <v>349</v>
      </c>
      <c r="B351" s="6">
        <f>'2_Discount_Factors'!B352</f>
        <v>0.956164383561644</v>
      </c>
      <c r="C351" s="6">
        <f>EXP(-r_free*(('2_Discount_Factors'!B351+'2_Discount_Factors'!B352)/2))</f>
        <v>0.971762510033748</v>
      </c>
      <c r="D351" s="6">
        <f>'3_Survival_Probs'!D351</f>
        <v>0.989303060546461</v>
      </c>
      <c r="E351" s="6">
        <f>'3_Survival_Probs'!D352</f>
        <v>0.98927341435339</v>
      </c>
      <c r="F351" s="8">
        <f t="shared" si="12"/>
        <v>2.96461930704428e-5</v>
      </c>
      <c r="G351" s="29">
        <f>(1-recovery)*notional*C351*F351</f>
        <v>172.854353946472</v>
      </c>
      <c r="H351" s="8">
        <f t="shared" si="13"/>
        <v>5.99859858444377e-6</v>
      </c>
      <c r="I351" s="30"/>
    </row>
    <row r="352" spans="1:9">
      <c r="A352" s="10">
        <v>350</v>
      </c>
      <c r="B352" s="12">
        <f>'2_Discount_Factors'!B353</f>
        <v>0.958904109589041</v>
      </c>
      <c r="C352" s="12">
        <f>EXP(-r_free*(('2_Discount_Factors'!B352+'2_Discount_Factors'!B353)/2))</f>
        <v>0.971682642424788</v>
      </c>
      <c r="D352" s="12">
        <f>'3_Survival_Probs'!D352</f>
        <v>0.98927341435339</v>
      </c>
      <c r="E352" s="12">
        <f>'3_Survival_Probs'!D353</f>
        <v>0.98924376904872</v>
      </c>
      <c r="F352" s="14">
        <f t="shared" si="12"/>
        <v>2.96453046705336e-5</v>
      </c>
      <c r="G352" s="32">
        <f>(1-recovery)*notional*C352*F352</f>
        <v>172.834967866512</v>
      </c>
      <c r="H352" s="14">
        <f t="shared" si="13"/>
        <v>6.0768459021559e-6</v>
      </c>
      <c r="I352" s="33"/>
    </row>
    <row r="353" spans="1:9">
      <c r="A353" s="4">
        <v>351</v>
      </c>
      <c r="B353" s="6">
        <f>'2_Discount_Factors'!B354</f>
        <v>0.961643835616438</v>
      </c>
      <c r="C353" s="6">
        <f>EXP(-r_free*(('2_Discount_Factors'!B353+'2_Discount_Factors'!B354)/2))</f>
        <v>0.971602781380019</v>
      </c>
      <c r="D353" s="6">
        <f>'3_Survival_Probs'!D353</f>
        <v>0.98924376904872</v>
      </c>
      <c r="E353" s="6">
        <f>'3_Survival_Probs'!D354</f>
        <v>0.989214124632423</v>
      </c>
      <c r="F353" s="8">
        <f t="shared" si="12"/>
        <v>2.96444162971587e-5</v>
      </c>
      <c r="G353" s="29">
        <f>(1-recovery)*notional*C353*F353</f>
        <v>172.81558396024</v>
      </c>
      <c r="H353" s="8">
        <f t="shared" si="13"/>
        <v>6.15507559310443e-6</v>
      </c>
      <c r="I353" s="30"/>
    </row>
    <row r="354" spans="1:9">
      <c r="A354" s="10">
        <v>352</v>
      </c>
      <c r="B354" s="12">
        <f>'2_Discount_Factors'!B355</f>
        <v>0.964383561643836</v>
      </c>
      <c r="C354" s="12">
        <f>EXP(-r_free*(('2_Discount_Factors'!B354+'2_Discount_Factors'!B355)/2))</f>
        <v>0.971522926898902</v>
      </c>
      <c r="D354" s="12">
        <f>'3_Survival_Probs'!D354</f>
        <v>0.989214124632423</v>
      </c>
      <c r="E354" s="12">
        <f>'3_Survival_Probs'!D355</f>
        <v>0.989184481104472</v>
      </c>
      <c r="F354" s="14">
        <f t="shared" si="12"/>
        <v>2.96435279505403e-5</v>
      </c>
      <c r="G354" s="32">
        <f>(1-recovery)*notional*C354*F354</f>
        <v>172.79620222871</v>
      </c>
      <c r="H354" s="14">
        <f t="shared" si="13"/>
        <v>6.23328766030506e-6</v>
      </c>
      <c r="I354" s="33"/>
    </row>
    <row r="355" spans="1:9">
      <c r="A355" s="4">
        <v>353</v>
      </c>
      <c r="B355" s="6">
        <f>'2_Discount_Factors'!B356</f>
        <v>0.967123287671233</v>
      </c>
      <c r="C355" s="6">
        <f>EXP(-r_free*(('2_Discount_Factors'!B355+'2_Discount_Factors'!B356)/2))</f>
        <v>0.971443078980897</v>
      </c>
      <c r="D355" s="6">
        <f>'3_Survival_Probs'!D355</f>
        <v>0.989184481104472</v>
      </c>
      <c r="E355" s="6">
        <f>'3_Survival_Probs'!D356</f>
        <v>0.989154838464842</v>
      </c>
      <c r="F355" s="8">
        <f t="shared" si="12"/>
        <v>2.96426396304561e-5</v>
      </c>
      <c r="G355" s="29">
        <f>(1-recovery)*notional*C355*F355</f>
        <v>172.776822670389</v>
      </c>
      <c r="H355" s="8">
        <f t="shared" si="13"/>
        <v>6.31148210668087e-6</v>
      </c>
      <c r="I355" s="30"/>
    </row>
    <row r="356" spans="1:9">
      <c r="A356" s="10">
        <v>354</v>
      </c>
      <c r="B356" s="12">
        <f>'2_Discount_Factors'!B357</f>
        <v>0.96986301369863</v>
      </c>
      <c r="C356" s="12">
        <f>EXP(-r_free*(('2_Discount_Factors'!B356+'2_Discount_Factors'!B357)/2))</f>
        <v>0.971363237625465</v>
      </c>
      <c r="D356" s="12">
        <f>'3_Survival_Probs'!D356</f>
        <v>0.989154838464842</v>
      </c>
      <c r="E356" s="12">
        <f>'3_Survival_Probs'!D357</f>
        <v>0.989125196713505</v>
      </c>
      <c r="F356" s="14">
        <f t="shared" si="12"/>
        <v>2.96417513370173e-5</v>
      </c>
      <c r="G356" s="32">
        <f>(1-recovery)*notional*C356*F356</f>
        <v>172.757445285684</v>
      </c>
      <c r="H356" s="14">
        <f t="shared" si="13"/>
        <v>6.38965893522395e-6</v>
      </c>
      <c r="I356" s="33"/>
    </row>
    <row r="357" spans="1:9">
      <c r="A357" s="4">
        <v>355</v>
      </c>
      <c r="B357" s="6">
        <f>'2_Discount_Factors'!B358</f>
        <v>0.972602739726027</v>
      </c>
      <c r="C357" s="6">
        <f>EXP(-r_free*(('2_Discount_Factors'!B357+'2_Discount_Factors'!B358)/2))</f>
        <v>0.971283402832066</v>
      </c>
      <c r="D357" s="6">
        <f>'3_Survival_Probs'!D357</f>
        <v>0.989125196713505</v>
      </c>
      <c r="E357" s="6">
        <f>'3_Survival_Probs'!D358</f>
        <v>0.989095555850435</v>
      </c>
      <c r="F357" s="8">
        <f t="shared" si="12"/>
        <v>2.96408630702238e-5</v>
      </c>
      <c r="G357" s="29">
        <f>(1-recovery)*notional*C357*F357</f>
        <v>172.738070074358</v>
      </c>
      <c r="H357" s="8">
        <f t="shared" si="13"/>
        <v>6.46781814890291e-6</v>
      </c>
      <c r="I357" s="30"/>
    </row>
    <row r="358" spans="1:9">
      <c r="A358" s="10">
        <v>356</v>
      </c>
      <c r="B358" s="12">
        <f>'2_Discount_Factors'!B359</f>
        <v>0.975342465753425</v>
      </c>
      <c r="C358" s="12">
        <f>EXP(-r_free*(('2_Discount_Factors'!B358+'2_Discount_Factors'!B359)/2))</f>
        <v>0.971203574600162</v>
      </c>
      <c r="D358" s="12">
        <f>'3_Survival_Probs'!D358</f>
        <v>0.989095555850435</v>
      </c>
      <c r="E358" s="12">
        <f>'3_Survival_Probs'!D359</f>
        <v>0.989065915875605</v>
      </c>
      <c r="F358" s="14">
        <f t="shared" si="12"/>
        <v>2.96399748299647e-5</v>
      </c>
      <c r="G358" s="32">
        <f>(1-recovery)*notional*C358*F358</f>
        <v>172.718697035523</v>
      </c>
      <c r="H358" s="14">
        <f t="shared" si="13"/>
        <v>6.54595975066139e-6</v>
      </c>
      <c r="I358" s="33"/>
    </row>
    <row r="359" spans="1:9">
      <c r="A359" s="4">
        <v>357</v>
      </c>
      <c r="B359" s="6">
        <f>'2_Discount_Factors'!B360</f>
        <v>0.978082191780822</v>
      </c>
      <c r="C359" s="6">
        <f>EXP(-r_free*(('2_Discount_Factors'!B359+'2_Discount_Factors'!B360)/2))</f>
        <v>0.971123752929213</v>
      </c>
      <c r="D359" s="6">
        <f>'3_Survival_Probs'!D359</f>
        <v>0.989065915875605</v>
      </c>
      <c r="E359" s="6">
        <f>'3_Survival_Probs'!D360</f>
        <v>0.989036276788988</v>
      </c>
      <c r="F359" s="8">
        <f t="shared" si="12"/>
        <v>2.9639086616462e-5</v>
      </c>
      <c r="G359" s="29">
        <f>(1-recovery)*notional*C359*F359</f>
        <v>172.699326170235</v>
      </c>
      <c r="H359" s="8">
        <f t="shared" si="13"/>
        <v>6.62408374351588e-6</v>
      </c>
      <c r="I359" s="30"/>
    </row>
    <row r="360" spans="1:9">
      <c r="A360" s="10">
        <v>358</v>
      </c>
      <c r="B360" s="12">
        <f>'2_Discount_Factors'!B361</f>
        <v>0.980821917808219</v>
      </c>
      <c r="C360" s="12">
        <f>EXP(-r_free*(('2_Discount_Factors'!B360+'2_Discount_Factors'!B361)/2))</f>
        <v>0.971043937818679</v>
      </c>
      <c r="D360" s="12">
        <f>'3_Survival_Probs'!D360</f>
        <v>0.989036276788988</v>
      </c>
      <c r="E360" s="12">
        <f>'3_Survival_Probs'!D361</f>
        <v>0.989006638590559</v>
      </c>
      <c r="F360" s="14">
        <f t="shared" si="12"/>
        <v>2.96381984294936e-5</v>
      </c>
      <c r="G360" s="32">
        <f>(1-recovery)*notional*C360*F360</f>
        <v>172.679957476961</v>
      </c>
      <c r="H360" s="14">
        <f t="shared" si="13"/>
        <v>6.70219013038433e-6</v>
      </c>
      <c r="I360" s="33"/>
    </row>
    <row r="361" spans="1:9">
      <c r="A361" s="4">
        <v>359</v>
      </c>
      <c r="B361" s="6">
        <f>'2_Discount_Factors'!B362</f>
        <v>0.983561643835616</v>
      </c>
      <c r="C361" s="6">
        <f>EXP(-r_free*(('2_Discount_Factors'!B361+'2_Discount_Factors'!B362)/2))</f>
        <v>0.970964129268022</v>
      </c>
      <c r="D361" s="6">
        <f>'3_Survival_Probs'!D361</f>
        <v>0.989006638590559</v>
      </c>
      <c r="E361" s="6">
        <f>'3_Survival_Probs'!D362</f>
        <v>0.98897700128029</v>
      </c>
      <c r="F361" s="8">
        <f t="shared" si="12"/>
        <v>2.96373102690595e-5</v>
      </c>
      <c r="G361" s="29">
        <f>(1-recovery)*notional*C361*F361</f>
        <v>172.660590955461</v>
      </c>
      <c r="H361" s="8">
        <f t="shared" si="13"/>
        <v>6.78027891423272e-6</v>
      </c>
      <c r="I361" s="30"/>
    </row>
    <row r="362" spans="1:9">
      <c r="A362" s="10">
        <v>360</v>
      </c>
      <c r="B362" s="12">
        <f>'2_Discount_Factors'!B363</f>
        <v>0.986301369863014</v>
      </c>
      <c r="C362" s="12">
        <f>EXP(-r_free*(('2_Discount_Factors'!B362+'2_Discount_Factors'!B363)/2))</f>
        <v>0.970884327276702</v>
      </c>
      <c r="D362" s="12">
        <f>'3_Survival_Probs'!D362</f>
        <v>0.98897700128029</v>
      </c>
      <c r="E362" s="12">
        <f>'3_Survival_Probs'!D363</f>
        <v>0.988947364858154</v>
      </c>
      <c r="F362" s="14">
        <f t="shared" si="12"/>
        <v>2.96364221353818e-5</v>
      </c>
      <c r="G362" s="32">
        <f>(1-recovery)*notional*C362*F362</f>
        <v>172.641226606791</v>
      </c>
      <c r="H362" s="14">
        <f t="shared" si="13"/>
        <v>6.85835009807799e-6</v>
      </c>
      <c r="I362" s="33"/>
    </row>
    <row r="363" spans="1:9">
      <c r="A363" s="4">
        <v>361</v>
      </c>
      <c r="B363" s="6">
        <f>'2_Discount_Factors'!B364</f>
        <v>0.989041095890411</v>
      </c>
      <c r="C363" s="6">
        <f>EXP(-r_free*(('2_Discount_Factors'!B363+'2_Discount_Factors'!B364)/2))</f>
        <v>0.97080453184418</v>
      </c>
      <c r="D363" s="6">
        <f>'3_Survival_Probs'!D363</f>
        <v>0.988947364858154</v>
      </c>
      <c r="E363" s="6">
        <f>'3_Survival_Probs'!D364</f>
        <v>0.988917729324126</v>
      </c>
      <c r="F363" s="8">
        <f t="shared" si="12"/>
        <v>2.96355340282384e-5</v>
      </c>
      <c r="G363" s="29">
        <f>(1-recovery)*notional*C363*F363</f>
        <v>172.621864429417</v>
      </c>
      <c r="H363" s="8">
        <f t="shared" si="13"/>
        <v>6.93640368483504e-6</v>
      </c>
      <c r="I363" s="30"/>
    </row>
    <row r="364" spans="1:9">
      <c r="A364" s="10">
        <v>362</v>
      </c>
      <c r="B364" s="12">
        <f>'2_Discount_Factors'!B365</f>
        <v>0.991780821917808</v>
      </c>
      <c r="C364" s="12">
        <f>EXP(-r_free*(('2_Discount_Factors'!B364+'2_Discount_Factors'!B365)/2))</f>
        <v>0.970724742969918</v>
      </c>
      <c r="D364" s="12">
        <f>'3_Survival_Probs'!D364</f>
        <v>0.988917729324126</v>
      </c>
      <c r="E364" s="12">
        <f>'3_Survival_Probs'!D365</f>
        <v>0.988888094678178</v>
      </c>
      <c r="F364" s="14">
        <f t="shared" si="12"/>
        <v>2.96346459477403e-5</v>
      </c>
      <c r="G364" s="32">
        <f>(1-recovery)*notional*C364*F364</f>
        <v>172.602504423749</v>
      </c>
      <c r="H364" s="14">
        <f t="shared" si="13"/>
        <v>7.01443967749481e-6</v>
      </c>
      <c r="I364" s="33"/>
    </row>
    <row r="365" spans="1:9">
      <c r="A365" s="4">
        <v>363</v>
      </c>
      <c r="B365" s="6">
        <f>'2_Discount_Factors'!B366</f>
        <v>0.994520547945206</v>
      </c>
      <c r="C365" s="6">
        <f>EXP(-r_free*(('2_Discount_Factors'!B365+'2_Discount_Factors'!B366)/2))</f>
        <v>0.970644960653375</v>
      </c>
      <c r="D365" s="6">
        <f>'3_Survival_Probs'!D365</f>
        <v>0.988888094678178</v>
      </c>
      <c r="E365" s="6">
        <f>'3_Survival_Probs'!D366</f>
        <v>0.988858460920284</v>
      </c>
      <c r="F365" s="8">
        <f t="shared" si="12"/>
        <v>2.96337578938877e-5</v>
      </c>
      <c r="G365" s="29">
        <f>(1-recovery)*notional*C365*F365</f>
        <v>172.583146589545</v>
      </c>
      <c r="H365" s="8">
        <f t="shared" si="13"/>
        <v>7.09245807902242e-6</v>
      </c>
      <c r="I365" s="30"/>
    </row>
    <row r="366" spans="1:9">
      <c r="A366" s="10">
        <v>364</v>
      </c>
      <c r="B366" s="12">
        <f>'2_Discount_Factors'!B367</f>
        <v>0.997260273972603</v>
      </c>
      <c r="C366" s="12">
        <f>EXP(-r_free*(('2_Discount_Factors'!B366+'2_Discount_Factors'!B367)/2))</f>
        <v>0.970565184894014</v>
      </c>
      <c r="D366" s="12">
        <f>'3_Survival_Probs'!D366</f>
        <v>0.988858460920284</v>
      </c>
      <c r="E366" s="12">
        <f>'3_Survival_Probs'!D367</f>
        <v>0.988828828050418</v>
      </c>
      <c r="F366" s="14">
        <f t="shared" si="12"/>
        <v>2.96328698665693e-5</v>
      </c>
      <c r="G366" s="32">
        <f>(1-recovery)*notional*C366*F366</f>
        <v>172.563790925923</v>
      </c>
      <c r="H366" s="14">
        <f t="shared" si="13"/>
        <v>7.17045889235569e-6</v>
      </c>
      <c r="I366" s="33"/>
    </row>
    <row r="367" spans="1:9">
      <c r="A367" s="34">
        <v>365</v>
      </c>
      <c r="B367" s="35">
        <f>'2_Discount_Factors'!B368</f>
        <v>1</v>
      </c>
      <c r="C367" s="35">
        <f>EXP(-r_free*(('2_Discount_Factors'!B367+'2_Discount_Factors'!B368)/2))</f>
        <v>0.970485415691295</v>
      </c>
      <c r="D367" s="35">
        <f>'3_Survival_Probs'!D367</f>
        <v>0.988828828050418</v>
      </c>
      <c r="E367" s="35">
        <f>'3_Survival_Probs'!D368</f>
        <v>0.988799196068552</v>
      </c>
      <c r="F367" s="36">
        <f t="shared" si="12"/>
        <v>2.96319818658963e-5</v>
      </c>
      <c r="G367" s="37">
        <f>(1-recovery)*notional*C367*F367</f>
        <v>172.544437433288</v>
      </c>
      <c r="H367" s="36">
        <f t="shared" si="13"/>
        <v>7.24844212048516e-6</v>
      </c>
      <c r="I367" s="38" t="s">
        <v>71</v>
      </c>
    </row>
    <row r="368" spans="1:9">
      <c r="A368" s="10">
        <v>366</v>
      </c>
      <c r="B368" s="12">
        <f>'2_Discount_Factors'!B369</f>
        <v>1.0027397260274</v>
      </c>
      <c r="C368" s="12">
        <f>EXP(-r_free*(('2_Discount_Factors'!B368+'2_Discount_Factors'!B369)/2))</f>
        <v>0.97040565304468</v>
      </c>
      <c r="D368" s="12">
        <f>'3_Survival_Probs'!D368</f>
        <v>0.988799196068552</v>
      </c>
      <c r="E368" s="12">
        <f>'3_Survival_Probs'!D369</f>
        <v>0.988741997042815</v>
      </c>
      <c r="F368" s="14">
        <f t="shared" si="12"/>
        <v>5.71990257367538e-5</v>
      </c>
      <c r="G368" s="32">
        <f>(1-recovery)*notional*C368*F368</f>
        <v>333.037547541564</v>
      </c>
      <c r="H368" s="14">
        <f t="shared" ref="H368:H431" si="14">C368*(B368-1)*F368</f>
        <v>1.52071939516702e-7</v>
      </c>
      <c r="I368" s="33"/>
    </row>
    <row r="369" spans="1:9">
      <c r="A369" s="4">
        <v>367</v>
      </c>
      <c r="B369" s="6">
        <f>'2_Discount_Factors'!B370</f>
        <v>1.00547945205479</v>
      </c>
      <c r="C369" s="6">
        <f>EXP(-r_free*(('2_Discount_Factors'!B369+'2_Discount_Factors'!B370)/2))</f>
        <v>0.970325896953629</v>
      </c>
      <c r="D369" s="6">
        <f>'3_Survival_Probs'!D369</f>
        <v>0.988741997042815</v>
      </c>
      <c r="E369" s="6">
        <f>'3_Survival_Probs'!D370</f>
        <v>0.988684801325868</v>
      </c>
      <c r="F369" s="8">
        <f t="shared" si="12"/>
        <v>5.71957169470672e-5</v>
      </c>
      <c r="G369" s="29">
        <f>(1-recovery)*notional*C369*F369</f>
        <v>332.990912091413</v>
      </c>
      <c r="H369" s="8">
        <f t="shared" si="14"/>
        <v>3.04101289581198e-7</v>
      </c>
      <c r="I369" s="30"/>
    </row>
    <row r="370" spans="1:9">
      <c r="A370" s="10">
        <v>368</v>
      </c>
      <c r="B370" s="12">
        <f>'2_Discount_Factors'!B371</f>
        <v>1.00821917808219</v>
      </c>
      <c r="C370" s="12">
        <f>EXP(-r_free*(('2_Discount_Factors'!B370+'2_Discount_Factors'!B371)/2))</f>
        <v>0.970246147417604</v>
      </c>
      <c r="D370" s="12">
        <f>'3_Survival_Probs'!D370</f>
        <v>0.988684801325868</v>
      </c>
      <c r="E370" s="12">
        <f>'3_Survival_Probs'!D371</f>
        <v>0.988627608917519</v>
      </c>
      <c r="F370" s="14">
        <f t="shared" si="12"/>
        <v>5.71924083487829e-5</v>
      </c>
      <c r="G370" s="32">
        <f>(1-recovery)*notional*C370*F370</f>
        <v>332.944283171646</v>
      </c>
      <c r="H370" s="14">
        <f t="shared" si="14"/>
        <v>4.56088059139245e-7</v>
      </c>
      <c r="I370" s="33"/>
    </row>
    <row r="371" spans="1:9">
      <c r="A371" s="4">
        <v>369</v>
      </c>
      <c r="B371" s="6">
        <f>'2_Discount_Factors'!B372</f>
        <v>1.01095890410959</v>
      </c>
      <c r="C371" s="6">
        <f>EXP(-r_free*(('2_Discount_Factors'!B371+'2_Discount_Factors'!B372)/2))</f>
        <v>0.970166404436065</v>
      </c>
      <c r="D371" s="6">
        <f>'3_Survival_Probs'!D371</f>
        <v>0.988627608917519</v>
      </c>
      <c r="E371" s="6">
        <f>'3_Survival_Probs'!D372</f>
        <v>0.988570419817577</v>
      </c>
      <c r="F371" s="8">
        <f t="shared" si="12"/>
        <v>5.71890999420122e-5</v>
      </c>
      <c r="G371" s="29">
        <f>(1-recovery)*notional*C371*F371</f>
        <v>332.89766078206</v>
      </c>
      <c r="H371" s="8">
        <f t="shared" si="14"/>
        <v>6.08032257136181e-7</v>
      </c>
      <c r="I371" s="30"/>
    </row>
    <row r="372" spans="1:9">
      <c r="A372" s="10">
        <v>370</v>
      </c>
      <c r="B372" s="12">
        <f>'2_Discount_Factors'!B373</f>
        <v>1.01369863013699</v>
      </c>
      <c r="C372" s="12">
        <f>EXP(-r_free*(('2_Discount_Factors'!B372+'2_Discount_Factors'!B373)/2))</f>
        <v>0.970086668008476</v>
      </c>
      <c r="D372" s="12">
        <f>'3_Survival_Probs'!D372</f>
        <v>0.988570419817577</v>
      </c>
      <c r="E372" s="12">
        <f>'3_Survival_Probs'!D373</f>
        <v>0.988513234025851</v>
      </c>
      <c r="F372" s="14">
        <f t="shared" si="12"/>
        <v>5.71857917265328e-5</v>
      </c>
      <c r="G372" s="32">
        <f>(1-recovery)*notional*C372*F372</f>
        <v>332.851044920513</v>
      </c>
      <c r="H372" s="14">
        <f t="shared" si="14"/>
        <v>7.5993389251259e-7</v>
      </c>
      <c r="I372" s="33"/>
    </row>
    <row r="373" spans="1:9">
      <c r="A373" s="4">
        <v>371</v>
      </c>
      <c r="B373" s="6">
        <f>'2_Discount_Factors'!B374</f>
        <v>1.01643835616438</v>
      </c>
      <c r="C373" s="6">
        <f>EXP(-r_free*(('2_Discount_Factors'!B373+'2_Discount_Factors'!B374)/2))</f>
        <v>0.970006938134296</v>
      </c>
      <c r="D373" s="6">
        <f>'3_Survival_Probs'!D373</f>
        <v>0.988513234025851</v>
      </c>
      <c r="E373" s="6">
        <f>'3_Survival_Probs'!D374</f>
        <v>0.988456051542148</v>
      </c>
      <c r="F373" s="8">
        <f t="shared" si="12"/>
        <v>5.71824837023449e-5</v>
      </c>
      <c r="G373" s="29">
        <f>(1-recovery)*notional*C373*F373</f>
        <v>332.804435586155</v>
      </c>
      <c r="H373" s="8">
        <f t="shared" si="14"/>
        <v>9.1179297420864e-7</v>
      </c>
      <c r="I373" s="30"/>
    </row>
    <row r="374" spans="1:9">
      <c r="A374" s="10">
        <v>372</v>
      </c>
      <c r="B374" s="12">
        <f>'2_Discount_Factors'!B375</f>
        <v>1.01917808219178</v>
      </c>
      <c r="C374" s="12">
        <f>EXP(-r_free*(('2_Discount_Factors'!B374+'2_Discount_Factors'!B375)/2))</f>
        <v>0.969927214812986</v>
      </c>
      <c r="D374" s="12">
        <f>'3_Survival_Probs'!D374</f>
        <v>0.988456051542148</v>
      </c>
      <c r="E374" s="12">
        <f>'3_Survival_Probs'!D375</f>
        <v>0.988398872366279</v>
      </c>
      <c r="F374" s="14">
        <f t="shared" si="12"/>
        <v>5.71791758696705e-5</v>
      </c>
      <c r="G374" s="32">
        <f>(1-recovery)*notional*C374*F374</f>
        <v>332.757832779428</v>
      </c>
      <c r="H374" s="14">
        <f t="shared" si="14"/>
        <v>1.06360951116712e-6</v>
      </c>
      <c r="I374" s="33"/>
    </row>
    <row r="375" spans="1:9">
      <c r="A375" s="4">
        <v>373</v>
      </c>
      <c r="B375" s="6">
        <f>'2_Discount_Factors'!B376</f>
        <v>1.02191780821918</v>
      </c>
      <c r="C375" s="6">
        <f>EXP(-r_free*(('2_Discount_Factors'!B375+'2_Discount_Factors'!B376)/2))</f>
        <v>0.96984749804401</v>
      </c>
      <c r="D375" s="6">
        <f>'3_Survival_Probs'!D375</f>
        <v>0.988398872366279</v>
      </c>
      <c r="E375" s="6">
        <f>'3_Survival_Probs'!D376</f>
        <v>0.98834169649805</v>
      </c>
      <c r="F375" s="8">
        <f t="shared" si="12"/>
        <v>5.71758682282875e-5</v>
      </c>
      <c r="G375" s="29">
        <f>(1-recovery)*notional*C375*F375</f>
        <v>332.711236498192</v>
      </c>
      <c r="H375" s="8">
        <f t="shared" si="14"/>
        <v>1.21538351232216e-6</v>
      </c>
      <c r="I375" s="30"/>
    </row>
    <row r="376" spans="1:9">
      <c r="A376" s="10">
        <v>374</v>
      </c>
      <c r="B376" s="12">
        <f>'2_Discount_Factors'!B377</f>
        <v>1.02465753424658</v>
      </c>
      <c r="C376" s="12">
        <f>EXP(-r_free*(('2_Discount_Factors'!B376+'2_Discount_Factors'!B377)/2))</f>
        <v>0.969767787826827</v>
      </c>
      <c r="D376" s="12">
        <f>'3_Survival_Probs'!D376</f>
        <v>0.98834169649805</v>
      </c>
      <c r="E376" s="12">
        <f>'3_Survival_Probs'!D377</f>
        <v>0.988284523937272</v>
      </c>
      <c r="F376" s="14">
        <f t="shared" si="12"/>
        <v>5.71725607781959e-5</v>
      </c>
      <c r="G376" s="32">
        <f>(1-recovery)*notional*C376*F376</f>
        <v>332.664646741595</v>
      </c>
      <c r="H376" s="14">
        <f t="shared" si="14"/>
        <v>1.3671149866093e-6</v>
      </c>
      <c r="I376" s="33"/>
    </row>
    <row r="377" spans="1:9">
      <c r="A377" s="4">
        <v>375</v>
      </c>
      <c r="B377" s="6">
        <f>'2_Discount_Factors'!B378</f>
        <v>1.02739726027397</v>
      </c>
      <c r="C377" s="6">
        <f>EXP(-r_free*(('2_Discount_Factors'!B377+'2_Discount_Factors'!B378)/2))</f>
        <v>0.9696880841609</v>
      </c>
      <c r="D377" s="6">
        <f>'3_Survival_Probs'!D377</f>
        <v>0.988284523937272</v>
      </c>
      <c r="E377" s="6">
        <f>'3_Survival_Probs'!D378</f>
        <v>0.988227354683753</v>
      </c>
      <c r="F377" s="8">
        <f t="shared" si="12"/>
        <v>5.71692535195067e-5</v>
      </c>
      <c r="G377" s="29">
        <f>(1-recovery)*notional*C377*F377</f>
        <v>332.618063509436</v>
      </c>
      <c r="H377" s="8">
        <f t="shared" si="14"/>
        <v>1.51880394296547e-6</v>
      </c>
      <c r="I377" s="30"/>
    </row>
    <row r="378" spans="1:9">
      <c r="A378" s="10">
        <v>376</v>
      </c>
      <c r="B378" s="12">
        <f>'2_Discount_Factors'!B379</f>
        <v>1.03013698630137</v>
      </c>
      <c r="C378" s="12">
        <f>EXP(-r_free*(('2_Discount_Factors'!B378+'2_Discount_Factors'!B379)/2))</f>
        <v>0.96960838704569</v>
      </c>
      <c r="D378" s="12">
        <f>'3_Survival_Probs'!D378</f>
        <v>0.988227354683753</v>
      </c>
      <c r="E378" s="12">
        <f>'3_Survival_Probs'!D379</f>
        <v>0.988170188737301</v>
      </c>
      <c r="F378" s="14">
        <f t="shared" si="12"/>
        <v>5.7165946451998e-5</v>
      </c>
      <c r="G378" s="32">
        <f>(1-recovery)*notional*C378*F378</f>
        <v>332.571486799572</v>
      </c>
      <c r="H378" s="14">
        <f t="shared" si="14"/>
        <v>1.67045039031749e-6</v>
      </c>
      <c r="I378" s="33"/>
    </row>
    <row r="379" spans="1:9">
      <c r="A379" s="4">
        <v>377</v>
      </c>
      <c r="B379" s="6">
        <f>'2_Discount_Factors'!B380</f>
        <v>1.03287671232877</v>
      </c>
      <c r="C379" s="6">
        <f>EXP(-r_free*(('2_Discount_Factors'!B379+'2_Discount_Factors'!B380)/2))</f>
        <v>0.969528696480658</v>
      </c>
      <c r="D379" s="6">
        <f>'3_Survival_Probs'!D379</f>
        <v>0.988170188737301</v>
      </c>
      <c r="E379" s="6">
        <f>'3_Survival_Probs'!D380</f>
        <v>0.988113026097725</v>
      </c>
      <c r="F379" s="8">
        <f t="shared" si="12"/>
        <v>5.71626395758917e-5</v>
      </c>
      <c r="G379" s="29">
        <f>(1-recovery)*notional*C379*F379</f>
        <v>332.524916612448</v>
      </c>
      <c r="H379" s="8">
        <f t="shared" si="14"/>
        <v>1.82205433760246e-6</v>
      </c>
      <c r="I379" s="30"/>
    </row>
    <row r="380" spans="1:9">
      <c r="A380" s="10">
        <v>378</v>
      </c>
      <c r="B380" s="12">
        <f>'2_Discount_Factors'!B381</f>
        <v>1.03561643835616</v>
      </c>
      <c r="C380" s="12">
        <f>EXP(-r_free*(('2_Discount_Factors'!B380+'2_Discount_Factors'!B381)/2))</f>
        <v>0.969449012465267</v>
      </c>
      <c r="D380" s="12">
        <f>'3_Survival_Probs'!D380</f>
        <v>0.988113026097725</v>
      </c>
      <c r="E380" s="12">
        <f>'3_Survival_Probs'!D381</f>
        <v>0.988055866764834</v>
      </c>
      <c r="F380" s="14">
        <f t="shared" si="12"/>
        <v>5.71593328910769e-5</v>
      </c>
      <c r="G380" s="32">
        <f>(1-recovery)*notional*C380*F380</f>
        <v>332.478352946568</v>
      </c>
      <c r="H380" s="14">
        <f t="shared" si="14"/>
        <v>1.97361579374675e-6</v>
      </c>
      <c r="I380" s="33"/>
    </row>
    <row r="381" spans="1:9">
      <c r="A381" s="4">
        <v>379</v>
      </c>
      <c r="B381" s="6">
        <f>'2_Discount_Factors'!B382</f>
        <v>1.03835616438356</v>
      </c>
      <c r="C381" s="6">
        <f>EXP(-r_free*(('2_Discount_Factors'!B381+'2_Discount_Factors'!B382)/2))</f>
        <v>0.969369334998977</v>
      </c>
      <c r="D381" s="6">
        <f>'3_Survival_Probs'!D381</f>
        <v>0.988055866764834</v>
      </c>
      <c r="E381" s="6">
        <f>'3_Survival_Probs'!D382</f>
        <v>0.987998710738436</v>
      </c>
      <c r="F381" s="8">
        <f t="shared" si="12"/>
        <v>5.71560263975535e-5</v>
      </c>
      <c r="G381" s="29">
        <f>(1-recovery)*notional*C381*F381</f>
        <v>332.431795801082</v>
      </c>
      <c r="H381" s="8">
        <f t="shared" si="14"/>
        <v>2.12513476767816e-6</v>
      </c>
      <c r="I381" s="30"/>
    </row>
    <row r="382" spans="1:9">
      <c r="A382" s="10">
        <v>380</v>
      </c>
      <c r="B382" s="12">
        <f>'2_Discount_Factors'!B383</f>
        <v>1.04109589041096</v>
      </c>
      <c r="C382" s="12">
        <f>EXP(-r_free*(('2_Discount_Factors'!B382+'2_Discount_Factors'!B383)/2))</f>
        <v>0.969289664081252</v>
      </c>
      <c r="D382" s="12">
        <f>'3_Survival_Probs'!D382</f>
        <v>0.987998710738436</v>
      </c>
      <c r="E382" s="12">
        <f>'3_Survival_Probs'!D383</f>
        <v>0.987941558018341</v>
      </c>
      <c r="F382" s="14">
        <f t="shared" si="12"/>
        <v>5.71527200953215e-5</v>
      </c>
      <c r="G382" s="32">
        <f>(1-recovery)*notional*C382*F382</f>
        <v>332.385245175144</v>
      </c>
      <c r="H382" s="14">
        <f t="shared" si="14"/>
        <v>2.2766112683229e-6</v>
      </c>
      <c r="I382" s="33"/>
    </row>
    <row r="383" spans="1:9">
      <c r="A383" s="4">
        <v>381</v>
      </c>
      <c r="B383" s="6">
        <f>'2_Discount_Factors'!B384</f>
        <v>1.04383561643836</v>
      </c>
      <c r="C383" s="6">
        <f>EXP(-r_free*(('2_Discount_Factors'!B383+'2_Discount_Factors'!B384)/2))</f>
        <v>0.969209999711552</v>
      </c>
      <c r="D383" s="6">
        <f>'3_Survival_Probs'!D383</f>
        <v>0.987941558018341</v>
      </c>
      <c r="E383" s="6">
        <f>'3_Survival_Probs'!D384</f>
        <v>0.987884408604357</v>
      </c>
      <c r="F383" s="8">
        <f t="shared" si="12"/>
        <v>5.71494139842699e-5</v>
      </c>
      <c r="G383" s="29">
        <f>(1-recovery)*notional*C383*F383</f>
        <v>332.338701067257</v>
      </c>
      <c r="H383" s="8">
        <f t="shared" si="14"/>
        <v>2.42804530460097e-6</v>
      </c>
      <c r="I383" s="30"/>
    </row>
    <row r="384" spans="1:9">
      <c r="A384" s="10">
        <v>382</v>
      </c>
      <c r="B384" s="12">
        <f>'2_Discount_Factors'!B385</f>
        <v>1.04657534246575</v>
      </c>
      <c r="C384" s="12">
        <f>EXP(-r_free*(('2_Discount_Factors'!B384+'2_Discount_Factors'!B385)/2))</f>
        <v>0.969130341889339</v>
      </c>
      <c r="D384" s="12">
        <f>'3_Survival_Probs'!D384</f>
        <v>0.987884408604357</v>
      </c>
      <c r="E384" s="12">
        <f>'3_Survival_Probs'!D385</f>
        <v>0.987827262496292</v>
      </c>
      <c r="F384" s="14">
        <f t="shared" si="12"/>
        <v>5.71461080645097e-5</v>
      </c>
      <c r="G384" s="32">
        <f>(1-recovery)*notional*C384*F384</f>
        <v>332.29216347722</v>
      </c>
      <c r="H384" s="14">
        <f t="shared" si="14"/>
        <v>2.57943688543961e-6</v>
      </c>
      <c r="I384" s="33"/>
    </row>
    <row r="385" spans="1:9">
      <c r="A385" s="4">
        <v>383</v>
      </c>
      <c r="B385" s="6">
        <f>'2_Discount_Factors'!B386</f>
        <v>1.04931506849315</v>
      </c>
      <c r="C385" s="6">
        <f>EXP(-r_free*(('2_Discount_Factors'!B385+'2_Discount_Factors'!B386)/2))</f>
        <v>0.969050690614076</v>
      </c>
      <c r="D385" s="6">
        <f>'3_Survival_Probs'!D385</f>
        <v>0.987827262496292</v>
      </c>
      <c r="E385" s="6">
        <f>'3_Survival_Probs'!D386</f>
        <v>0.987770119693956</v>
      </c>
      <c r="F385" s="8">
        <f t="shared" si="12"/>
        <v>5.7142802336041e-5</v>
      </c>
      <c r="G385" s="29">
        <f>(1-recovery)*notional*C385*F385</f>
        <v>332.245632404185</v>
      </c>
      <c r="H385" s="8">
        <f t="shared" si="14"/>
        <v>2.73078601976042e-6</v>
      </c>
      <c r="I385" s="30"/>
    </row>
    <row r="386" spans="1:9">
      <c r="A386" s="10">
        <v>384</v>
      </c>
      <c r="B386" s="12">
        <f>'2_Discount_Factors'!B387</f>
        <v>1.05205479452055</v>
      </c>
      <c r="C386" s="12">
        <f>EXP(-r_free*(('2_Discount_Factors'!B386+'2_Discount_Factors'!B387)/2))</f>
        <v>0.968971045885223</v>
      </c>
      <c r="D386" s="12">
        <f>'3_Survival_Probs'!D386</f>
        <v>0.987770119693956</v>
      </c>
      <c r="E386" s="12">
        <f>'3_Survival_Probs'!D387</f>
        <v>0.987712980197157</v>
      </c>
      <c r="F386" s="14">
        <f t="shared" si="12"/>
        <v>5.71394967987526e-5</v>
      </c>
      <c r="G386" s="32">
        <f>(1-recovery)*notional*C386*F386</f>
        <v>332.199107846656</v>
      </c>
      <c r="H386" s="14">
        <f t="shared" si="14"/>
        <v>2.88209271647783e-6</v>
      </c>
      <c r="I386" s="33"/>
    </row>
    <row r="387" spans="1:9">
      <c r="A387" s="4">
        <v>385</v>
      </c>
      <c r="B387" s="6">
        <f>'2_Discount_Factors'!B388</f>
        <v>1.05479452054795</v>
      </c>
      <c r="C387" s="6">
        <f>EXP(-r_free*(('2_Discount_Factors'!B387+'2_Discount_Factors'!B388)/2))</f>
        <v>0.968891407702244</v>
      </c>
      <c r="D387" s="6">
        <f>'3_Survival_Probs'!D387</f>
        <v>0.987712980197157</v>
      </c>
      <c r="E387" s="6">
        <f>'3_Survival_Probs'!D388</f>
        <v>0.987655844005705</v>
      </c>
      <c r="F387" s="8">
        <f t="shared" ref="F387:F450" si="15">D387-E387</f>
        <v>5.71361914526447e-5</v>
      </c>
      <c r="G387" s="29">
        <f>(1-recovery)*notional*C387*F387</f>
        <v>332.152589803787</v>
      </c>
      <c r="H387" s="8">
        <f t="shared" si="14"/>
        <v>3.03335698450947e-6</v>
      </c>
      <c r="I387" s="30"/>
    </row>
    <row r="388" spans="1:9">
      <c r="A388" s="10">
        <v>386</v>
      </c>
      <c r="B388" s="12">
        <f>'2_Discount_Factors'!B389</f>
        <v>1.05753424657534</v>
      </c>
      <c r="C388" s="12">
        <f>EXP(-r_free*(('2_Discount_Factors'!B388+'2_Discount_Factors'!B389)/2))</f>
        <v>0.9688117760646</v>
      </c>
      <c r="D388" s="12">
        <f>'3_Survival_Probs'!D388</f>
        <v>0.987655844005705</v>
      </c>
      <c r="E388" s="12">
        <f>'3_Survival_Probs'!D389</f>
        <v>0.987598711119407</v>
      </c>
      <c r="F388" s="14">
        <f t="shared" si="15"/>
        <v>5.71328862977172e-5</v>
      </c>
      <c r="G388" s="32">
        <f>(1-recovery)*notional*C388*F388</f>
        <v>332.106078274729</v>
      </c>
      <c r="H388" s="14">
        <f t="shared" si="14"/>
        <v>3.18457883277138e-6</v>
      </c>
      <c r="I388" s="33"/>
    </row>
    <row r="389" spans="1:9">
      <c r="A389" s="4">
        <v>387</v>
      </c>
      <c r="B389" s="6">
        <f>'2_Discount_Factors'!B390</f>
        <v>1.06027397260274</v>
      </c>
      <c r="C389" s="6">
        <f>EXP(-r_free*(('2_Discount_Factors'!B389+'2_Discount_Factors'!B390)/2))</f>
        <v>0.968732150971753</v>
      </c>
      <c r="D389" s="6">
        <f>'3_Survival_Probs'!D389</f>
        <v>0.987598711119407</v>
      </c>
      <c r="E389" s="6">
        <f>'3_Survival_Probs'!D390</f>
        <v>0.987541581538073</v>
      </c>
      <c r="F389" s="8">
        <f t="shared" si="15"/>
        <v>5.71295813340811e-5</v>
      </c>
      <c r="G389" s="29">
        <f>(1-recovery)*notional*C389*F389</f>
        <v>332.05957325928</v>
      </c>
      <c r="H389" s="8">
        <f t="shared" si="14"/>
        <v>3.33575827018455e-6</v>
      </c>
      <c r="I389" s="30"/>
    </row>
    <row r="390" spans="1:9">
      <c r="A390" s="10">
        <v>388</v>
      </c>
      <c r="B390" s="12">
        <f>'2_Discount_Factors'!B391</f>
        <v>1.06301369863014</v>
      </c>
      <c r="C390" s="12">
        <f>EXP(-r_free*(('2_Discount_Factors'!B390+'2_Discount_Factors'!B391)/2))</f>
        <v>0.968652532423165</v>
      </c>
      <c r="D390" s="12">
        <f>'3_Survival_Probs'!D390</f>
        <v>0.987541581538073</v>
      </c>
      <c r="E390" s="12">
        <f>'3_Survival_Probs'!D391</f>
        <v>0.987484455261511</v>
      </c>
      <c r="F390" s="14">
        <f t="shared" si="15"/>
        <v>5.71262765615144e-5</v>
      </c>
      <c r="G390" s="32">
        <f>(1-recovery)*notional*C390*F390</f>
        <v>332.013074755302</v>
      </c>
      <c r="H390" s="14">
        <f t="shared" si="14"/>
        <v>3.48689530564929e-6</v>
      </c>
      <c r="I390" s="33"/>
    </row>
    <row r="391" spans="1:9">
      <c r="A391" s="4">
        <v>389</v>
      </c>
      <c r="B391" s="6">
        <f>'2_Discount_Factors'!B392</f>
        <v>1.06575342465753</v>
      </c>
      <c r="C391" s="6">
        <f>EXP(-r_free*(('2_Discount_Factors'!B391+'2_Discount_Factors'!B392)/2))</f>
        <v>0.968572920418298</v>
      </c>
      <c r="D391" s="6">
        <f>'3_Survival_Probs'!D391</f>
        <v>0.987484455261511</v>
      </c>
      <c r="E391" s="6">
        <f>'3_Survival_Probs'!D392</f>
        <v>0.987427332289531</v>
      </c>
      <c r="F391" s="8">
        <f t="shared" si="15"/>
        <v>5.71229719802391e-5</v>
      </c>
      <c r="G391" s="29">
        <f>(1-recovery)*notional*C391*F391</f>
        <v>331.966582763237</v>
      </c>
      <c r="H391" s="8">
        <f t="shared" si="14"/>
        <v>3.63798994809026e-6</v>
      </c>
      <c r="I391" s="30"/>
    </row>
    <row r="392" spans="1:9">
      <c r="A392" s="10">
        <v>390</v>
      </c>
      <c r="B392" s="12">
        <f>'2_Discount_Factors'!B393</f>
        <v>1.06849315068493</v>
      </c>
      <c r="C392" s="12">
        <f>EXP(-r_free*(('2_Discount_Factors'!B392+'2_Discount_Factors'!B393)/2))</f>
        <v>0.968493314956615</v>
      </c>
      <c r="D392" s="12">
        <f>'3_Survival_Probs'!D392</f>
        <v>0.987427332289531</v>
      </c>
      <c r="E392" s="12">
        <f>'3_Survival_Probs'!D393</f>
        <v>0.987370212621941</v>
      </c>
      <c r="F392" s="14">
        <f t="shared" si="15"/>
        <v>5.71196675900332e-5</v>
      </c>
      <c r="G392" s="32">
        <f>(1-recovery)*notional*C392*F392</f>
        <v>331.920097280947</v>
      </c>
      <c r="H392" s="14">
        <f t="shared" si="14"/>
        <v>3.78904220640351e-6</v>
      </c>
      <c r="I392" s="33"/>
    </row>
    <row r="393" spans="1:9">
      <c r="A393" s="4">
        <v>391</v>
      </c>
      <c r="B393" s="6">
        <f>'2_Discount_Factors'!B394</f>
        <v>1.07123287671233</v>
      </c>
      <c r="C393" s="6">
        <f>EXP(-r_free*(('2_Discount_Factors'!B393+'2_Discount_Factors'!B394)/2))</f>
        <v>0.968413716037578</v>
      </c>
      <c r="D393" s="6">
        <f>'3_Survival_Probs'!D393</f>
        <v>0.987370212621941</v>
      </c>
      <c r="E393" s="6">
        <f>'3_Survival_Probs'!D394</f>
        <v>0.98731309625855</v>
      </c>
      <c r="F393" s="8">
        <f t="shared" si="15"/>
        <v>5.71163633910077e-5</v>
      </c>
      <c r="G393" s="29">
        <f>(1-recovery)*notional*C393*F393</f>
        <v>331.873618308231</v>
      </c>
      <c r="H393" s="8">
        <f t="shared" si="14"/>
        <v>3.9400520895041e-6</v>
      </c>
      <c r="I393" s="30"/>
    </row>
    <row r="394" spans="1:9">
      <c r="A394" s="10">
        <v>392</v>
      </c>
      <c r="B394" s="12">
        <f>'2_Discount_Factors'!B395</f>
        <v>1.07397260273973</v>
      </c>
      <c r="C394" s="12">
        <f>EXP(-r_free*(('2_Discount_Factors'!B394+'2_Discount_Factors'!B395)/2))</f>
        <v>0.968334123660649</v>
      </c>
      <c r="D394" s="12">
        <f>'3_Survival_Probs'!D394</f>
        <v>0.98731309625855</v>
      </c>
      <c r="E394" s="12">
        <f>'3_Survival_Probs'!D395</f>
        <v>0.987255983199167</v>
      </c>
      <c r="F394" s="14">
        <f t="shared" si="15"/>
        <v>5.71130593831626e-5</v>
      </c>
      <c r="G394" s="32">
        <f>(1-recovery)*notional*C394*F394</f>
        <v>331.82714584424</v>
      </c>
      <c r="H394" s="14">
        <f t="shared" si="14"/>
        <v>4.09101960629885e-6</v>
      </c>
      <c r="I394" s="33"/>
    </row>
    <row r="395" spans="1:9">
      <c r="A395" s="4">
        <v>393</v>
      </c>
      <c r="B395" s="6">
        <f>'2_Discount_Factors'!B396</f>
        <v>1.07671232876712</v>
      </c>
      <c r="C395" s="6">
        <f>EXP(-r_free*(('2_Discount_Factors'!B395+'2_Discount_Factors'!B396)/2))</f>
        <v>0.96825453782529</v>
      </c>
      <c r="D395" s="6">
        <f>'3_Survival_Probs'!D395</f>
        <v>0.987255983199167</v>
      </c>
      <c r="E395" s="6">
        <f>'3_Survival_Probs'!D396</f>
        <v>0.9871988734436</v>
      </c>
      <c r="F395" s="8">
        <f t="shared" si="15"/>
        <v>5.71097555663869e-5</v>
      </c>
      <c r="G395" s="29">
        <f>(1-recovery)*notional*C395*F395</f>
        <v>331.780679887483</v>
      </c>
      <c r="H395" s="8">
        <f t="shared" si="14"/>
        <v>4.24194476568471e-6</v>
      </c>
      <c r="I395" s="30"/>
    </row>
    <row r="396" spans="1:9">
      <c r="A396" s="10">
        <v>394</v>
      </c>
      <c r="B396" s="12">
        <f>'2_Discount_Factors'!B397</f>
        <v>1.07945205479452</v>
      </c>
      <c r="C396" s="12">
        <f>EXP(-r_free*(('2_Discount_Factors'!B396+'2_Discount_Factors'!B397)/2))</f>
        <v>0.968174958530964</v>
      </c>
      <c r="D396" s="12">
        <f>'3_Survival_Probs'!D396</f>
        <v>0.9871988734436</v>
      </c>
      <c r="E396" s="12">
        <f>'3_Survival_Probs'!D397</f>
        <v>0.98714176699166</v>
      </c>
      <c r="F396" s="14">
        <f t="shared" si="15"/>
        <v>5.71064519407916e-5</v>
      </c>
      <c r="G396" s="32">
        <f>(1-recovery)*notional*C396*F396</f>
        <v>331.734220437758</v>
      </c>
      <c r="H396" s="14">
        <f t="shared" si="14"/>
        <v>4.39282757657305e-6</v>
      </c>
      <c r="I396" s="33"/>
    </row>
    <row r="397" spans="1:9">
      <c r="A397" s="4">
        <v>395</v>
      </c>
      <c r="B397" s="6">
        <f>'2_Discount_Factors'!B398</f>
        <v>1.08219178082192</v>
      </c>
      <c r="C397" s="6">
        <f>EXP(-r_free*(('2_Discount_Factors'!B397+'2_Discount_Factors'!B398)/2))</f>
        <v>0.968095385777133</v>
      </c>
      <c r="D397" s="6">
        <f>'3_Survival_Probs'!D397</f>
        <v>0.98714176699166</v>
      </c>
      <c r="E397" s="6">
        <f>'3_Survival_Probs'!D398</f>
        <v>0.987084663843153</v>
      </c>
      <c r="F397" s="8">
        <f t="shared" si="15"/>
        <v>5.71031485062656e-5</v>
      </c>
      <c r="G397" s="29">
        <f>(1-recovery)*notional*C397*F397</f>
        <v>331.687767493573</v>
      </c>
      <c r="H397" s="8">
        <f t="shared" si="14"/>
        <v>4.54366804785717e-6</v>
      </c>
      <c r="I397" s="30"/>
    </row>
    <row r="398" spans="1:9">
      <c r="A398" s="10">
        <v>396</v>
      </c>
      <c r="B398" s="12">
        <f>'2_Discount_Factors'!B399</f>
        <v>1.08493150684932</v>
      </c>
      <c r="C398" s="12">
        <f>EXP(-r_free*(('2_Discount_Factors'!B398+'2_Discount_Factors'!B399)/2))</f>
        <v>0.96801581956326</v>
      </c>
      <c r="D398" s="12">
        <f>'3_Survival_Probs'!D398</f>
        <v>0.987084663843153</v>
      </c>
      <c r="E398" s="12">
        <f>'3_Survival_Probs'!D399</f>
        <v>0.987027563997891</v>
      </c>
      <c r="F398" s="14">
        <f t="shared" si="15"/>
        <v>5.70998452628091e-5</v>
      </c>
      <c r="G398" s="32">
        <f>(1-recovery)*notional*C398*F398</f>
        <v>331.641321054081</v>
      </c>
      <c r="H398" s="14">
        <f t="shared" si="14"/>
        <v>4.69446618843676e-6</v>
      </c>
      <c r="I398" s="33"/>
    </row>
    <row r="399" spans="1:9">
      <c r="A399" s="4">
        <v>397</v>
      </c>
      <c r="B399" s="6">
        <f>'2_Discount_Factors'!B400</f>
        <v>1.08767123287671</v>
      </c>
      <c r="C399" s="6">
        <f>EXP(-r_free*(('2_Discount_Factors'!B399+'2_Discount_Factors'!B400)/2))</f>
        <v>0.967936259888807</v>
      </c>
      <c r="D399" s="6">
        <f>'3_Survival_Probs'!D399</f>
        <v>0.987027563997891</v>
      </c>
      <c r="E399" s="6">
        <f>'3_Survival_Probs'!D400</f>
        <v>0.98697046745568</v>
      </c>
      <c r="F399" s="8">
        <f t="shared" si="15"/>
        <v>5.70965422104219e-5</v>
      </c>
      <c r="G399" s="29">
        <f>(1-recovery)*notional*C399*F399</f>
        <v>331.594881118435</v>
      </c>
      <c r="H399" s="8">
        <f t="shared" si="14"/>
        <v>4.84522200721002e-6</v>
      </c>
      <c r="I399" s="30"/>
    </row>
    <row r="400" spans="1:9">
      <c r="A400" s="10">
        <v>398</v>
      </c>
      <c r="B400" s="12">
        <f>'2_Discount_Factors'!B401</f>
        <v>1.09041095890411</v>
      </c>
      <c r="C400" s="12">
        <f>EXP(-r_free*(('2_Discount_Factors'!B400+'2_Discount_Factors'!B401)/2))</f>
        <v>0.967856706753236</v>
      </c>
      <c r="D400" s="12">
        <f>'3_Survival_Probs'!D400</f>
        <v>0.98697046745568</v>
      </c>
      <c r="E400" s="12">
        <f>'3_Survival_Probs'!D401</f>
        <v>0.986913374216331</v>
      </c>
      <c r="F400" s="14">
        <f t="shared" si="15"/>
        <v>5.70932393491042e-5</v>
      </c>
      <c r="G400" s="32">
        <f>(1-recovery)*notional*C400*F400</f>
        <v>331.548447685789</v>
      </c>
      <c r="H400" s="14">
        <f t="shared" si="14"/>
        <v>4.99593551307354e-6</v>
      </c>
      <c r="I400" s="33"/>
    </row>
    <row r="401" spans="1:9">
      <c r="A401" s="4">
        <v>399</v>
      </c>
      <c r="B401" s="6">
        <f>'2_Discount_Factors'!B402</f>
        <v>1.09315068493151</v>
      </c>
      <c r="C401" s="6">
        <f>EXP(-r_free*(('2_Discount_Factors'!B401+'2_Discount_Factors'!B402)/2))</f>
        <v>0.967777160156011</v>
      </c>
      <c r="D401" s="6">
        <f>'3_Survival_Probs'!D401</f>
        <v>0.986913374216331</v>
      </c>
      <c r="E401" s="6">
        <f>'3_Survival_Probs'!D402</f>
        <v>0.986856284279652</v>
      </c>
      <c r="F401" s="8">
        <f t="shared" si="15"/>
        <v>5.70899366788558e-5</v>
      </c>
      <c r="G401" s="29">
        <f>(1-recovery)*notional*C401*F401</f>
        <v>331.502020755297</v>
      </c>
      <c r="H401" s="8">
        <f t="shared" si="14"/>
        <v>5.14660671492242e-6</v>
      </c>
      <c r="I401" s="30"/>
    </row>
    <row r="402" spans="1:9">
      <c r="A402" s="10">
        <v>400</v>
      </c>
      <c r="B402" s="12">
        <f>'2_Discount_Factors'!B403</f>
        <v>1.0958904109589</v>
      </c>
      <c r="C402" s="12">
        <f>EXP(-r_free*(('2_Discount_Factors'!B402+'2_Discount_Factors'!B403)/2))</f>
        <v>0.967697620096593</v>
      </c>
      <c r="D402" s="12">
        <f>'3_Survival_Probs'!D402</f>
        <v>0.986856284279652</v>
      </c>
      <c r="E402" s="12">
        <f>'3_Survival_Probs'!D403</f>
        <v>0.986799197645453</v>
      </c>
      <c r="F402" s="14">
        <f t="shared" si="15"/>
        <v>5.70866341996767e-5</v>
      </c>
      <c r="G402" s="32">
        <f>(1-recovery)*notional*C402*F402</f>
        <v>331.455600326112</v>
      </c>
      <c r="H402" s="14">
        <f t="shared" si="14"/>
        <v>5.29723562165019e-6</v>
      </c>
      <c r="I402" s="33"/>
    </row>
    <row r="403" spans="1:9">
      <c r="A403" s="4">
        <v>401</v>
      </c>
      <c r="B403" s="6">
        <f>'2_Discount_Factors'!B404</f>
        <v>1.0986301369863</v>
      </c>
      <c r="C403" s="6">
        <f>EXP(-r_free*(('2_Discount_Factors'!B403+'2_Discount_Factors'!B404)/2))</f>
        <v>0.967618086574446</v>
      </c>
      <c r="D403" s="6">
        <f>'3_Survival_Probs'!D403</f>
        <v>0.986799197645453</v>
      </c>
      <c r="E403" s="6">
        <f>'3_Survival_Probs'!D404</f>
        <v>0.986742114313541</v>
      </c>
      <c r="F403" s="8">
        <f t="shared" si="15"/>
        <v>5.70833319115671e-5</v>
      </c>
      <c r="G403" s="29">
        <f>(1-recovery)*notional*C403*F403</f>
        <v>331.409186397388</v>
      </c>
      <c r="H403" s="8">
        <f t="shared" si="14"/>
        <v>5.44782224214884e-6</v>
      </c>
      <c r="I403" s="30"/>
    </row>
    <row r="404" spans="1:9">
      <c r="A404" s="10">
        <v>402</v>
      </c>
      <c r="B404" s="12">
        <f>'2_Discount_Factors'!B405</f>
        <v>1.1013698630137</v>
      </c>
      <c r="C404" s="12">
        <f>EXP(-r_free*(('2_Discount_Factors'!B404+'2_Discount_Factors'!B405)/2))</f>
        <v>0.967538559589032</v>
      </c>
      <c r="D404" s="12">
        <f>'3_Survival_Probs'!D404</f>
        <v>0.986742114313541</v>
      </c>
      <c r="E404" s="12">
        <f>'3_Survival_Probs'!D405</f>
        <v>0.986685034283727</v>
      </c>
      <c r="F404" s="14">
        <f t="shared" si="15"/>
        <v>5.70800298144158e-5</v>
      </c>
      <c r="G404" s="32">
        <f>(1-recovery)*notional*C404*F404</f>
        <v>331.362778967633</v>
      </c>
      <c r="H404" s="14">
        <f t="shared" si="14"/>
        <v>5.59836658529791e-6</v>
      </c>
      <c r="I404" s="33"/>
    </row>
    <row r="405" spans="1:9">
      <c r="A405" s="4">
        <v>403</v>
      </c>
      <c r="B405" s="6">
        <f>'2_Discount_Factors'!B406</f>
        <v>1.1041095890411</v>
      </c>
      <c r="C405" s="6">
        <f>EXP(-r_free*(('2_Discount_Factors'!B405+'2_Discount_Factors'!B406)/2))</f>
        <v>0.967459039139814</v>
      </c>
      <c r="D405" s="6">
        <f>'3_Survival_Probs'!D405</f>
        <v>0.986685034283727</v>
      </c>
      <c r="E405" s="6">
        <f>'3_Survival_Probs'!D406</f>
        <v>0.986627957555818</v>
      </c>
      <c r="F405" s="8">
        <f t="shared" si="15"/>
        <v>5.7076727908334e-5</v>
      </c>
      <c r="G405" s="29">
        <f>(1-recovery)*notional*C405*F405</f>
        <v>331.316378036648</v>
      </c>
      <c r="H405" s="8">
        <f t="shared" si="14"/>
        <v>5.74886865999664e-6</v>
      </c>
      <c r="I405" s="30"/>
    </row>
    <row r="406" spans="1:9">
      <c r="A406" s="10">
        <v>404</v>
      </c>
      <c r="B406" s="12">
        <f>'2_Discount_Factors'!B407</f>
        <v>1.10684931506849</v>
      </c>
      <c r="C406" s="12">
        <f>EXP(-r_free*(('2_Discount_Factors'!B406+'2_Discount_Factors'!B407)/2))</f>
        <v>0.967379525226255</v>
      </c>
      <c r="D406" s="12">
        <f>'3_Survival_Probs'!D406</f>
        <v>0.986627957555818</v>
      </c>
      <c r="E406" s="12">
        <f>'3_Survival_Probs'!D407</f>
        <v>0.986570884129625</v>
      </c>
      <c r="F406" s="14">
        <f t="shared" si="15"/>
        <v>5.70734261933215e-5</v>
      </c>
      <c r="G406" s="32">
        <f>(1-recovery)*notional*C406*F406</f>
        <v>331.269983603586</v>
      </c>
      <c r="H406" s="14">
        <f t="shared" si="14"/>
        <v>5.89932847513235e-6</v>
      </c>
      <c r="I406" s="33"/>
    </row>
    <row r="407" spans="1:9">
      <c r="A407" s="4">
        <v>405</v>
      </c>
      <c r="B407" s="6">
        <f>'2_Discount_Factors'!B408</f>
        <v>1.10958904109589</v>
      </c>
      <c r="C407" s="6">
        <f>EXP(-r_free*(('2_Discount_Factors'!B407+'2_Discount_Factors'!B408)/2))</f>
        <v>0.967300017847817</v>
      </c>
      <c r="D407" s="6">
        <f>'3_Survival_Probs'!D407</f>
        <v>0.986570884129625</v>
      </c>
      <c r="E407" s="6">
        <f>'3_Survival_Probs'!D408</f>
        <v>0.986513814004956</v>
      </c>
      <c r="F407" s="8">
        <f t="shared" si="15"/>
        <v>5.70701246691563e-5</v>
      </c>
      <c r="G407" s="29">
        <f>(1-recovery)*notional*C407*F407</f>
        <v>331.223595666312</v>
      </c>
      <c r="H407" s="8">
        <f t="shared" si="14"/>
        <v>6.04974603956734e-6</v>
      </c>
      <c r="I407" s="30"/>
    </row>
    <row r="408" spans="1:9">
      <c r="A408" s="10">
        <v>406</v>
      </c>
      <c r="B408" s="12">
        <f>'2_Discount_Factors'!B409</f>
        <v>1.11232876712329</v>
      </c>
      <c r="C408" s="12">
        <f>EXP(-r_free*(('2_Discount_Factors'!B408+'2_Discount_Factors'!B409)/2))</f>
        <v>0.967220517003964</v>
      </c>
      <c r="D408" s="12">
        <f>'3_Survival_Probs'!D408</f>
        <v>0.986513814004956</v>
      </c>
      <c r="E408" s="12">
        <f>'3_Survival_Probs'!D409</f>
        <v>0.98645674718162</v>
      </c>
      <c r="F408" s="14">
        <f t="shared" si="15"/>
        <v>5.70668233360605e-5</v>
      </c>
      <c r="G408" s="32">
        <f>(1-recovery)*notional*C408*F408</f>
        <v>331.17721422527</v>
      </c>
      <c r="H408" s="14">
        <f t="shared" si="14"/>
        <v>6.20012136220825e-6</v>
      </c>
      <c r="I408" s="33"/>
    </row>
    <row r="409" spans="1:9">
      <c r="A409" s="4">
        <v>407</v>
      </c>
      <c r="B409" s="6">
        <f>'2_Discount_Factors'!B410</f>
        <v>1.11506849315068</v>
      </c>
      <c r="C409" s="6">
        <f>EXP(-r_free*(('2_Discount_Factors'!B409+'2_Discount_Factors'!B410)/2))</f>
        <v>0.967141022694158</v>
      </c>
      <c r="D409" s="6">
        <f>'3_Survival_Probs'!D409</f>
        <v>0.98645674718162</v>
      </c>
      <c r="E409" s="6">
        <f>'3_Survival_Probs'!D410</f>
        <v>0.986399683659426</v>
      </c>
      <c r="F409" s="8">
        <f t="shared" si="15"/>
        <v>5.70635221939231e-5</v>
      </c>
      <c r="G409" s="29">
        <f>(1-recovery)*notional*C409*F409</f>
        <v>331.130839278969</v>
      </c>
      <c r="H409" s="8">
        <f t="shared" si="14"/>
        <v>6.35045445192543e-6</v>
      </c>
      <c r="I409" s="30"/>
    </row>
    <row r="410" spans="1:9">
      <c r="A410" s="10">
        <v>408</v>
      </c>
      <c r="B410" s="12">
        <f>'2_Discount_Factors'!B411</f>
        <v>1.11780821917808</v>
      </c>
      <c r="C410" s="12">
        <f>EXP(-r_free*(('2_Discount_Factors'!B410+'2_Discount_Factors'!B411)/2))</f>
        <v>0.967061534917862</v>
      </c>
      <c r="D410" s="12">
        <f>'3_Survival_Probs'!D410</f>
        <v>0.986399683659426</v>
      </c>
      <c r="E410" s="12">
        <f>'3_Survival_Probs'!D411</f>
        <v>0.986342623438183</v>
      </c>
      <c r="F410" s="14">
        <f t="shared" si="15"/>
        <v>5.7060221242744e-5</v>
      </c>
      <c r="G410" s="32">
        <f>(1-recovery)*notional*C410*F410</f>
        <v>331.084470826565</v>
      </c>
      <c r="H410" s="14">
        <f t="shared" si="14"/>
        <v>6.50074531759923e-6</v>
      </c>
      <c r="I410" s="33"/>
    </row>
    <row r="411" spans="1:9">
      <c r="A411" s="4">
        <v>409</v>
      </c>
      <c r="B411" s="6">
        <f>'2_Discount_Factors'!B412</f>
        <v>1.12054794520548</v>
      </c>
      <c r="C411" s="6">
        <f>EXP(-r_free*(('2_Discount_Factors'!B411+'2_Discount_Factors'!B412)/2))</f>
        <v>0.96698205367454</v>
      </c>
      <c r="D411" s="6">
        <f>'3_Survival_Probs'!D411</f>
        <v>0.986342623438183</v>
      </c>
      <c r="E411" s="6">
        <f>'3_Survival_Probs'!D412</f>
        <v>0.9862855665177</v>
      </c>
      <c r="F411" s="8">
        <f t="shared" si="15"/>
        <v>5.70569204825233e-5</v>
      </c>
      <c r="G411" s="29">
        <f>(1-recovery)*notional*C411*F411</f>
        <v>331.038108867212</v>
      </c>
      <c r="H411" s="8">
        <f t="shared" si="14"/>
        <v>6.65099396810837e-6</v>
      </c>
      <c r="I411" s="30"/>
    </row>
    <row r="412" spans="1:9">
      <c r="A412" s="10">
        <v>410</v>
      </c>
      <c r="B412" s="12">
        <f>'2_Discount_Factors'!B413</f>
        <v>1.12328767123288</v>
      </c>
      <c r="C412" s="12">
        <f>EXP(-r_free*(('2_Discount_Factors'!B412+'2_Discount_Factors'!B413)/2))</f>
        <v>0.966902578963655</v>
      </c>
      <c r="D412" s="12">
        <f>'3_Survival_Probs'!D412</f>
        <v>0.9862855665177</v>
      </c>
      <c r="E412" s="12">
        <f>'3_Survival_Probs'!D413</f>
        <v>0.986228512897787</v>
      </c>
      <c r="F412" s="14">
        <f t="shared" si="15"/>
        <v>5.7053619913261e-5</v>
      </c>
      <c r="G412" s="32">
        <f>(1-recovery)*notional*C412*F412</f>
        <v>330.991753400065</v>
      </c>
      <c r="H412" s="14">
        <f t="shared" si="14"/>
        <v>6.8012004123301e-6</v>
      </c>
      <c r="I412" s="33"/>
    </row>
    <row r="413" spans="1:9">
      <c r="A413" s="4">
        <v>411</v>
      </c>
      <c r="B413" s="6">
        <f>'2_Discount_Factors'!B414</f>
        <v>1.12602739726027</v>
      </c>
      <c r="C413" s="6">
        <f>EXP(-r_free*(('2_Discount_Factors'!B413+'2_Discount_Factors'!B414)/2))</f>
        <v>0.966823110784669</v>
      </c>
      <c r="D413" s="6">
        <f>'3_Survival_Probs'!D413</f>
        <v>0.986228512897787</v>
      </c>
      <c r="E413" s="6">
        <f>'3_Survival_Probs'!D414</f>
        <v>0.986171462578252</v>
      </c>
      <c r="F413" s="8">
        <f t="shared" si="15"/>
        <v>5.7050319534846e-5</v>
      </c>
      <c r="G413" s="29">
        <f>(1-recovery)*notional*C413*F413</f>
        <v>330.945404423635</v>
      </c>
      <c r="H413" s="8">
        <f t="shared" si="14"/>
        <v>6.95136465912657e-6</v>
      </c>
      <c r="I413" s="30"/>
    </row>
    <row r="414" spans="1:9">
      <c r="A414" s="10">
        <v>412</v>
      </c>
      <c r="B414" s="12">
        <f>'2_Discount_Factors'!B415</f>
        <v>1.12876712328767</v>
      </c>
      <c r="C414" s="12">
        <f>EXP(-r_free*(('2_Discount_Factors'!B414+'2_Discount_Factors'!B415)/2))</f>
        <v>0.966743649137045</v>
      </c>
      <c r="D414" s="12">
        <f>'3_Survival_Probs'!D414</f>
        <v>0.986171462578252</v>
      </c>
      <c r="E414" s="12">
        <f>'3_Survival_Probs'!D415</f>
        <v>0.986114415558905</v>
      </c>
      <c r="F414" s="14">
        <f t="shared" si="15"/>
        <v>5.70470193473893e-5</v>
      </c>
      <c r="G414" s="32">
        <f>(1-recovery)*notional*C414*F414</f>
        <v>330.899061937721</v>
      </c>
      <c r="H414" s="14">
        <f t="shared" si="14"/>
        <v>7.10148671738487e-6</v>
      </c>
      <c r="I414" s="33"/>
    </row>
    <row r="415" spans="1:9">
      <c r="A415" s="4">
        <v>413</v>
      </c>
      <c r="B415" s="6">
        <f>'2_Discount_Factors'!B416</f>
        <v>1.13150684931507</v>
      </c>
      <c r="C415" s="6">
        <f>EXP(-r_free*(('2_Discount_Factors'!B415+'2_Discount_Factors'!B416)/2))</f>
        <v>0.966664194020248</v>
      </c>
      <c r="D415" s="6">
        <f>'3_Survival_Probs'!D415</f>
        <v>0.986114415558905</v>
      </c>
      <c r="E415" s="6">
        <f>'3_Survival_Probs'!D416</f>
        <v>0.986057371839554</v>
      </c>
      <c r="F415" s="8">
        <f t="shared" si="15"/>
        <v>5.7043719350891e-5</v>
      </c>
      <c r="G415" s="29">
        <f>(1-recovery)*notional*C415*F415</f>
        <v>330.852725941478</v>
      </c>
      <c r="H415" s="8">
        <f t="shared" si="14"/>
        <v>7.25156659597759e-6</v>
      </c>
      <c r="I415" s="30"/>
    </row>
    <row r="416" spans="1:9">
      <c r="A416" s="10">
        <v>414</v>
      </c>
      <c r="B416" s="12">
        <f>'2_Discount_Factors'!B417</f>
        <v>1.13424657534247</v>
      </c>
      <c r="C416" s="12">
        <f>EXP(-r_free*(('2_Discount_Factors'!B416+'2_Discount_Factors'!B417)/2))</f>
        <v>0.96658474543374</v>
      </c>
      <c r="D416" s="12">
        <f>'3_Survival_Probs'!D416</f>
        <v>0.986057371839554</v>
      </c>
      <c r="E416" s="12">
        <f>'3_Survival_Probs'!D417</f>
        <v>0.986000331420009</v>
      </c>
      <c r="F416" s="14">
        <f t="shared" si="15"/>
        <v>5.70404195452401e-5</v>
      </c>
      <c r="G416" s="32">
        <f>(1-recovery)*notional*C416*F416</f>
        <v>330.806396433418</v>
      </c>
      <c r="H416" s="14">
        <f t="shared" si="14"/>
        <v>7.4016043037614e-6</v>
      </c>
      <c r="I416" s="33"/>
    </row>
    <row r="417" spans="1:9">
      <c r="A417" s="4">
        <v>415</v>
      </c>
      <c r="B417" s="6">
        <f>'2_Discount_Factors'!B418</f>
        <v>1.13698630136986</v>
      </c>
      <c r="C417" s="6">
        <f>EXP(-r_free*(('2_Discount_Factors'!B417+'2_Discount_Factors'!B418)/2))</f>
        <v>0.966505303376984</v>
      </c>
      <c r="D417" s="6">
        <f>'3_Survival_Probs'!D417</f>
        <v>0.986000331420009</v>
      </c>
      <c r="E417" s="6">
        <f>'3_Survival_Probs'!D418</f>
        <v>0.985943294300078</v>
      </c>
      <c r="F417" s="8">
        <f t="shared" si="15"/>
        <v>5.70371199304365e-5</v>
      </c>
      <c r="G417" s="29">
        <f>(1-recovery)*notional*C417*F417</f>
        <v>330.760073412696</v>
      </c>
      <c r="H417" s="8">
        <f t="shared" si="14"/>
        <v>7.55159984960493e-6</v>
      </c>
      <c r="I417" s="30"/>
    </row>
    <row r="418" spans="1:9">
      <c r="A418" s="10">
        <v>416</v>
      </c>
      <c r="B418" s="12">
        <f>'2_Discount_Factors'!B419</f>
        <v>1.13972602739726</v>
      </c>
      <c r="C418" s="12">
        <f>EXP(-r_free*(('2_Discount_Factors'!B418+'2_Discount_Factors'!B419)/2))</f>
        <v>0.966425867849444</v>
      </c>
      <c r="D418" s="12">
        <f>'3_Survival_Probs'!D418</f>
        <v>0.985943294300078</v>
      </c>
      <c r="E418" s="12">
        <f>'3_Survival_Probs'!D419</f>
        <v>0.985886260479572</v>
      </c>
      <c r="F418" s="14">
        <f t="shared" si="15"/>
        <v>5.70338205065912e-5</v>
      </c>
      <c r="G418" s="32">
        <f>(1-recovery)*notional*C418*F418</f>
        <v>330.713756879111</v>
      </c>
      <c r="H418" s="14">
        <f t="shared" si="14"/>
        <v>7.70155324239026e-6</v>
      </c>
      <c r="I418" s="33"/>
    </row>
    <row r="419" spans="1:9">
      <c r="A419" s="4">
        <v>417</v>
      </c>
      <c r="B419" s="6">
        <f>'2_Discount_Factors'!B420</f>
        <v>1.14246575342466</v>
      </c>
      <c r="C419" s="6">
        <f>EXP(-r_free*(('2_Discount_Factors'!B419+'2_Discount_Factors'!B420)/2))</f>
        <v>0.966346438850583</v>
      </c>
      <c r="D419" s="6">
        <f>'3_Survival_Probs'!D419</f>
        <v>0.985886260479572</v>
      </c>
      <c r="E419" s="6">
        <f>'3_Survival_Probs'!D420</f>
        <v>0.985829229958298</v>
      </c>
      <c r="F419" s="8">
        <f t="shared" si="15"/>
        <v>5.70305212734823e-5</v>
      </c>
      <c r="G419" s="29">
        <f>(1-recovery)*notional*C419*F419</f>
        <v>330.667446830532</v>
      </c>
      <c r="H419" s="8">
        <f t="shared" si="14"/>
        <v>7.85146449095328e-6</v>
      </c>
      <c r="I419" s="30"/>
    </row>
    <row r="420" spans="1:9">
      <c r="A420" s="10">
        <v>418</v>
      </c>
      <c r="B420" s="12">
        <f>'2_Discount_Factors'!B421</f>
        <v>1.14520547945205</v>
      </c>
      <c r="C420" s="12">
        <f>EXP(-r_free*(('2_Discount_Factors'!B420+'2_Discount_Factors'!B421)/2))</f>
        <v>0.966267016379865</v>
      </c>
      <c r="D420" s="12">
        <f>'3_Survival_Probs'!D420</f>
        <v>0.985829229958298</v>
      </c>
      <c r="E420" s="12">
        <f>'3_Survival_Probs'!D421</f>
        <v>0.985772202736067</v>
      </c>
      <c r="F420" s="14">
        <f t="shared" si="15"/>
        <v>5.70272222313317e-5</v>
      </c>
      <c r="G420" s="32">
        <f>(1-recovery)*notional*C420*F420</f>
        <v>330.621143267403</v>
      </c>
      <c r="H420" s="14">
        <f t="shared" si="14"/>
        <v>8.00133360418828e-6</v>
      </c>
      <c r="I420" s="33"/>
    </row>
    <row r="421" spans="1:9">
      <c r="A421" s="4">
        <v>419</v>
      </c>
      <c r="B421" s="6">
        <f>'2_Discount_Factors'!B422</f>
        <v>1.14794520547945</v>
      </c>
      <c r="C421" s="6">
        <f>EXP(-r_free*(('2_Discount_Factors'!B421+'2_Discount_Factors'!B422)/2))</f>
        <v>0.966187600436753</v>
      </c>
      <c r="D421" s="6">
        <f>'3_Survival_Probs'!D421</f>
        <v>0.985772202736067</v>
      </c>
      <c r="E421" s="6">
        <f>'3_Survival_Probs'!D422</f>
        <v>0.985715178812687</v>
      </c>
      <c r="F421" s="8">
        <f t="shared" si="15"/>
        <v>5.70239233800285e-5</v>
      </c>
      <c r="G421" s="29">
        <f>(1-recovery)*notional*C421*F421</f>
        <v>330.574846188234</v>
      </c>
      <c r="H421" s="8">
        <f t="shared" si="14"/>
        <v>8.15116059094276e-6</v>
      </c>
      <c r="I421" s="30"/>
    </row>
    <row r="422" spans="1:9">
      <c r="A422" s="10">
        <v>420</v>
      </c>
      <c r="B422" s="12">
        <f>'2_Discount_Factors'!B423</f>
        <v>1.15068493150685</v>
      </c>
      <c r="C422" s="12">
        <f>EXP(-r_free*(('2_Discount_Factors'!B422+'2_Discount_Factors'!B423)/2))</f>
        <v>0.96610819102071</v>
      </c>
      <c r="D422" s="12">
        <f>'3_Survival_Probs'!D422</f>
        <v>0.985715178812687</v>
      </c>
      <c r="E422" s="12">
        <f>'3_Survival_Probs'!D423</f>
        <v>0.985658158187968</v>
      </c>
      <c r="F422" s="14">
        <f t="shared" si="15"/>
        <v>5.70206247194616e-5</v>
      </c>
      <c r="G422" s="32">
        <f>(1-recovery)*notional*C422*F422</f>
        <v>330.528555591539</v>
      </c>
      <c r="H422" s="14">
        <f t="shared" si="14"/>
        <v>8.30094546006147e-6</v>
      </c>
      <c r="I422" s="33"/>
    </row>
    <row r="423" spans="1:9">
      <c r="A423" s="4">
        <v>421</v>
      </c>
      <c r="B423" s="6">
        <f>'2_Discount_Factors'!B424</f>
        <v>1.15342465753425</v>
      </c>
      <c r="C423" s="6">
        <f>EXP(-r_free*(('2_Discount_Factors'!B423+'2_Discount_Factors'!B424)/2))</f>
        <v>0.966028788131201</v>
      </c>
      <c r="D423" s="6">
        <f>'3_Survival_Probs'!D423</f>
        <v>0.985658158187968</v>
      </c>
      <c r="E423" s="6">
        <f>'3_Survival_Probs'!D424</f>
        <v>0.985601140861718</v>
      </c>
      <c r="F423" s="8">
        <f t="shared" si="15"/>
        <v>5.7017326249853e-5</v>
      </c>
      <c r="G423" s="29">
        <f>(1-recovery)*notional*C423*F423</f>
        <v>330.482271477761</v>
      </c>
      <c r="H423" s="8">
        <f t="shared" si="14"/>
        <v>8.4506882204359e-6</v>
      </c>
      <c r="I423" s="30"/>
    </row>
    <row r="424" spans="1:9">
      <c r="A424" s="10">
        <v>422</v>
      </c>
      <c r="B424" s="12">
        <f>'2_Discount_Factors'!B425</f>
        <v>1.15616438356164</v>
      </c>
      <c r="C424" s="12">
        <f>EXP(-r_free*(('2_Discount_Factors'!B424+'2_Discount_Factors'!B425)/2))</f>
        <v>0.965949391767688</v>
      </c>
      <c r="D424" s="12">
        <f>'3_Survival_Probs'!D424</f>
        <v>0.985601140861718</v>
      </c>
      <c r="E424" s="12">
        <f>'3_Survival_Probs'!D425</f>
        <v>0.985544126833747</v>
      </c>
      <c r="F424" s="14">
        <f t="shared" si="15"/>
        <v>5.70140279708697e-5</v>
      </c>
      <c r="G424" s="32">
        <f>(1-recovery)*notional*C424*F424</f>
        <v>330.435993844126</v>
      </c>
      <c r="H424" s="14">
        <f t="shared" si="14"/>
        <v>8.6003888808745e-6</v>
      </c>
      <c r="I424" s="33"/>
    </row>
    <row r="425" spans="1:9">
      <c r="A425" s="4">
        <v>423</v>
      </c>
      <c r="B425" s="6">
        <f>'2_Discount_Factors'!B426</f>
        <v>1.15890410958904</v>
      </c>
      <c r="C425" s="6">
        <f>EXP(-r_free*(('2_Discount_Factors'!B425+'2_Discount_Factors'!B426)/2))</f>
        <v>0.965870001929636</v>
      </c>
      <c r="D425" s="6">
        <f>'3_Survival_Probs'!D425</f>
        <v>0.985544126833747</v>
      </c>
      <c r="E425" s="6">
        <f>'3_Survival_Probs'!D426</f>
        <v>0.985487116103864</v>
      </c>
      <c r="F425" s="8">
        <f t="shared" si="15"/>
        <v>5.70107298828448e-5</v>
      </c>
      <c r="G425" s="29">
        <f>(1-recovery)*notional*C425*F425</f>
        <v>330.38972269172</v>
      </c>
      <c r="H425" s="8">
        <f t="shared" si="14"/>
        <v>8.75004745028299e-6</v>
      </c>
      <c r="I425" s="30"/>
    </row>
    <row r="426" spans="1:9">
      <c r="A426" s="10">
        <v>424</v>
      </c>
      <c r="B426" s="12">
        <f>'2_Discount_Factors'!B427</f>
        <v>1.16164383561644</v>
      </c>
      <c r="C426" s="12">
        <f>EXP(-r_free*(('2_Discount_Factors'!B426+'2_Discount_Factors'!B427)/2))</f>
        <v>0.965790618616507</v>
      </c>
      <c r="D426" s="12">
        <f>'3_Survival_Probs'!D426</f>
        <v>0.985487116103864</v>
      </c>
      <c r="E426" s="12">
        <f>'3_Survival_Probs'!D427</f>
        <v>0.985430108671878</v>
      </c>
      <c r="F426" s="14">
        <f t="shared" si="15"/>
        <v>5.70074319855562e-5</v>
      </c>
      <c r="G426" s="32">
        <f>(1-recovery)*notional*C426*F426</f>
        <v>330.343458018413</v>
      </c>
      <c r="H426" s="14">
        <f t="shared" si="14"/>
        <v>8.89966393748235e-6</v>
      </c>
      <c r="I426" s="33"/>
    </row>
    <row r="427" spans="1:9">
      <c r="A427" s="4">
        <v>425</v>
      </c>
      <c r="B427" s="6">
        <f>'2_Discount_Factors'!B428</f>
        <v>1.16438356164384</v>
      </c>
      <c r="C427" s="6">
        <f>EXP(-r_free*(('2_Discount_Factors'!B427+'2_Discount_Factors'!B428)/2))</f>
        <v>0.965711241827767</v>
      </c>
      <c r="D427" s="6">
        <f>'3_Survival_Probs'!D427</f>
        <v>0.985430108671878</v>
      </c>
      <c r="E427" s="6">
        <f>'3_Survival_Probs'!D428</f>
        <v>0.985373104537599</v>
      </c>
      <c r="F427" s="8">
        <f t="shared" si="15"/>
        <v>5.7004134279004e-5</v>
      </c>
      <c r="G427" s="29">
        <f>(1-recovery)*notional*C427*F427</f>
        <v>330.297199823362</v>
      </c>
      <c r="H427" s="8">
        <f t="shared" si="14"/>
        <v>9.04923835132499e-6</v>
      </c>
      <c r="I427" s="30"/>
    </row>
    <row r="428" spans="1:9">
      <c r="A428" s="10">
        <v>426</v>
      </c>
      <c r="B428" s="12">
        <f>'2_Discount_Factors'!B429</f>
        <v>1.16712328767123</v>
      </c>
      <c r="C428" s="12">
        <f>EXP(-r_free*(('2_Discount_Factors'!B428+'2_Discount_Factors'!B429)/2))</f>
        <v>0.965631871562877</v>
      </c>
      <c r="D428" s="12">
        <f>'3_Survival_Probs'!D428</f>
        <v>0.985373104537599</v>
      </c>
      <c r="E428" s="12">
        <f>'3_Survival_Probs'!D429</f>
        <v>0.985316103700836</v>
      </c>
      <c r="F428" s="14">
        <f t="shared" si="15"/>
        <v>5.7000836763188e-5</v>
      </c>
      <c r="G428" s="32">
        <f>(1-recovery)*notional*C428*F428</f>
        <v>330.250948105724</v>
      </c>
      <c r="H428" s="14">
        <f t="shared" si="14"/>
        <v>9.19877070066172e-6</v>
      </c>
      <c r="I428" s="33"/>
    </row>
    <row r="429" spans="1:9">
      <c r="A429" s="4">
        <v>427</v>
      </c>
      <c r="B429" s="6">
        <f>'2_Discount_Factors'!B430</f>
        <v>1.16986301369863</v>
      </c>
      <c r="C429" s="6">
        <f>EXP(-r_free*(('2_Discount_Factors'!B429+'2_Discount_Factors'!B430)/2))</f>
        <v>0.965552507821304</v>
      </c>
      <c r="D429" s="6">
        <f>'3_Survival_Probs'!D429</f>
        <v>0.985316103700836</v>
      </c>
      <c r="E429" s="6">
        <f>'3_Survival_Probs'!D430</f>
        <v>0.985259106161398</v>
      </c>
      <c r="F429" s="8">
        <f t="shared" si="15"/>
        <v>5.69975394382194e-5</v>
      </c>
      <c r="G429" s="29">
        <f>(1-recovery)*notional*C429*F429</f>
        <v>330.204702865298</v>
      </c>
      <c r="H429" s="8">
        <f t="shared" si="14"/>
        <v>9.34826099436004e-6</v>
      </c>
      <c r="I429" s="30"/>
    </row>
    <row r="430" spans="1:9">
      <c r="A430" s="10">
        <v>428</v>
      </c>
      <c r="B430" s="12">
        <f>'2_Discount_Factors'!B431</f>
        <v>1.17260273972603</v>
      </c>
      <c r="C430" s="12">
        <f>EXP(-r_free*(('2_Discount_Factors'!B430+'2_Discount_Factors'!B431)/2))</f>
        <v>0.965473150602509</v>
      </c>
      <c r="D430" s="12">
        <f>'3_Survival_Probs'!D430</f>
        <v>0.985259106161398</v>
      </c>
      <c r="E430" s="12">
        <f>'3_Survival_Probs'!D431</f>
        <v>0.985202111919094</v>
      </c>
      <c r="F430" s="14">
        <f t="shared" si="15"/>
        <v>5.69942423038761e-5</v>
      </c>
      <c r="G430" s="32">
        <f>(1-recovery)*notional*C430*F430</f>
        <v>330.158464099956</v>
      </c>
      <c r="H430" s="14">
        <f t="shared" si="14"/>
        <v>9.49770924123162e-6</v>
      </c>
      <c r="I430" s="33"/>
    </row>
    <row r="431" spans="1:9">
      <c r="A431" s="4">
        <v>429</v>
      </c>
      <c r="B431" s="6">
        <f>'2_Discount_Factors'!B432</f>
        <v>1.17534246575342</v>
      </c>
      <c r="C431" s="6">
        <f>EXP(-r_free*(('2_Discount_Factors'!B431+'2_Discount_Factors'!B432)/2))</f>
        <v>0.965393799905957</v>
      </c>
      <c r="D431" s="6">
        <f>'3_Survival_Probs'!D431</f>
        <v>0.985202111919094</v>
      </c>
      <c r="E431" s="6">
        <f>'3_Survival_Probs'!D432</f>
        <v>0.985145120973734</v>
      </c>
      <c r="F431" s="8">
        <f t="shared" si="15"/>
        <v>5.69909453603801e-5</v>
      </c>
      <c r="G431" s="29">
        <f>(1-recovery)*notional*C431*F431</f>
        <v>330.112231810141</v>
      </c>
      <c r="H431" s="8">
        <f t="shared" si="14"/>
        <v>9.64711545015936e-6</v>
      </c>
      <c r="I431" s="30"/>
    </row>
    <row r="432" spans="1:9">
      <c r="A432" s="10">
        <v>430</v>
      </c>
      <c r="B432" s="12">
        <f>'2_Discount_Factors'!B433</f>
        <v>1.17808219178082</v>
      </c>
      <c r="C432" s="12">
        <f>EXP(-r_free*(('2_Discount_Factors'!B432+'2_Discount_Factors'!B433)/2))</f>
        <v>0.965314455731113</v>
      </c>
      <c r="D432" s="12">
        <f>'3_Survival_Probs'!D432</f>
        <v>0.985145120973734</v>
      </c>
      <c r="E432" s="12">
        <f>'3_Survival_Probs'!D433</f>
        <v>0.985088133325126</v>
      </c>
      <c r="F432" s="14">
        <f t="shared" si="15"/>
        <v>5.69876486075094e-5</v>
      </c>
      <c r="G432" s="32">
        <f>(1-recovery)*notional*C432*F432</f>
        <v>330.066005993723</v>
      </c>
      <c r="H432" s="14">
        <f t="shared" ref="H432:H458" si="16">C432*(B432-1)*F432</f>
        <v>9.79647962995068e-6</v>
      </c>
      <c r="I432" s="33"/>
    </row>
    <row r="433" spans="1:9">
      <c r="A433" s="4">
        <v>431</v>
      </c>
      <c r="B433" s="6">
        <f>'2_Discount_Factors'!B434</f>
        <v>1.18082191780822</v>
      </c>
      <c r="C433" s="6">
        <f>EXP(-r_free*(('2_Discount_Factors'!B433+'2_Discount_Factors'!B434)/2))</f>
        <v>0.965235118077439</v>
      </c>
      <c r="D433" s="6">
        <f>'3_Survival_Probs'!D433</f>
        <v>0.985088133325126</v>
      </c>
      <c r="E433" s="6">
        <f>'3_Survival_Probs'!D434</f>
        <v>0.985031148973081</v>
      </c>
      <c r="F433" s="8">
        <f t="shared" si="15"/>
        <v>5.6984352045375e-5</v>
      </c>
      <c r="G433" s="29">
        <f>(1-recovery)*notional*C433*F433</f>
        <v>330.019786650503</v>
      </c>
      <c r="H433" s="8">
        <f t="shared" si="16"/>
        <v>9.94580178946722e-6</v>
      </c>
      <c r="I433" s="30"/>
    </row>
    <row r="434" spans="1:9">
      <c r="A434" s="10">
        <v>432</v>
      </c>
      <c r="B434" s="12">
        <f>'2_Discount_Factors'!B435</f>
        <v>1.18356164383562</v>
      </c>
      <c r="C434" s="12">
        <f>EXP(-r_free*(('2_Discount_Factors'!B434+'2_Discount_Factors'!B435)/2))</f>
        <v>0.965155786944401</v>
      </c>
      <c r="D434" s="12">
        <f>'3_Survival_Probs'!D434</f>
        <v>0.985031148973081</v>
      </c>
      <c r="E434" s="12">
        <f>'3_Survival_Probs'!D435</f>
        <v>0.984974167917407</v>
      </c>
      <c r="F434" s="14">
        <f t="shared" si="15"/>
        <v>5.69810556739769e-5</v>
      </c>
      <c r="G434" s="32">
        <f>(1-recovery)*notional*C434*F434</f>
        <v>329.97357377964</v>
      </c>
      <c r="H434" s="14">
        <f t="shared" si="16"/>
        <v>1.00950819375506e-5</v>
      </c>
      <c r="I434" s="33"/>
    </row>
    <row r="435" spans="1:9">
      <c r="A435" s="4">
        <v>433</v>
      </c>
      <c r="B435" s="6">
        <f>'2_Discount_Factors'!B436</f>
        <v>1.18630136986301</v>
      </c>
      <c r="C435" s="6">
        <f>EXP(-r_free*(('2_Discount_Factors'!B435+'2_Discount_Factors'!B436)/2))</f>
        <v>0.965076462331462</v>
      </c>
      <c r="D435" s="6">
        <f>'3_Survival_Probs'!D435</f>
        <v>0.984974167917407</v>
      </c>
      <c r="E435" s="6">
        <f>'3_Survival_Probs'!D436</f>
        <v>0.984917190157914</v>
      </c>
      <c r="F435" s="8">
        <f t="shared" si="15"/>
        <v>5.69777594932042e-5</v>
      </c>
      <c r="G435" s="29">
        <f>(1-recovery)*notional*C435*F435</f>
        <v>329.927367379646</v>
      </c>
      <c r="H435" s="8">
        <f t="shared" si="16"/>
        <v>1.0244320083021e-5</v>
      </c>
      <c r="I435" s="30"/>
    </row>
    <row r="436" spans="1:9">
      <c r="A436" s="10">
        <v>434</v>
      </c>
      <c r="B436" s="12">
        <f>'2_Discount_Factors'!B437</f>
        <v>1.18904109589041</v>
      </c>
      <c r="C436" s="12">
        <f>EXP(-r_free*(('2_Discount_Factors'!B436+'2_Discount_Factors'!B437)/2))</f>
        <v>0.964997144238086</v>
      </c>
      <c r="D436" s="12">
        <f>'3_Survival_Probs'!D436</f>
        <v>0.984917190157914</v>
      </c>
      <c r="E436" s="12">
        <f>'3_Survival_Probs'!D437</f>
        <v>0.984860215694411</v>
      </c>
      <c r="F436" s="14">
        <f t="shared" si="15"/>
        <v>5.69744635031677e-5</v>
      </c>
      <c r="G436" s="32">
        <f>(1-recovery)*notional*C436*F436</f>
        <v>329.881167450323</v>
      </c>
      <c r="H436" s="14">
        <f t="shared" si="16"/>
        <v>1.03935162347362e-5</v>
      </c>
      <c r="I436" s="33"/>
    </row>
    <row r="437" spans="1:9">
      <c r="A437" s="4">
        <v>435</v>
      </c>
      <c r="B437" s="6">
        <f>'2_Discount_Factors'!B438</f>
        <v>1.19178082191781</v>
      </c>
      <c r="C437" s="6">
        <f>EXP(-r_free*(('2_Discount_Factors'!B437+'2_Discount_Factors'!B438)/2))</f>
        <v>0.964917832663737</v>
      </c>
      <c r="D437" s="6">
        <f>'3_Survival_Probs'!D437</f>
        <v>0.984860215694411</v>
      </c>
      <c r="E437" s="6">
        <f>'3_Survival_Probs'!D438</f>
        <v>0.984803244526707</v>
      </c>
      <c r="F437" s="8">
        <f t="shared" si="15"/>
        <v>5.69711677037565e-5</v>
      </c>
      <c r="G437" s="29">
        <f>(1-recovery)*notional*C437*F437</f>
        <v>329.834973990186</v>
      </c>
      <c r="H437" s="8">
        <f t="shared" si="16"/>
        <v>1.05426704015128e-5</v>
      </c>
      <c r="I437" s="30"/>
    </row>
    <row r="438" spans="1:9">
      <c r="A438" s="10">
        <v>436</v>
      </c>
      <c r="B438" s="12">
        <f>'2_Discount_Factors'!B439</f>
        <v>1.19452054794521</v>
      </c>
      <c r="C438" s="12">
        <f>EXP(-r_free*(('2_Discount_Factors'!B438+'2_Discount_Factors'!B439)/2))</f>
        <v>0.96483852760788</v>
      </c>
      <c r="D438" s="12">
        <f>'3_Survival_Probs'!D438</f>
        <v>0.984803244526707</v>
      </c>
      <c r="E438" s="12">
        <f>'3_Survival_Probs'!D439</f>
        <v>0.984746276654612</v>
      </c>
      <c r="F438" s="14">
        <f t="shared" si="15"/>
        <v>5.69678720949707e-5</v>
      </c>
      <c r="G438" s="32">
        <f>(1-recovery)*notional*C438*F438</f>
        <v>329.788786998393</v>
      </c>
      <c r="H438" s="14">
        <f t="shared" si="16"/>
        <v>1.06917825921854e-5</v>
      </c>
      <c r="I438" s="33"/>
    </row>
    <row r="439" spans="1:9">
      <c r="A439" s="4">
        <v>437</v>
      </c>
      <c r="B439" s="6">
        <f>'2_Discount_Factors'!B440</f>
        <v>1.1972602739726</v>
      </c>
      <c r="C439" s="6">
        <f>EXP(-r_free*(('2_Discount_Factors'!B439+'2_Discount_Factors'!B440)/2))</f>
        <v>0.964759229069979</v>
      </c>
      <c r="D439" s="6">
        <f>'3_Survival_Probs'!D439</f>
        <v>0.984746276654612</v>
      </c>
      <c r="E439" s="6">
        <f>'3_Survival_Probs'!D440</f>
        <v>0.984689312077935</v>
      </c>
      <c r="F439" s="8">
        <f t="shared" si="15"/>
        <v>5.69645766769211e-5</v>
      </c>
      <c r="G439" s="29">
        <f>(1-recovery)*notional*C439*F439</f>
        <v>329.742606474745</v>
      </c>
      <c r="H439" s="8">
        <f t="shared" si="16"/>
        <v>1.08408528156081e-5</v>
      </c>
      <c r="I439" s="30"/>
    </row>
    <row r="440" spans="1:9">
      <c r="A440" s="10">
        <v>438</v>
      </c>
      <c r="B440" s="12">
        <f>'2_Discount_Factors'!B441</f>
        <v>1.2</v>
      </c>
      <c r="C440" s="12">
        <f>EXP(-r_free*(('2_Discount_Factors'!B440+'2_Discount_Factors'!B441)/2))</f>
        <v>0.964679937049498</v>
      </c>
      <c r="D440" s="12">
        <f>'3_Survival_Probs'!D440</f>
        <v>0.984689312077935</v>
      </c>
      <c r="E440" s="12">
        <f>'3_Survival_Probs'!D441</f>
        <v>0.984632350796485</v>
      </c>
      <c r="F440" s="14">
        <f t="shared" si="15"/>
        <v>5.69612814493858e-5</v>
      </c>
      <c r="G440" s="32">
        <f>(1-recovery)*notional*C440*F440</f>
        <v>329.696432417114</v>
      </c>
      <c r="H440" s="14">
        <f t="shared" si="16"/>
        <v>1.09898810805705e-5</v>
      </c>
      <c r="I440" s="33"/>
    </row>
    <row r="441" spans="1:9">
      <c r="A441" s="4">
        <v>439</v>
      </c>
      <c r="B441" s="6">
        <f>'2_Discount_Factors'!B442</f>
        <v>1.2027397260274</v>
      </c>
      <c r="C441" s="6">
        <f>EXP(-r_free*(('2_Discount_Factors'!B441+'2_Discount_Factors'!B442)/2))</f>
        <v>0.964600651545902</v>
      </c>
      <c r="D441" s="6">
        <f>'3_Survival_Probs'!D441</f>
        <v>0.984632350796485</v>
      </c>
      <c r="E441" s="6">
        <f>'3_Survival_Probs'!D442</f>
        <v>0.984575392810073</v>
      </c>
      <c r="F441" s="8">
        <f t="shared" si="15"/>
        <v>5.69579864125869e-5</v>
      </c>
      <c r="G441" s="29">
        <f>(1-recovery)*notional*C441*F441</f>
        <v>329.650264825944</v>
      </c>
      <c r="H441" s="8">
        <f t="shared" si="16"/>
        <v>1.11388673959451e-5</v>
      </c>
      <c r="I441" s="30"/>
    </row>
    <row r="442" spans="1:9">
      <c r="A442" s="10">
        <v>440</v>
      </c>
      <c r="B442" s="12">
        <f>'2_Discount_Factors'!B443</f>
        <v>1.20547945205479</v>
      </c>
      <c r="C442" s="12">
        <f>EXP(-r_free*(('2_Discount_Factors'!B442+'2_Discount_Factors'!B443)/2))</f>
        <v>0.964521372558655</v>
      </c>
      <c r="D442" s="12">
        <f>'3_Survival_Probs'!D442</f>
        <v>0.984575392810073</v>
      </c>
      <c r="E442" s="12">
        <f>'3_Survival_Probs'!D443</f>
        <v>0.984518438118507</v>
      </c>
      <c r="F442" s="14">
        <f t="shared" si="15"/>
        <v>5.69546915663022e-5</v>
      </c>
      <c r="G442" s="32">
        <f>(1-recovery)*notional*C442*F442</f>
        <v>329.604103699108</v>
      </c>
      <c r="H442" s="14">
        <f t="shared" si="16"/>
        <v>1.12878117705174e-5</v>
      </c>
      <c r="I442" s="33"/>
    </row>
    <row r="443" spans="1:9">
      <c r="A443" s="4">
        <v>441</v>
      </c>
      <c r="B443" s="6">
        <f>'2_Discount_Factors'!B444</f>
        <v>1.20821917808219</v>
      </c>
      <c r="C443" s="6">
        <f>EXP(-r_free*(('2_Discount_Factors'!B443+'2_Discount_Factors'!B444)/2))</f>
        <v>0.964442100087221</v>
      </c>
      <c r="D443" s="6">
        <f>'3_Survival_Probs'!D443</f>
        <v>0.984518438118507</v>
      </c>
      <c r="E443" s="6">
        <f>'3_Survival_Probs'!D444</f>
        <v>0.984461486721596</v>
      </c>
      <c r="F443" s="8">
        <f t="shared" si="15"/>
        <v>5.69513969106428e-5</v>
      </c>
      <c r="G443" s="29">
        <f>(1-recovery)*notional*C443*F443</f>
        <v>329.557949036407</v>
      </c>
      <c r="H443" s="8">
        <f t="shared" si="16"/>
        <v>1.14367142131356e-5</v>
      </c>
      <c r="I443" s="30"/>
    </row>
    <row r="444" spans="1:9">
      <c r="A444" s="10">
        <v>442</v>
      </c>
      <c r="B444" s="12">
        <f>'2_Discount_Factors'!B445</f>
        <v>1.21095890410959</v>
      </c>
      <c r="C444" s="12">
        <f>EXP(-r_free*(('2_Discount_Factors'!B444+'2_Discount_Factors'!B445)/2))</f>
        <v>0.964362834131064</v>
      </c>
      <c r="D444" s="12">
        <f>'3_Survival_Probs'!D444</f>
        <v>0.984461486721596</v>
      </c>
      <c r="E444" s="12">
        <f>'3_Survival_Probs'!D445</f>
        <v>0.98440453861915</v>
      </c>
      <c r="F444" s="14">
        <f t="shared" si="15"/>
        <v>5.69481024454976e-5</v>
      </c>
      <c r="G444" s="32">
        <f>(1-recovery)*notional*C444*F444</f>
        <v>329.511800836358</v>
      </c>
      <c r="H444" s="14">
        <f t="shared" si="16"/>
        <v>1.15855747326025e-5</v>
      </c>
      <c r="I444" s="33"/>
    </row>
    <row r="445" spans="1:9">
      <c r="A445" s="4">
        <v>443</v>
      </c>
      <c r="B445" s="6">
        <f>'2_Discount_Factors'!B446</f>
        <v>1.21369863013699</v>
      </c>
      <c r="C445" s="6">
        <f>EXP(-r_free*(('2_Discount_Factors'!B445+'2_Discount_Factors'!B446)/2))</f>
        <v>0.964283574689651</v>
      </c>
      <c r="D445" s="6">
        <f>'3_Survival_Probs'!D445</f>
        <v>0.98440453861915</v>
      </c>
      <c r="E445" s="6">
        <f>'3_Survival_Probs'!D446</f>
        <v>0.984347593810979</v>
      </c>
      <c r="F445" s="8">
        <f t="shared" si="15"/>
        <v>5.69448081710888e-5</v>
      </c>
      <c r="G445" s="29">
        <f>(1-recovery)*notional*C445*F445</f>
        <v>329.465659099404</v>
      </c>
      <c r="H445" s="8">
        <f t="shared" si="16"/>
        <v>1.1734393337787e-5</v>
      </c>
      <c r="I445" s="30"/>
    </row>
    <row r="446" spans="1:9">
      <c r="A446" s="10">
        <v>444</v>
      </c>
      <c r="B446" s="12">
        <f>'2_Discount_Factors'!B447</f>
        <v>1.21643835616438</v>
      </c>
      <c r="C446" s="12">
        <f>EXP(-r_free*(('2_Discount_Factors'!B446+'2_Discount_Factors'!B447)/2))</f>
        <v>0.964204321762444</v>
      </c>
      <c r="D446" s="12">
        <f>'3_Survival_Probs'!D446</f>
        <v>0.984347593810979</v>
      </c>
      <c r="E446" s="12">
        <f>'3_Survival_Probs'!D447</f>
        <v>0.984290652296892</v>
      </c>
      <c r="F446" s="14">
        <f t="shared" si="15"/>
        <v>5.69415140870833e-5</v>
      </c>
      <c r="G446" s="32">
        <f>(1-recovery)*notional*C446*F446</f>
        <v>329.419523822777</v>
      </c>
      <c r="H446" s="14">
        <f t="shared" si="16"/>
        <v>1.18831700374426e-5</v>
      </c>
      <c r="I446" s="33"/>
    </row>
    <row r="447" spans="1:9">
      <c r="A447" s="4">
        <v>445</v>
      </c>
      <c r="B447" s="6">
        <f>'2_Discount_Factors'!B448</f>
        <v>1.21917808219178</v>
      </c>
      <c r="C447" s="6">
        <f>EXP(-r_free*(('2_Discount_Factors'!B447+'2_Discount_Factors'!B448)/2))</f>
        <v>0.964125075348909</v>
      </c>
      <c r="D447" s="6">
        <f>'3_Survival_Probs'!D447</f>
        <v>0.984290652296892</v>
      </c>
      <c r="E447" s="6">
        <f>'3_Survival_Probs'!D448</f>
        <v>0.984233714076699</v>
      </c>
      <c r="F447" s="8">
        <f t="shared" si="15"/>
        <v>5.6938220193703e-5</v>
      </c>
      <c r="G447" s="29">
        <f>(1-recovery)*notional*C447*F447</f>
        <v>329.37339500692</v>
      </c>
      <c r="H447" s="8">
        <f t="shared" si="16"/>
        <v>1.20319048404354e-5</v>
      </c>
      <c r="I447" s="30"/>
    </row>
    <row r="448" spans="1:9">
      <c r="A448" s="10">
        <v>446</v>
      </c>
      <c r="B448" s="12">
        <f>'2_Discount_Factors'!B449</f>
        <v>1.22191780821918</v>
      </c>
      <c r="C448" s="12">
        <f>EXP(-r_free*(('2_Discount_Factors'!B448+'2_Discount_Factors'!B449)/2))</f>
        <v>0.96404583544851</v>
      </c>
      <c r="D448" s="12">
        <f>'3_Survival_Probs'!D448</f>
        <v>0.984233714076699</v>
      </c>
      <c r="E448" s="12">
        <f>'3_Survival_Probs'!D449</f>
        <v>0.984176779150208</v>
      </c>
      <c r="F448" s="14">
        <f t="shared" si="15"/>
        <v>5.6934926490837e-5</v>
      </c>
      <c r="G448" s="32">
        <f>(1-recovery)*notional*C448*F448</f>
        <v>329.32727265035</v>
      </c>
      <c r="H448" s="14">
        <f t="shared" si="16"/>
        <v>1.21805977555609e-5</v>
      </c>
      <c r="I448" s="33"/>
    </row>
    <row r="449" spans="1:9">
      <c r="A449" s="4">
        <v>447</v>
      </c>
      <c r="B449" s="6">
        <f>'2_Discount_Factors'!B450</f>
        <v>1.22465753424658</v>
      </c>
      <c r="C449" s="6">
        <f>EXP(-r_free*(('2_Discount_Factors'!B449+'2_Discount_Factors'!B450)/2))</f>
        <v>0.963966602060711</v>
      </c>
      <c r="D449" s="6">
        <f>'3_Survival_Probs'!D449</f>
        <v>0.984176779150208</v>
      </c>
      <c r="E449" s="6">
        <f>'3_Survival_Probs'!D450</f>
        <v>0.984119847517229</v>
      </c>
      <c r="F449" s="8">
        <f t="shared" si="15"/>
        <v>5.69316329785963e-5</v>
      </c>
      <c r="G449" s="29">
        <f>(1-recovery)*notional*C449*F449</f>
        <v>329.28115675287</v>
      </c>
      <c r="H449" s="8">
        <f t="shared" si="16"/>
        <v>1.232924879166e-5</v>
      </c>
      <c r="I449" s="30"/>
    </row>
    <row r="450" spans="1:9">
      <c r="A450" s="10">
        <v>448</v>
      </c>
      <c r="B450" s="12">
        <f>'2_Discount_Factors'!B451</f>
        <v>1.22739726027397</v>
      </c>
      <c r="C450" s="12">
        <f>EXP(-r_free*(('2_Discount_Factors'!B450+'2_Discount_Factors'!B451)/2))</f>
        <v>0.963887375184979</v>
      </c>
      <c r="D450" s="12">
        <f>'3_Survival_Probs'!D450</f>
        <v>0.984119847517229</v>
      </c>
      <c r="E450" s="12">
        <f>'3_Survival_Probs'!D451</f>
        <v>0.984062919177572</v>
      </c>
      <c r="F450" s="14">
        <f t="shared" si="15"/>
        <v>5.69283396567588e-5</v>
      </c>
      <c r="G450" s="32">
        <f>(1-recovery)*notional*C450*F450</f>
        <v>329.235047312353</v>
      </c>
      <c r="H450" s="14">
        <f t="shared" si="16"/>
        <v>1.24778579575001e-5</v>
      </c>
      <c r="I450" s="33"/>
    </row>
    <row r="451" spans="1:9">
      <c r="A451" s="4">
        <v>449</v>
      </c>
      <c r="B451" s="6">
        <f>'2_Discount_Factors'!B452</f>
        <v>1.23013698630137</v>
      </c>
      <c r="C451" s="6">
        <f>EXP(-r_free*(('2_Discount_Factors'!B451+'2_Discount_Factors'!B452)/2))</f>
        <v>0.963808154820776</v>
      </c>
      <c r="D451" s="6">
        <f>'3_Survival_Probs'!D451</f>
        <v>0.984062919177572</v>
      </c>
      <c r="E451" s="6">
        <f>'3_Survival_Probs'!D452</f>
        <v>0.984005994131047</v>
      </c>
      <c r="F451" s="8">
        <f t="shared" ref="F451:F514" si="17">D451-E451</f>
        <v>5.69250465255466e-5</v>
      </c>
      <c r="G451" s="29">
        <f>(1-recovery)*notional*C451*F451</f>
        <v>329.188944329244</v>
      </c>
      <c r="H451" s="8">
        <f t="shared" si="16"/>
        <v>1.26264252619436e-5</v>
      </c>
      <c r="I451" s="30"/>
    </row>
    <row r="452" spans="1:9">
      <c r="A452" s="10">
        <v>450</v>
      </c>
      <c r="B452" s="12">
        <f>'2_Discount_Factors'!B453</f>
        <v>1.23287671232877</v>
      </c>
      <c r="C452" s="12">
        <f>EXP(-r_free*(('2_Discount_Factors'!B452+'2_Discount_Factors'!B453)/2))</f>
        <v>0.963728940967569</v>
      </c>
      <c r="D452" s="12">
        <f>'3_Survival_Probs'!D452</f>
        <v>0.984005994131047</v>
      </c>
      <c r="E452" s="12">
        <f>'3_Survival_Probs'!D453</f>
        <v>0.983949072377462</v>
      </c>
      <c r="F452" s="14">
        <f t="shared" si="17"/>
        <v>5.69217535847377e-5</v>
      </c>
      <c r="G452" s="32">
        <f>(1-recovery)*notional*C452*F452</f>
        <v>329.142847801417</v>
      </c>
      <c r="H452" s="14">
        <f t="shared" si="16"/>
        <v>1.27749507137536e-5</v>
      </c>
      <c r="I452" s="33"/>
    </row>
    <row r="453" spans="1:9">
      <c r="A453" s="4">
        <v>451</v>
      </c>
      <c r="B453" s="6">
        <f>'2_Discount_Factors'!B454</f>
        <v>1.23561643835616</v>
      </c>
      <c r="C453" s="6">
        <f>EXP(-r_free*(('2_Discount_Factors'!B453+'2_Discount_Factors'!B454)/2))</f>
        <v>0.963649733624823</v>
      </c>
      <c r="D453" s="6">
        <f>'3_Survival_Probs'!D453</f>
        <v>0.983949072377462</v>
      </c>
      <c r="E453" s="6">
        <f>'3_Survival_Probs'!D454</f>
        <v>0.983892153916628</v>
      </c>
      <c r="F453" s="8">
        <f t="shared" si="17"/>
        <v>5.69184608344431e-5</v>
      </c>
      <c r="G453" s="29">
        <f>(1-recovery)*notional*C453*F453</f>
        <v>329.096757728676</v>
      </c>
      <c r="H453" s="8">
        <f t="shared" si="16"/>
        <v>1.29234343217653e-5</v>
      </c>
      <c r="I453" s="30"/>
    </row>
    <row r="454" spans="1:9">
      <c r="A454" s="10">
        <v>452</v>
      </c>
      <c r="B454" s="12">
        <f>'2_Discount_Factors'!B455</f>
        <v>1.23835616438356</v>
      </c>
      <c r="C454" s="12">
        <f>EXP(-r_free*(('2_Discount_Factors'!B454+'2_Discount_Factors'!B455)/2))</f>
        <v>0.963570532792001</v>
      </c>
      <c r="D454" s="12">
        <f>'3_Survival_Probs'!D454</f>
        <v>0.983892153916628</v>
      </c>
      <c r="E454" s="12">
        <f>'3_Survival_Probs'!D455</f>
        <v>0.983835238748353</v>
      </c>
      <c r="F454" s="14">
        <f t="shared" si="17"/>
        <v>5.69151682745517e-5</v>
      </c>
      <c r="G454" s="32">
        <f>(1-recovery)*notional*C454*F454</f>
        <v>329.050674109537</v>
      </c>
      <c r="H454" s="14">
        <f t="shared" si="16"/>
        <v>1.30718760947624e-5</v>
      </c>
      <c r="I454" s="33"/>
    </row>
    <row r="455" spans="1:9">
      <c r="A455" s="4">
        <v>453</v>
      </c>
      <c r="B455" s="6">
        <f>'2_Discount_Factors'!B456</f>
        <v>1.24109589041096</v>
      </c>
      <c r="C455" s="6">
        <f>EXP(-r_free*(('2_Discount_Factors'!B455+'2_Discount_Factors'!B456)/2))</f>
        <v>0.963491338468569</v>
      </c>
      <c r="D455" s="6">
        <f>'3_Survival_Probs'!D455</f>
        <v>0.983835238748353</v>
      </c>
      <c r="E455" s="6">
        <f>'3_Survival_Probs'!D456</f>
        <v>0.983778326872448</v>
      </c>
      <c r="F455" s="8">
        <f t="shared" si="17"/>
        <v>5.69118759052856e-5</v>
      </c>
      <c r="G455" s="29">
        <f>(1-recovery)*notional*C455*F455</f>
        <v>329.004596944444</v>
      </c>
      <c r="H455" s="8">
        <f t="shared" si="16"/>
        <v>1.32202760416032e-5</v>
      </c>
      <c r="I455" s="30"/>
    </row>
    <row r="456" spans="1:9">
      <c r="A456" s="10">
        <v>454</v>
      </c>
      <c r="B456" s="12">
        <f>'2_Discount_Factors'!B457</f>
        <v>1.24383561643836</v>
      </c>
      <c r="C456" s="12">
        <f>EXP(-r_free*(('2_Discount_Factors'!B456+'2_Discount_Factors'!B457)/2))</f>
        <v>0.963412150653992</v>
      </c>
      <c r="D456" s="12">
        <f>'3_Survival_Probs'!D456</f>
        <v>0.983778326872448</v>
      </c>
      <c r="E456" s="12">
        <f>'3_Survival_Probs'!D457</f>
        <v>0.983721418288722</v>
      </c>
      <c r="F456" s="14">
        <f t="shared" si="17"/>
        <v>5.69085837263117e-5</v>
      </c>
      <c r="G456" s="32">
        <f>(1-recovery)*notional*C456*F456</f>
        <v>328.958526230632</v>
      </c>
      <c r="H456" s="14">
        <f t="shared" si="16"/>
        <v>1.33686341710166e-5</v>
      </c>
      <c r="I456" s="33"/>
    </row>
    <row r="457" spans="1:9">
      <c r="A457" s="4">
        <v>455</v>
      </c>
      <c r="B457" s="6">
        <f>'2_Discount_Factors'!B458</f>
        <v>1.24657534246575</v>
      </c>
      <c r="C457" s="6">
        <f>EXP(-r_free*(('2_Discount_Factors'!B457+'2_Discount_Factors'!B458)/2))</f>
        <v>0.963332969347735</v>
      </c>
      <c r="D457" s="6">
        <f>'3_Survival_Probs'!D457</f>
        <v>0.983721418288722</v>
      </c>
      <c r="E457" s="6">
        <f>'3_Survival_Probs'!D458</f>
        <v>0.983664512996984</v>
      </c>
      <c r="F457" s="8">
        <f t="shared" si="17"/>
        <v>5.69052917378521e-5</v>
      </c>
      <c r="G457" s="29">
        <f>(1-recovery)*notional*C457*F457</f>
        <v>328.912461968545</v>
      </c>
      <c r="H457" s="8">
        <f t="shared" si="16"/>
        <v>1.3516950491858e-5</v>
      </c>
      <c r="I457" s="30"/>
    </row>
    <row r="458" spans="1:9">
      <c r="A458" s="34">
        <v>456</v>
      </c>
      <c r="B458" s="35">
        <f>'2_Discount_Factors'!B459</f>
        <v>1.24931506849315</v>
      </c>
      <c r="C458" s="35">
        <f>EXP(-r_free*(('2_Discount_Factors'!B458+'2_Discount_Factors'!B459)/2))</f>
        <v>0.963253794549263</v>
      </c>
      <c r="D458" s="35">
        <f>'3_Survival_Probs'!D458</f>
        <v>0.983664512996984</v>
      </c>
      <c r="E458" s="35">
        <f>'3_Survival_Probs'!D459</f>
        <v>0.983607610997044</v>
      </c>
      <c r="F458" s="36">
        <f t="shared" si="17"/>
        <v>5.69019999397957e-5</v>
      </c>
      <c r="G458" s="37">
        <f>(1-recovery)*notional*C458*F458</f>
        <v>328.866404156701</v>
      </c>
      <c r="H458" s="36">
        <f t="shared" si="16"/>
        <v>1.3665225012904e-5</v>
      </c>
      <c r="I458" s="38" t="s">
        <v>71</v>
      </c>
    </row>
    <row r="459" spans="1:9">
      <c r="A459" s="4">
        <v>457</v>
      </c>
      <c r="B459" s="6">
        <f>'2_Discount_Factors'!B460</f>
        <v>1.25205479452055</v>
      </c>
      <c r="C459" s="6">
        <f>EXP(-r_free*(('2_Discount_Factors'!B459+'2_Discount_Factors'!B460)/2))</f>
        <v>0.963174626258042</v>
      </c>
      <c r="D459" s="6">
        <f>'3_Survival_Probs'!D459</f>
        <v>0.983607610997044</v>
      </c>
      <c r="E459" s="6">
        <f>'3_Survival_Probs'!D460</f>
        <v>0.983550712288712</v>
      </c>
      <c r="F459" s="8">
        <f t="shared" si="17"/>
        <v>5.68987083322536e-5</v>
      </c>
      <c r="G459" s="29">
        <f>(1-recovery)*notional*C459*F459</f>
        <v>328.820352794902</v>
      </c>
      <c r="H459" s="8">
        <f t="shared" ref="H459:H522" si="18">C459*(B459-1.24931506849315)*F459</f>
        <v>1.50146279815066e-7</v>
      </c>
      <c r="I459" s="30"/>
    </row>
    <row r="460" spans="1:9">
      <c r="A460" s="10">
        <v>458</v>
      </c>
      <c r="B460" s="12">
        <f>'2_Discount_Factors'!B461</f>
        <v>1.25479452054795</v>
      </c>
      <c r="C460" s="12">
        <f>EXP(-r_free*(('2_Discount_Factors'!B460+'2_Discount_Factors'!B461)/2))</f>
        <v>0.963095464473536</v>
      </c>
      <c r="D460" s="12">
        <f>'3_Survival_Probs'!D460</f>
        <v>0.983550712288712</v>
      </c>
      <c r="E460" s="12">
        <f>'3_Survival_Probs'!D461</f>
        <v>0.983493816871797</v>
      </c>
      <c r="F460" s="14">
        <f t="shared" si="17"/>
        <v>5.68954169150038e-5</v>
      </c>
      <c r="G460" s="32">
        <f>(1-recovery)*notional*C460*F460</f>
        <v>328.774307881026</v>
      </c>
      <c r="H460" s="14">
        <f t="shared" si="18"/>
        <v>3.00250509480424e-7</v>
      </c>
      <c r="I460" s="33"/>
    </row>
    <row r="461" spans="1:9">
      <c r="A461" s="4">
        <v>459</v>
      </c>
      <c r="B461" s="6">
        <f>'2_Discount_Factors'!B462</f>
        <v>1.25753424657534</v>
      </c>
      <c r="C461" s="6">
        <f>EXP(-r_free*(('2_Discount_Factors'!B461+'2_Discount_Factors'!B462)/2))</f>
        <v>0.96301630919521</v>
      </c>
      <c r="D461" s="6">
        <f>'3_Survival_Probs'!D461</f>
        <v>0.983493816871797</v>
      </c>
      <c r="E461" s="6">
        <f>'3_Survival_Probs'!D462</f>
        <v>0.983436924746108</v>
      </c>
      <c r="F461" s="8">
        <f t="shared" si="17"/>
        <v>5.68921256882682e-5</v>
      </c>
      <c r="G461" s="29">
        <f>(1-recovery)*notional*C461*F461</f>
        <v>328.728269415516</v>
      </c>
      <c r="H461" s="8">
        <f t="shared" si="18"/>
        <v>4.50312697829515e-7</v>
      </c>
      <c r="I461" s="30"/>
    </row>
    <row r="462" spans="1:9">
      <c r="A462" s="10">
        <v>460</v>
      </c>
      <c r="B462" s="12">
        <f>'2_Discount_Factors'!B463</f>
        <v>1.26027397260274</v>
      </c>
      <c r="C462" s="12">
        <f>EXP(-r_free*(('2_Discount_Factors'!B462+'2_Discount_Factors'!B463)/2))</f>
        <v>0.962937160422531</v>
      </c>
      <c r="D462" s="12">
        <f>'3_Survival_Probs'!D462</f>
        <v>0.983436924746108</v>
      </c>
      <c r="E462" s="12">
        <f>'3_Survival_Probs'!D463</f>
        <v>0.983380035911457</v>
      </c>
      <c r="F462" s="14">
        <f t="shared" si="17"/>
        <v>5.68888346518248e-5</v>
      </c>
      <c r="G462" s="32">
        <f>(1-recovery)*notional*C462*F462</f>
        <v>328.68223739625</v>
      </c>
      <c r="H462" s="14">
        <f t="shared" si="18"/>
        <v>6.00332853691816e-7</v>
      </c>
      <c r="I462" s="33"/>
    </row>
    <row r="463" spans="1:9">
      <c r="A463" s="4">
        <v>461</v>
      </c>
      <c r="B463" s="6">
        <f>'2_Discount_Factors'!B464</f>
        <v>1.26301369863014</v>
      </c>
      <c r="C463" s="6">
        <f>EXP(-r_free*(('2_Discount_Factors'!B463+'2_Discount_Factors'!B464)/2))</f>
        <v>0.962858018154963</v>
      </c>
      <c r="D463" s="6">
        <f>'3_Survival_Probs'!D463</f>
        <v>0.983380035911457</v>
      </c>
      <c r="E463" s="6">
        <f>'3_Survival_Probs'!D464</f>
        <v>0.983323150367651</v>
      </c>
      <c r="F463" s="8">
        <f t="shared" si="17"/>
        <v>5.68855438057847e-5</v>
      </c>
      <c r="G463" s="29">
        <f>(1-recovery)*notional*C463*F463</f>
        <v>328.636211823031</v>
      </c>
      <c r="H463" s="8">
        <f t="shared" si="18"/>
        <v>7.50310985897371e-7</v>
      </c>
      <c r="I463" s="30"/>
    </row>
    <row r="464" spans="1:9">
      <c r="A464" s="10">
        <v>462</v>
      </c>
      <c r="B464" s="12">
        <f>'2_Discount_Factors'!B465</f>
        <v>1.26575342465753</v>
      </c>
      <c r="C464" s="12">
        <f>EXP(-r_free*(('2_Discount_Factors'!B464+'2_Discount_Factors'!B465)/2))</f>
        <v>0.962778882391971</v>
      </c>
      <c r="D464" s="12">
        <f>'3_Survival_Probs'!D464</f>
        <v>0.983323150367651</v>
      </c>
      <c r="E464" s="12">
        <f>'3_Survival_Probs'!D465</f>
        <v>0.983266268114501</v>
      </c>
      <c r="F464" s="14">
        <f t="shared" si="17"/>
        <v>5.68822531500368e-5</v>
      </c>
      <c r="G464" s="32">
        <f>(1-recovery)*notional*C464*F464</f>
        <v>328.590192694378</v>
      </c>
      <c r="H464" s="14">
        <f t="shared" si="18"/>
        <v>9.002471032723e-7</v>
      </c>
      <c r="I464" s="33"/>
    </row>
    <row r="465" spans="1:9">
      <c r="A465" s="4">
        <v>463</v>
      </c>
      <c r="B465" s="6">
        <f>'2_Discount_Factors'!B466</f>
        <v>1.26849315068493</v>
      </c>
      <c r="C465" s="6">
        <f>EXP(-r_free*(('2_Discount_Factors'!B465+'2_Discount_Factors'!B466)/2))</f>
        <v>0.962699753133021</v>
      </c>
      <c r="D465" s="6">
        <f>'3_Survival_Probs'!D465</f>
        <v>0.983266268114501</v>
      </c>
      <c r="E465" s="6">
        <f>'3_Survival_Probs'!D466</f>
        <v>0.983209389151816</v>
      </c>
      <c r="F465" s="8">
        <f t="shared" si="17"/>
        <v>5.68789626848032e-5</v>
      </c>
      <c r="G465" s="29">
        <f>(1-recovery)*notional*C465*F465</f>
        <v>328.544180010734</v>
      </c>
      <c r="H465" s="8">
        <f t="shared" si="18"/>
        <v>1.05014121464622e-6</v>
      </c>
      <c r="I465" s="30"/>
    </row>
    <row r="466" spans="1:9">
      <c r="A466" s="10">
        <v>464</v>
      </c>
      <c r="B466" s="12">
        <f>'2_Discount_Factors'!B467</f>
        <v>1.27123287671233</v>
      </c>
      <c r="C466" s="12">
        <f>EXP(-r_free*(('2_Discount_Factors'!B466+'2_Discount_Factors'!B467)/2))</f>
        <v>0.962620630377579</v>
      </c>
      <c r="D466" s="12">
        <f>'3_Survival_Probs'!D466</f>
        <v>0.983209389151816</v>
      </c>
      <c r="E466" s="12">
        <f>'3_Survival_Probs'!D467</f>
        <v>0.983152513479406</v>
      </c>
      <c r="F466" s="14">
        <f t="shared" si="17"/>
        <v>5.68756724097508e-5</v>
      </c>
      <c r="G466" s="32">
        <f>(1-recovery)*notional*C466*F466</f>
        <v>328.498173769338</v>
      </c>
      <c r="H466" s="14">
        <f t="shared" si="18"/>
        <v>1.19999332883781e-6</v>
      </c>
      <c r="I466" s="33"/>
    </row>
    <row r="467" spans="1:9">
      <c r="A467" s="4">
        <v>465</v>
      </c>
      <c r="B467" s="6">
        <f>'2_Discount_Factors'!B468</f>
        <v>1.27397260273973</v>
      </c>
      <c r="C467" s="6">
        <f>EXP(-r_free*(('2_Discount_Factors'!B467+'2_Discount_Factors'!B468)/2))</f>
        <v>0.96254151412511</v>
      </c>
      <c r="D467" s="6">
        <f>'3_Survival_Probs'!D467</f>
        <v>0.983152513479406</v>
      </c>
      <c r="E467" s="6">
        <f>'3_Survival_Probs'!D468</f>
        <v>0.983095641097081</v>
      </c>
      <c r="F467" s="8">
        <f t="shared" si="17"/>
        <v>5.68723823251016e-5</v>
      </c>
      <c r="G467" s="29">
        <f>(1-recovery)*notional*C467*F467</f>
        <v>328.452173970633</v>
      </c>
      <c r="H467" s="8">
        <f t="shared" si="18"/>
        <v>1.34980345467387e-6</v>
      </c>
      <c r="I467" s="30"/>
    </row>
    <row r="468" spans="1:9">
      <c r="A468" s="10">
        <v>466</v>
      </c>
      <c r="B468" s="12">
        <f>'2_Discount_Factors'!B469</f>
        <v>1.27671232876712</v>
      </c>
      <c r="C468" s="12">
        <f>EXP(-r_free*(('2_Discount_Factors'!B468+'2_Discount_Factors'!B469)/2))</f>
        <v>0.962462404375079</v>
      </c>
      <c r="D468" s="12">
        <f>'3_Survival_Probs'!D468</f>
        <v>0.983095641097081</v>
      </c>
      <c r="E468" s="12">
        <f>'3_Survival_Probs'!D469</f>
        <v>0.98303877200465</v>
      </c>
      <c r="F468" s="14">
        <f t="shared" si="17"/>
        <v>5.68690924308557e-5</v>
      </c>
      <c r="G468" s="32">
        <f>(1-recovery)*notional*C468*F468</f>
        <v>328.40618061378</v>
      </c>
      <c r="H468" s="14">
        <f t="shared" si="18"/>
        <v>1.49957160097621e-6</v>
      </c>
      <c r="I468" s="33"/>
    </row>
    <row r="469" spans="1:9">
      <c r="A469" s="4">
        <v>467</v>
      </c>
      <c r="B469" s="6">
        <f>'2_Discount_Factors'!B470</f>
        <v>1.27945205479452</v>
      </c>
      <c r="C469" s="6">
        <f>EXP(-r_free*(('2_Discount_Factors'!B469+'2_Discount_Factors'!B470)/2))</f>
        <v>0.962383301126952</v>
      </c>
      <c r="D469" s="6">
        <f>'3_Survival_Probs'!D469</f>
        <v>0.98303877200465</v>
      </c>
      <c r="E469" s="6">
        <f>'3_Survival_Probs'!D470</f>
        <v>0.982981906201923</v>
      </c>
      <c r="F469" s="8">
        <f t="shared" si="17"/>
        <v>5.6865802726791e-5</v>
      </c>
      <c r="G469" s="29">
        <f>(1-recovery)*notional*C469*F469</f>
        <v>328.360193696659</v>
      </c>
      <c r="H469" s="8">
        <f t="shared" si="18"/>
        <v>1.6492977765586e-6</v>
      </c>
      <c r="I469" s="30"/>
    </row>
    <row r="470" spans="1:9">
      <c r="A470" s="10">
        <v>468</v>
      </c>
      <c r="B470" s="12">
        <f>'2_Discount_Factors'!B471</f>
        <v>1.28219178082192</v>
      </c>
      <c r="C470" s="12">
        <f>EXP(-r_free*(('2_Discount_Factors'!B470+'2_Discount_Factors'!B471)/2))</f>
        <v>0.962304204380195</v>
      </c>
      <c r="D470" s="12">
        <f>'3_Survival_Probs'!D470</f>
        <v>0.982981906201923</v>
      </c>
      <c r="E470" s="12">
        <f>'3_Survival_Probs'!D471</f>
        <v>0.98292504368871</v>
      </c>
      <c r="F470" s="14">
        <f t="shared" si="17"/>
        <v>5.68625132131295e-5</v>
      </c>
      <c r="G470" s="32">
        <f>(1-recovery)*notional*C470*F470</f>
        <v>328.314213219714</v>
      </c>
      <c r="H470" s="14">
        <f t="shared" si="18"/>
        <v>1.79898199024505e-6</v>
      </c>
      <c r="I470" s="33"/>
    </row>
    <row r="471" spans="1:9">
      <c r="A471" s="4">
        <v>469</v>
      </c>
      <c r="B471" s="6">
        <f>'2_Discount_Factors'!B472</f>
        <v>1.28493150684932</v>
      </c>
      <c r="C471" s="6">
        <f>EXP(-r_free*(('2_Discount_Factors'!B471+'2_Discount_Factors'!B472)/2))</f>
        <v>0.962225114134273</v>
      </c>
      <c r="D471" s="6">
        <f>'3_Survival_Probs'!D471</f>
        <v>0.98292504368871</v>
      </c>
      <c r="E471" s="6">
        <f>'3_Survival_Probs'!D472</f>
        <v>0.982868184464821</v>
      </c>
      <c r="F471" s="8">
        <f t="shared" si="17"/>
        <v>5.68592238896493e-5</v>
      </c>
      <c r="G471" s="29">
        <f>(1-recovery)*notional*C471*F471</f>
        <v>328.268239180824</v>
      </c>
      <c r="H471" s="8">
        <f t="shared" si="18"/>
        <v>1.94862425084511e-6</v>
      </c>
      <c r="I471" s="30"/>
    </row>
    <row r="472" spans="1:9">
      <c r="A472" s="10">
        <v>470</v>
      </c>
      <c r="B472" s="12">
        <f>'2_Discount_Factors'!B473</f>
        <v>1.28767123287671</v>
      </c>
      <c r="C472" s="12">
        <f>EXP(-r_free*(('2_Discount_Factors'!B472+'2_Discount_Factors'!B473)/2))</f>
        <v>0.962146030388653</v>
      </c>
      <c r="D472" s="12">
        <f>'3_Survival_Probs'!D472</f>
        <v>0.982868184464821</v>
      </c>
      <c r="E472" s="12">
        <f>'3_Survival_Probs'!D473</f>
        <v>0.982811328530064</v>
      </c>
      <c r="F472" s="14">
        <f t="shared" si="17"/>
        <v>5.68559347565722e-5</v>
      </c>
      <c r="G472" s="32">
        <f>(1-recovery)*notional*C472*F472</f>
        <v>328.222271580433</v>
      </c>
      <c r="H472" s="14">
        <f t="shared" si="18"/>
        <v>2.09822456718089e-6</v>
      </c>
      <c r="I472" s="33"/>
    </row>
    <row r="473" spans="1:9">
      <c r="A473" s="4">
        <v>471</v>
      </c>
      <c r="B473" s="6">
        <f>'2_Discount_Factors'!B474</f>
        <v>1.29041095890411</v>
      </c>
      <c r="C473" s="6">
        <f>EXP(-r_free*(('2_Discount_Factors'!B473+'2_Discount_Factors'!B474)/2))</f>
        <v>0.962066953142799</v>
      </c>
      <c r="D473" s="6">
        <f>'3_Survival_Probs'!D473</f>
        <v>0.982811328530064</v>
      </c>
      <c r="E473" s="6">
        <f>'3_Survival_Probs'!D474</f>
        <v>0.98275447588425</v>
      </c>
      <c r="F473" s="8">
        <f t="shared" si="17"/>
        <v>5.68526458136764e-5</v>
      </c>
      <c r="G473" s="29">
        <f>(1-recovery)*notional*C473*F473</f>
        <v>328.176310416422</v>
      </c>
      <c r="H473" s="8">
        <f t="shared" si="18"/>
        <v>2.24778294805772e-6</v>
      </c>
      <c r="I473" s="30"/>
    </row>
    <row r="474" spans="1:9">
      <c r="A474" s="10">
        <v>472</v>
      </c>
      <c r="B474" s="12">
        <f>'2_Discount_Factors'!B475</f>
        <v>1.29315068493151</v>
      </c>
      <c r="C474" s="12">
        <f>EXP(-r_free*(('2_Discount_Factors'!B474+'2_Discount_Factors'!B475)/2))</f>
        <v>0.961987882396177</v>
      </c>
      <c r="D474" s="12">
        <f>'3_Survival_Probs'!D474</f>
        <v>0.98275447588425</v>
      </c>
      <c r="E474" s="12">
        <f>'3_Survival_Probs'!D475</f>
        <v>0.982697626527189</v>
      </c>
      <c r="F474" s="14">
        <f t="shared" si="17"/>
        <v>5.68493570610729e-5</v>
      </c>
      <c r="G474" s="32">
        <f>(1-recovery)*notional*C474*F474</f>
        <v>328.130355688594</v>
      </c>
      <c r="H474" s="14">
        <f t="shared" si="18"/>
        <v>2.39729940229114e-6</v>
      </c>
      <c r="I474" s="33"/>
    </row>
    <row r="475" spans="1:9">
      <c r="A475" s="4">
        <v>473</v>
      </c>
      <c r="B475" s="6">
        <f>'2_Discount_Factors'!B476</f>
        <v>1.2958904109589</v>
      </c>
      <c r="C475" s="6">
        <f>EXP(-r_free*(('2_Discount_Factors'!B475+'2_Discount_Factors'!B476)/2))</f>
        <v>0.961908818148254</v>
      </c>
      <c r="D475" s="6">
        <f>'3_Survival_Probs'!D475</f>
        <v>0.982697626527189</v>
      </c>
      <c r="E475" s="6">
        <f>'3_Survival_Probs'!D476</f>
        <v>0.982640780458691</v>
      </c>
      <c r="F475" s="8">
        <f t="shared" si="17"/>
        <v>5.68460684986505e-5</v>
      </c>
      <c r="G475" s="29">
        <f>(1-recovery)*notional*C475*F475</f>
        <v>328.084407395469</v>
      </c>
      <c r="H475" s="8">
        <f t="shared" si="18"/>
        <v>2.54677393868632e-6</v>
      </c>
      <c r="I475" s="30"/>
    </row>
    <row r="476" spans="1:9">
      <c r="A476" s="10">
        <v>474</v>
      </c>
      <c r="B476" s="12">
        <f>'2_Discount_Factors'!B477</f>
        <v>1.2986301369863</v>
      </c>
      <c r="C476" s="12">
        <f>EXP(-r_free*(('2_Discount_Factors'!B476+'2_Discount_Factors'!B477)/2))</f>
        <v>0.961829760398495</v>
      </c>
      <c r="D476" s="12">
        <f>'3_Survival_Probs'!D476</f>
        <v>0.982640780458691</v>
      </c>
      <c r="E476" s="12">
        <f>'3_Survival_Probs'!D477</f>
        <v>0.982583937678564</v>
      </c>
      <c r="F476" s="14">
        <f t="shared" si="17"/>
        <v>5.68427801265203e-5</v>
      </c>
      <c r="G476" s="32">
        <f>(1-recovery)*notional*C476*F476</f>
        <v>328.038465536852</v>
      </c>
      <c r="H476" s="14">
        <f t="shared" si="18"/>
        <v>2.69620656605636e-6</v>
      </c>
      <c r="I476" s="33"/>
    </row>
    <row r="477" spans="1:9">
      <c r="A477" s="4">
        <v>475</v>
      </c>
      <c r="B477" s="6">
        <f>'2_Discount_Factors'!B478</f>
        <v>1.3013698630137</v>
      </c>
      <c r="C477" s="6">
        <f>EXP(-r_free*(('2_Discount_Factors'!B477+'2_Discount_Factors'!B478)/2))</f>
        <v>0.961750709146367</v>
      </c>
      <c r="D477" s="6">
        <f>'3_Survival_Probs'!D477</f>
        <v>0.982583937678564</v>
      </c>
      <c r="E477" s="6">
        <f>'3_Survival_Probs'!D478</f>
        <v>0.98252709818662</v>
      </c>
      <c r="F477" s="8">
        <f t="shared" si="17"/>
        <v>5.68394919445714e-5</v>
      </c>
      <c r="G477" s="29">
        <f>(1-recovery)*notional*C477*F477</f>
        <v>327.992530111264</v>
      </c>
      <c r="H477" s="8">
        <f t="shared" si="18"/>
        <v>2.84559729320279e-6</v>
      </c>
      <c r="I477" s="30"/>
    </row>
    <row r="478" spans="1:9">
      <c r="A478" s="10">
        <v>476</v>
      </c>
      <c r="B478" s="12">
        <f>'2_Discount_Factors'!B479</f>
        <v>1.3041095890411</v>
      </c>
      <c r="C478" s="12">
        <f>EXP(-r_free*(('2_Discount_Factors'!B478+'2_Discount_Factors'!B479)/2))</f>
        <v>0.961671664391334</v>
      </c>
      <c r="D478" s="12">
        <f>'3_Survival_Probs'!D478</f>
        <v>0.98252709818662</v>
      </c>
      <c r="E478" s="12">
        <f>'3_Survival_Probs'!D479</f>
        <v>0.982470261982667</v>
      </c>
      <c r="F478" s="14">
        <f t="shared" si="17"/>
        <v>5.68362039529147e-5</v>
      </c>
      <c r="G478" s="32">
        <f>(1-recovery)*notional*C478*F478</f>
        <v>327.946601118509</v>
      </c>
      <c r="H478" s="14">
        <f t="shared" si="18"/>
        <v>2.99494612893619e-6</v>
      </c>
      <c r="I478" s="33"/>
    </row>
    <row r="479" spans="1:9">
      <c r="A479" s="4">
        <v>477</v>
      </c>
      <c r="B479" s="6">
        <f>'2_Discount_Factors'!B480</f>
        <v>1.30684931506849</v>
      </c>
      <c r="C479" s="6">
        <f>EXP(-r_free*(('2_Discount_Factors'!B479+'2_Discount_Factors'!B480)/2))</f>
        <v>0.961592626132864</v>
      </c>
      <c r="D479" s="6">
        <f>'3_Survival_Probs'!D479</f>
        <v>0.982470261982667</v>
      </c>
      <c r="E479" s="6">
        <f>'3_Survival_Probs'!D480</f>
        <v>0.982413429066515</v>
      </c>
      <c r="F479" s="8">
        <f t="shared" si="17"/>
        <v>5.68329161513281e-5</v>
      </c>
      <c r="G479" s="29">
        <f>(1-recovery)*notional*C479*F479</f>
        <v>327.900678556467</v>
      </c>
      <c r="H479" s="8">
        <f t="shared" si="18"/>
        <v>3.14425308204835e-6</v>
      </c>
      <c r="I479" s="30"/>
    </row>
    <row r="480" spans="1:9">
      <c r="A480" s="10">
        <v>478</v>
      </c>
      <c r="B480" s="12">
        <f>'2_Discount_Factors'!B481</f>
        <v>1.30958904109589</v>
      </c>
      <c r="C480" s="12">
        <f>EXP(-r_free*(('2_Discount_Factors'!B480+'2_Discount_Factors'!B481)/2))</f>
        <v>0.961513594370422</v>
      </c>
      <c r="D480" s="12">
        <f>'3_Survival_Probs'!D480</f>
        <v>0.982413429066515</v>
      </c>
      <c r="E480" s="12">
        <f>'3_Survival_Probs'!D481</f>
        <v>0.982356599437975</v>
      </c>
      <c r="F480" s="14">
        <f t="shared" si="17"/>
        <v>5.68296285400338e-5</v>
      </c>
      <c r="G480" s="32">
        <f>(1-recovery)*notional*C480*F480</f>
        <v>327.854762425583</v>
      </c>
      <c r="H480" s="14">
        <f t="shared" si="18"/>
        <v>3.29351816135292e-6</v>
      </c>
      <c r="I480" s="33"/>
    </row>
    <row r="481" spans="1:9">
      <c r="A481" s="4">
        <v>479</v>
      </c>
      <c r="B481" s="6">
        <f>'2_Discount_Factors'!B482</f>
        <v>1.31232876712329</v>
      </c>
      <c r="C481" s="6">
        <f>EXP(-r_free*(('2_Discount_Factors'!B481+'2_Discount_Factors'!B482)/2))</f>
        <v>0.961434569103475</v>
      </c>
      <c r="D481" s="6">
        <f>'3_Survival_Probs'!D481</f>
        <v>0.982356599437975</v>
      </c>
      <c r="E481" s="6">
        <f>'3_Survival_Probs'!D482</f>
        <v>0.982299773096856</v>
      </c>
      <c r="F481" s="8">
        <f t="shared" si="17"/>
        <v>5.68263411189207e-5</v>
      </c>
      <c r="G481" s="29">
        <f>(1-recovery)*notional*C481*F481</f>
        <v>327.80885272438</v>
      </c>
      <c r="H481" s="8">
        <f t="shared" si="18"/>
        <v>3.44274137564421e-6</v>
      </c>
      <c r="I481" s="30"/>
    </row>
    <row r="482" spans="1:9">
      <c r="A482" s="10">
        <v>480</v>
      </c>
      <c r="B482" s="12">
        <f>'2_Discount_Factors'!B483</f>
        <v>1.31506849315068</v>
      </c>
      <c r="C482" s="12">
        <f>EXP(-r_free*(('2_Discount_Factors'!B482+'2_Discount_Factors'!B483)/2))</f>
        <v>0.961355550331488</v>
      </c>
      <c r="D482" s="12">
        <f>'3_Survival_Probs'!D482</f>
        <v>0.982299773096856</v>
      </c>
      <c r="E482" s="12">
        <f>'3_Survival_Probs'!D483</f>
        <v>0.982242950042968</v>
      </c>
      <c r="F482" s="14">
        <f t="shared" si="17"/>
        <v>5.68230538878778e-5</v>
      </c>
      <c r="G482" s="32">
        <f>(1-recovery)*notional*C482*F482</f>
        <v>327.762949451379</v>
      </c>
      <c r="H482" s="14">
        <f t="shared" si="18"/>
        <v>3.59192273371378e-6</v>
      </c>
      <c r="I482" s="33"/>
    </row>
    <row r="483" spans="1:9">
      <c r="A483" s="4">
        <v>481</v>
      </c>
      <c r="B483" s="6">
        <f>'2_Discount_Factors'!B484</f>
        <v>1.31780821917808</v>
      </c>
      <c r="C483" s="6">
        <f>EXP(-r_free*(('2_Discount_Factors'!B483+'2_Discount_Factors'!B484)/2))</f>
        <v>0.961276538053927</v>
      </c>
      <c r="D483" s="6">
        <f>'3_Survival_Probs'!D483</f>
        <v>0.982242950042968</v>
      </c>
      <c r="E483" s="6">
        <f>'3_Survival_Probs'!D484</f>
        <v>0.982186130276121</v>
      </c>
      <c r="F483" s="8">
        <f t="shared" si="17"/>
        <v>5.68197668471271e-5</v>
      </c>
      <c r="G483" s="29">
        <f>(1-recovery)*notional*C483*F483</f>
        <v>327.717052607026</v>
      </c>
      <c r="H483" s="8">
        <f t="shared" si="18"/>
        <v>3.74106224437248e-6</v>
      </c>
      <c r="I483" s="30"/>
    </row>
    <row r="484" spans="1:9">
      <c r="A484" s="10">
        <v>482</v>
      </c>
      <c r="B484" s="12">
        <f>'2_Discount_Factors'!B485</f>
        <v>1.32054794520548</v>
      </c>
      <c r="C484" s="12">
        <f>EXP(-r_free*(('2_Discount_Factors'!B484+'2_Discount_Factors'!B485)/2))</f>
        <v>0.96119753227026</v>
      </c>
      <c r="D484" s="12">
        <f>'3_Survival_Probs'!D484</f>
        <v>0.982186130276121</v>
      </c>
      <c r="E484" s="12">
        <f>'3_Survival_Probs'!D485</f>
        <v>0.982129313796125</v>
      </c>
      <c r="F484" s="14">
        <f t="shared" si="17"/>
        <v>5.68164799964466e-5</v>
      </c>
      <c r="G484" s="32">
        <f>(1-recovery)*notional*C484*F484</f>
        <v>327.671162189202</v>
      </c>
      <c r="H484" s="14">
        <f t="shared" si="18"/>
        <v>3.89015991640152e-6</v>
      </c>
      <c r="I484" s="33"/>
    </row>
    <row r="485" spans="1:9">
      <c r="A485" s="4">
        <v>483</v>
      </c>
      <c r="B485" s="6">
        <f>'2_Discount_Factors'!B486</f>
        <v>1.32328767123288</v>
      </c>
      <c r="C485" s="6">
        <f>EXP(-r_free*(('2_Discount_Factors'!B485+'2_Discount_Factors'!B486)/2))</f>
        <v>0.961118532979951</v>
      </c>
      <c r="D485" s="6">
        <f>'3_Survival_Probs'!D485</f>
        <v>0.982129313796125</v>
      </c>
      <c r="E485" s="6">
        <f>'3_Survival_Probs'!D486</f>
        <v>0.982072500602789</v>
      </c>
      <c r="F485" s="8">
        <f t="shared" si="17"/>
        <v>5.68131933358362e-5</v>
      </c>
      <c r="G485" s="29">
        <f>(1-recovery)*notional*C485*F485</f>
        <v>327.625278197072</v>
      </c>
      <c r="H485" s="8">
        <f t="shared" si="18"/>
        <v>4.03921575859407e-6</v>
      </c>
      <c r="I485" s="30"/>
    </row>
    <row r="486" spans="1:9">
      <c r="A486" s="10">
        <v>484</v>
      </c>
      <c r="B486" s="12">
        <f>'2_Discount_Factors'!B487</f>
        <v>1.32602739726027</v>
      </c>
      <c r="C486" s="12">
        <f>EXP(-r_free*(('2_Discount_Factors'!B486+'2_Discount_Factors'!B487)/2))</f>
        <v>0.961039540182469</v>
      </c>
      <c r="D486" s="12">
        <f>'3_Survival_Probs'!D486</f>
        <v>0.982072500602789</v>
      </c>
      <c r="E486" s="12">
        <f>'3_Survival_Probs'!D487</f>
        <v>0.982015690695924</v>
      </c>
      <c r="F486" s="14">
        <f t="shared" si="17"/>
        <v>5.68099068654071e-5</v>
      </c>
      <c r="G486" s="32">
        <f>(1-recovery)*notional*C486*F486</f>
        <v>327.579400630438</v>
      </c>
      <c r="H486" s="14">
        <f t="shared" si="18"/>
        <v>4.18822977974994e-6</v>
      </c>
      <c r="I486" s="33"/>
    </row>
    <row r="487" spans="1:9">
      <c r="A487" s="4">
        <v>485</v>
      </c>
      <c r="B487" s="6">
        <f>'2_Discount_Factors'!B488</f>
        <v>1.32876712328767</v>
      </c>
      <c r="C487" s="6">
        <f>EXP(-r_free*(('2_Discount_Factors'!B487+'2_Discount_Factors'!B488)/2))</f>
        <v>0.960960553877278</v>
      </c>
      <c r="D487" s="6">
        <f>'3_Survival_Probs'!D487</f>
        <v>0.982015690695924</v>
      </c>
      <c r="E487" s="6">
        <f>'3_Survival_Probs'!D488</f>
        <v>0.981958884075338</v>
      </c>
      <c r="F487" s="8">
        <f t="shared" si="17"/>
        <v>5.68066205851592e-5</v>
      </c>
      <c r="G487" s="29">
        <f>(1-recovery)*notional*C487*F487</f>
        <v>327.533529488466</v>
      </c>
      <c r="H487" s="8">
        <f t="shared" si="18"/>
        <v>4.33720198866008e-6</v>
      </c>
      <c r="I487" s="30"/>
    </row>
    <row r="488" spans="1:9">
      <c r="A488" s="10">
        <v>486</v>
      </c>
      <c r="B488" s="12">
        <f>'2_Discount_Factors'!B489</f>
        <v>1.33150684931507</v>
      </c>
      <c r="C488" s="12">
        <f>EXP(-r_free*(('2_Discount_Factors'!B488+'2_Discount_Factors'!B489)/2))</f>
        <v>0.960881574063845</v>
      </c>
      <c r="D488" s="12">
        <f>'3_Survival_Probs'!D488</f>
        <v>0.981958884075338</v>
      </c>
      <c r="E488" s="12">
        <f>'3_Survival_Probs'!D489</f>
        <v>0.981902080740844</v>
      </c>
      <c r="F488" s="14">
        <f t="shared" si="17"/>
        <v>5.68033344949814e-5</v>
      </c>
      <c r="G488" s="32">
        <f>(1-recovery)*notional*C488*F488</f>
        <v>327.487664769677</v>
      </c>
      <c r="H488" s="14">
        <f t="shared" si="18"/>
        <v>4.48613239410521e-6</v>
      </c>
      <c r="I488" s="33"/>
    </row>
    <row r="489" spans="1:9">
      <c r="A489" s="4">
        <v>487</v>
      </c>
      <c r="B489" s="6">
        <f>'2_Discount_Factors'!B490</f>
        <v>1.33424657534247</v>
      </c>
      <c r="C489" s="6">
        <f>EXP(-r_free*(('2_Discount_Factors'!B489+'2_Discount_Factors'!B490)/2))</f>
        <v>0.960802600741637</v>
      </c>
      <c r="D489" s="6">
        <f>'3_Survival_Probs'!D489</f>
        <v>0.981902080740844</v>
      </c>
      <c r="E489" s="6">
        <f>'3_Survival_Probs'!D490</f>
        <v>0.981845280692249</v>
      </c>
      <c r="F489" s="8">
        <f t="shared" si="17"/>
        <v>5.68000485948739e-5</v>
      </c>
      <c r="G489" s="29">
        <f>(1-recovery)*notional*C489*F489</f>
        <v>327.441806473237</v>
      </c>
      <c r="H489" s="8">
        <f t="shared" si="18"/>
        <v>4.63502100487234e-6</v>
      </c>
      <c r="I489" s="30"/>
    </row>
    <row r="490" spans="1:9">
      <c r="A490" s="10">
        <v>488</v>
      </c>
      <c r="B490" s="12">
        <f>'2_Discount_Factors'!B491</f>
        <v>1.33698630136986</v>
      </c>
      <c r="C490" s="12">
        <f>EXP(-r_free*(('2_Discount_Factors'!B490+'2_Discount_Factors'!B491)/2))</f>
        <v>0.960723633910121</v>
      </c>
      <c r="D490" s="12">
        <f>'3_Survival_Probs'!D490</f>
        <v>0.981845280692249</v>
      </c>
      <c r="E490" s="12">
        <f>'3_Survival_Probs'!D491</f>
        <v>0.981788483929364</v>
      </c>
      <c r="F490" s="14">
        <f t="shared" si="17"/>
        <v>5.67967628848365e-5</v>
      </c>
      <c r="G490" s="32">
        <f>(1-recovery)*notional*C490*F490</f>
        <v>327.395954598309</v>
      </c>
      <c r="H490" s="14">
        <f t="shared" si="18"/>
        <v>4.78386782974703e-6</v>
      </c>
      <c r="I490" s="33"/>
    </row>
    <row r="491" spans="1:9">
      <c r="A491" s="4">
        <v>489</v>
      </c>
      <c r="B491" s="6">
        <f>'2_Discount_Factors'!B492</f>
        <v>1.33972602739726</v>
      </c>
      <c r="C491" s="6">
        <f>EXP(-r_free*(('2_Discount_Factors'!B491+'2_Discount_Factors'!B492)/2))</f>
        <v>0.960644673568762</v>
      </c>
      <c r="D491" s="6">
        <f>'3_Survival_Probs'!D491</f>
        <v>0.981788483929364</v>
      </c>
      <c r="E491" s="6">
        <f>'3_Survival_Probs'!D492</f>
        <v>0.981731690451999</v>
      </c>
      <c r="F491" s="8">
        <f t="shared" si="17"/>
        <v>5.67934773648693e-5</v>
      </c>
      <c r="G491" s="29">
        <f>(1-recovery)*notional*C491*F491</f>
        <v>327.350109144058</v>
      </c>
      <c r="H491" s="8">
        <f t="shared" si="18"/>
        <v>4.93267287751324e-6</v>
      </c>
      <c r="I491" s="30"/>
    </row>
    <row r="492" spans="1:9">
      <c r="A492" s="10">
        <v>490</v>
      </c>
      <c r="B492" s="12">
        <f>'2_Discount_Factors'!B493</f>
        <v>1.34246575342466</v>
      </c>
      <c r="C492" s="12">
        <f>EXP(-r_free*(('2_Discount_Factors'!B492+'2_Discount_Factors'!B493)/2))</f>
        <v>0.960565719717028</v>
      </c>
      <c r="D492" s="12">
        <f>'3_Survival_Probs'!D492</f>
        <v>0.981731690451999</v>
      </c>
      <c r="E492" s="12">
        <f>'3_Survival_Probs'!D493</f>
        <v>0.981674900259964</v>
      </c>
      <c r="F492" s="14">
        <f t="shared" si="17"/>
        <v>5.67901920348612e-5</v>
      </c>
      <c r="G492" s="32">
        <f>(1-recovery)*notional*C492*F492</f>
        <v>327.304270109008</v>
      </c>
      <c r="H492" s="14">
        <f t="shared" si="18"/>
        <v>5.08143615694355e-6</v>
      </c>
      <c r="I492" s="33"/>
    </row>
    <row r="493" spans="1:9">
      <c r="A493" s="4">
        <v>491</v>
      </c>
      <c r="B493" s="6">
        <f>'2_Discount_Factors'!B494</f>
        <v>1.34520547945205</v>
      </c>
      <c r="C493" s="6">
        <f>EXP(-r_free*(('2_Discount_Factors'!B493+'2_Discount_Factors'!B494)/2))</f>
        <v>0.960486772354384</v>
      </c>
      <c r="D493" s="6">
        <f>'3_Survival_Probs'!D493</f>
        <v>0.981674900259964</v>
      </c>
      <c r="E493" s="6">
        <f>'3_Survival_Probs'!D494</f>
        <v>0.981618113353069</v>
      </c>
      <c r="F493" s="8">
        <f t="shared" si="17"/>
        <v>5.67869068950344e-5</v>
      </c>
      <c r="G493" s="29">
        <f>(1-recovery)*notional*C493*F493</f>
        <v>327.258437493603</v>
      </c>
      <c r="H493" s="8">
        <f t="shared" si="18"/>
        <v>5.23015767683844e-6</v>
      </c>
      <c r="I493" s="30"/>
    </row>
    <row r="494" spans="1:9">
      <c r="A494" s="10">
        <v>492</v>
      </c>
      <c r="B494" s="12">
        <f>'2_Discount_Factors'!B495</f>
        <v>1.34794520547945</v>
      </c>
      <c r="C494" s="12">
        <f>EXP(-r_free*(('2_Discount_Factors'!B494+'2_Discount_Factors'!B495)/2))</f>
        <v>0.960407831480298</v>
      </c>
      <c r="D494" s="12">
        <f>'3_Survival_Probs'!D494</f>
        <v>0.981618113353069</v>
      </c>
      <c r="E494" s="12">
        <f>'3_Survival_Probs'!D495</f>
        <v>0.981561329731124</v>
      </c>
      <c r="F494" s="14">
        <f t="shared" si="17"/>
        <v>5.67836219452778e-5</v>
      </c>
      <c r="G494" s="32">
        <f>(1-recovery)*notional*C494*F494</f>
        <v>327.212611296368</v>
      </c>
      <c r="H494" s="14">
        <f t="shared" si="18"/>
        <v>5.37883744596773e-6</v>
      </c>
      <c r="I494" s="33"/>
    </row>
    <row r="495" spans="1:9">
      <c r="A495" s="4">
        <v>493</v>
      </c>
      <c r="B495" s="6">
        <f>'2_Discount_Factors'!B496</f>
        <v>1.35068493150685</v>
      </c>
      <c r="C495" s="6">
        <f>EXP(-r_free*(('2_Discount_Factors'!B495+'2_Discount_Factors'!B496)/2))</f>
        <v>0.960328897094237</v>
      </c>
      <c r="D495" s="6">
        <f>'3_Survival_Probs'!D495</f>
        <v>0.981561329731124</v>
      </c>
      <c r="E495" s="6">
        <f>'3_Survival_Probs'!D496</f>
        <v>0.981504549393938</v>
      </c>
      <c r="F495" s="8">
        <f t="shared" si="17"/>
        <v>5.67803371853692e-5</v>
      </c>
      <c r="G495" s="29">
        <f>(1-recovery)*notional*C495*F495</f>
        <v>327.166791515187</v>
      </c>
      <c r="H495" s="8">
        <f t="shared" si="18"/>
        <v>5.52747547308767e-6</v>
      </c>
      <c r="I495" s="30"/>
    </row>
    <row r="496" spans="1:9">
      <c r="A496" s="10">
        <v>494</v>
      </c>
      <c r="B496" s="12">
        <f>'2_Discount_Factors'!B497</f>
        <v>1.35342465753425</v>
      </c>
      <c r="C496" s="12">
        <f>EXP(-r_free*(('2_Discount_Factors'!B496+'2_Discount_Factors'!B497)/2))</f>
        <v>0.960249969195667</v>
      </c>
      <c r="D496" s="12">
        <f>'3_Survival_Probs'!D496</f>
        <v>0.981504549393938</v>
      </c>
      <c r="E496" s="12">
        <f>'3_Survival_Probs'!D497</f>
        <v>0.981447772341323</v>
      </c>
      <c r="F496" s="14">
        <f t="shared" si="17"/>
        <v>5.67770526156419e-5</v>
      </c>
      <c r="G496" s="32">
        <f>(1-recovery)*notional*C496*F496</f>
        <v>327.120978151145</v>
      </c>
      <c r="H496" s="14">
        <f t="shared" si="18"/>
        <v>5.67607176700621e-6</v>
      </c>
      <c r="I496" s="33"/>
    </row>
    <row r="497" spans="1:9">
      <c r="A497" s="4">
        <v>495</v>
      </c>
      <c r="B497" s="6">
        <f>'2_Discount_Factors'!B498</f>
        <v>1.35616438356164</v>
      </c>
      <c r="C497" s="6">
        <f>EXP(-r_free*(('2_Discount_Factors'!B497+'2_Discount_Factors'!B498)/2))</f>
        <v>0.960171047784054</v>
      </c>
      <c r="D497" s="6">
        <f>'3_Survival_Probs'!D497</f>
        <v>0.981447772341323</v>
      </c>
      <c r="E497" s="6">
        <f>'3_Survival_Probs'!D498</f>
        <v>0.981390998573087</v>
      </c>
      <c r="F497" s="8">
        <f t="shared" si="17"/>
        <v>5.67737682358738e-5</v>
      </c>
      <c r="G497" s="29">
        <f>(1-recovery)*notional*C497*F497</f>
        <v>327.075171202128</v>
      </c>
      <c r="H497" s="8">
        <f t="shared" si="18"/>
        <v>5.82462633647629e-6</v>
      </c>
      <c r="I497" s="30"/>
    </row>
    <row r="498" spans="1:9">
      <c r="A498" s="10">
        <v>496</v>
      </c>
      <c r="B498" s="12">
        <f>'2_Discount_Factors'!B499</f>
        <v>1.35890410958904</v>
      </c>
      <c r="C498" s="12">
        <f>EXP(-r_free*(('2_Discount_Factors'!B498+'2_Discount_Factors'!B499)/2))</f>
        <v>0.960092132858867</v>
      </c>
      <c r="D498" s="12">
        <f>'3_Survival_Probs'!D498</f>
        <v>0.981390998573087</v>
      </c>
      <c r="E498" s="12">
        <f>'3_Survival_Probs'!D499</f>
        <v>0.981334228089041</v>
      </c>
      <c r="F498" s="14">
        <f t="shared" si="17"/>
        <v>5.67704840460648e-5</v>
      </c>
      <c r="G498" s="32">
        <f>(1-recovery)*notional*C498*F498</f>
        <v>327.0293706673</v>
      </c>
      <c r="H498" s="14">
        <f t="shared" si="18"/>
        <v>5.97313919027035e-6</v>
      </c>
      <c r="I498" s="33"/>
    </row>
    <row r="499" spans="1:9">
      <c r="A499" s="4">
        <v>497</v>
      </c>
      <c r="B499" s="6">
        <f>'2_Discount_Factors'!B500</f>
        <v>1.36164383561644</v>
      </c>
      <c r="C499" s="6">
        <f>EXP(-r_free*(('2_Discount_Factors'!B499+'2_Discount_Factors'!B500)/2))</f>
        <v>0.960013224419571</v>
      </c>
      <c r="D499" s="6">
        <f>'3_Survival_Probs'!D499</f>
        <v>0.981334228089041</v>
      </c>
      <c r="E499" s="6">
        <f>'3_Survival_Probs'!D500</f>
        <v>0.981277460888995</v>
      </c>
      <c r="F499" s="8">
        <f t="shared" si="17"/>
        <v>5.67672000462149e-5</v>
      </c>
      <c r="G499" s="29">
        <f>(1-recovery)*notional*C499*F499</f>
        <v>326.983576545826</v>
      </c>
      <c r="H499" s="8">
        <f t="shared" si="18"/>
        <v>6.12161033715934e-6</v>
      </c>
      <c r="I499" s="30"/>
    </row>
    <row r="500" spans="1:9">
      <c r="A500" s="10">
        <v>498</v>
      </c>
      <c r="B500" s="12">
        <f>'2_Discount_Factors'!B501</f>
        <v>1.36438356164384</v>
      </c>
      <c r="C500" s="12">
        <f>EXP(-r_free*(('2_Discount_Factors'!B500+'2_Discount_Factors'!B501)/2))</f>
        <v>0.959934322465634</v>
      </c>
      <c r="D500" s="12">
        <f>'3_Survival_Probs'!D500</f>
        <v>0.981277460888995</v>
      </c>
      <c r="E500" s="12">
        <f>'3_Survival_Probs'!D501</f>
        <v>0.981220696972758</v>
      </c>
      <c r="F500" s="14">
        <f t="shared" si="17"/>
        <v>5.67639162364353e-5</v>
      </c>
      <c r="G500" s="32">
        <f>(1-recovery)*notional*C500*F500</f>
        <v>326.937788837511</v>
      </c>
      <c r="H500" s="14">
        <f t="shared" si="18"/>
        <v>6.2700397859249e-6</v>
      </c>
      <c r="I500" s="33"/>
    </row>
    <row r="501" spans="1:9">
      <c r="A501" s="4">
        <v>499</v>
      </c>
      <c r="B501" s="6">
        <f>'2_Discount_Factors'!B502</f>
        <v>1.36712328767123</v>
      </c>
      <c r="C501" s="6">
        <f>EXP(-r_free*(('2_Discount_Factors'!B501+'2_Discount_Factors'!B502)/2))</f>
        <v>0.959855426996522</v>
      </c>
      <c r="D501" s="6">
        <f>'3_Survival_Probs'!D501</f>
        <v>0.981220696972758</v>
      </c>
      <c r="E501" s="6">
        <f>'3_Survival_Probs'!D502</f>
        <v>0.981163936340142</v>
      </c>
      <c r="F501" s="8">
        <f t="shared" si="17"/>
        <v>5.67606326165038e-5</v>
      </c>
      <c r="G501" s="29">
        <f>(1-recovery)*notional*C501*F501</f>
        <v>326.892007540242</v>
      </c>
      <c r="H501" s="8">
        <f t="shared" si="18"/>
        <v>6.41842754531072e-6</v>
      </c>
      <c r="I501" s="30"/>
    </row>
    <row r="502" spans="1:9">
      <c r="A502" s="10">
        <v>500</v>
      </c>
      <c r="B502" s="12">
        <f>'2_Discount_Factors'!B503</f>
        <v>1.36986301369863</v>
      </c>
      <c r="C502" s="12">
        <f>EXP(-r_free*(('2_Discount_Factors'!B502+'2_Discount_Factors'!B503)/2))</f>
        <v>0.959776538011704</v>
      </c>
      <c r="D502" s="12">
        <f>'3_Survival_Probs'!D502</f>
        <v>0.981163936340142</v>
      </c>
      <c r="E502" s="12">
        <f>'3_Survival_Probs'!D503</f>
        <v>0.981107178990955</v>
      </c>
      <c r="F502" s="14">
        <f t="shared" si="17"/>
        <v>5.67573491865314e-5</v>
      </c>
      <c r="G502" s="32">
        <f>(1-recovery)*notional*C502*F502</f>
        <v>326.846232653823</v>
      </c>
      <c r="H502" s="14">
        <f t="shared" si="18"/>
        <v>6.56677362409511e-6</v>
      </c>
      <c r="I502" s="33"/>
    </row>
    <row r="503" spans="1:9">
      <c r="A503" s="4">
        <v>501</v>
      </c>
      <c r="B503" s="6">
        <f>'2_Discount_Factors'!B504</f>
        <v>1.37260273972603</v>
      </c>
      <c r="C503" s="6">
        <f>EXP(-r_free*(('2_Discount_Factors'!B503+'2_Discount_Factors'!B504)/2))</f>
        <v>0.959697655510644</v>
      </c>
      <c r="D503" s="6">
        <f>'3_Survival_Probs'!D503</f>
        <v>0.981107178990955</v>
      </c>
      <c r="E503" s="6">
        <f>'3_Survival_Probs'!D504</f>
        <v>0.981050424925009</v>
      </c>
      <c r="F503" s="8">
        <f t="shared" si="17"/>
        <v>5.67540659465182e-5</v>
      </c>
      <c r="G503" s="29">
        <f>(1-recovery)*notional*C503*F503</f>
        <v>326.80046417742</v>
      </c>
      <c r="H503" s="8">
        <f t="shared" si="18"/>
        <v>6.71507803104292e-6</v>
      </c>
      <c r="I503" s="30"/>
    </row>
    <row r="504" spans="1:9">
      <c r="A504" s="10">
        <v>502</v>
      </c>
      <c r="B504" s="12">
        <f>'2_Discount_Factors'!B505</f>
        <v>1.37534246575342</v>
      </c>
      <c r="C504" s="12">
        <f>EXP(-r_free*(('2_Discount_Factors'!B504+'2_Discount_Factors'!B505)/2))</f>
        <v>0.959618779492812</v>
      </c>
      <c r="D504" s="12">
        <f>'3_Survival_Probs'!D504</f>
        <v>0.981050424925009</v>
      </c>
      <c r="E504" s="12">
        <f>'3_Survival_Probs'!D505</f>
        <v>0.980993674142112</v>
      </c>
      <c r="F504" s="14">
        <f t="shared" si="17"/>
        <v>5.67507828964642e-5</v>
      </c>
      <c r="G504" s="32">
        <f>(1-recovery)*notional*C504*F504</f>
        <v>326.754702110199</v>
      </c>
      <c r="H504" s="14">
        <f t="shared" si="18"/>
        <v>6.86334077491745e-6</v>
      </c>
      <c r="I504" s="33"/>
    </row>
    <row r="505" spans="1:9">
      <c r="A505" s="4">
        <v>503</v>
      </c>
      <c r="B505" s="6">
        <f>'2_Discount_Factors'!B506</f>
        <v>1.37808219178082</v>
      </c>
      <c r="C505" s="6">
        <f>EXP(-r_free*(('2_Discount_Factors'!B505+'2_Discount_Factors'!B506)/2))</f>
        <v>0.959539909957673</v>
      </c>
      <c r="D505" s="6">
        <f>'3_Survival_Probs'!D505</f>
        <v>0.980993674142112</v>
      </c>
      <c r="E505" s="6">
        <f>'3_Survival_Probs'!D506</f>
        <v>0.980936926642076</v>
      </c>
      <c r="F505" s="8">
        <f t="shared" si="17"/>
        <v>5.67475000362583e-5</v>
      </c>
      <c r="G505" s="29">
        <f>(1-recovery)*notional*C505*F505</f>
        <v>326.708946450686</v>
      </c>
      <c r="H505" s="8">
        <f t="shared" si="18"/>
        <v>7.01156186446681e-6</v>
      </c>
      <c r="I505" s="30"/>
    </row>
    <row r="506" spans="1:9">
      <c r="A506" s="10">
        <v>504</v>
      </c>
      <c r="B506" s="12">
        <f>'2_Discount_Factors'!B507</f>
        <v>1.38082191780822</v>
      </c>
      <c r="C506" s="12">
        <f>EXP(-r_free*(('2_Discount_Factors'!B506+'2_Discount_Factors'!B507)/2))</f>
        <v>0.959461046904696</v>
      </c>
      <c r="D506" s="12">
        <f>'3_Survival_Probs'!D506</f>
        <v>0.980936926642076</v>
      </c>
      <c r="E506" s="12">
        <f>'3_Survival_Probs'!D507</f>
        <v>0.98088018242471</v>
      </c>
      <c r="F506" s="14">
        <f t="shared" si="17"/>
        <v>5.67442173660115e-5</v>
      </c>
      <c r="G506" s="32">
        <f>(1-recovery)*notional*C506*F506</f>
        <v>326.663197198686</v>
      </c>
      <c r="H506" s="14">
        <f t="shared" si="18"/>
        <v>7.1597413084644e-6</v>
      </c>
      <c r="I506" s="33"/>
    </row>
    <row r="507" spans="1:9">
      <c r="A507" s="4">
        <v>505</v>
      </c>
      <c r="B507" s="6">
        <f>'2_Discount_Factors'!B508</f>
        <v>1.38356164383562</v>
      </c>
      <c r="C507" s="6">
        <f>EXP(-r_free*(('2_Discount_Factors'!B507+'2_Discount_Factors'!B508)/2))</f>
        <v>0.959382190333347</v>
      </c>
      <c r="D507" s="6">
        <f>'3_Survival_Probs'!D507</f>
        <v>0.98088018242471</v>
      </c>
      <c r="E507" s="6">
        <f>'3_Survival_Probs'!D508</f>
        <v>0.980823441489824</v>
      </c>
      <c r="F507" s="8">
        <f t="shared" si="17"/>
        <v>5.6740934885724e-5</v>
      </c>
      <c r="G507" s="29">
        <f>(1-recovery)*notional*C507*F507</f>
        <v>326.617454353366</v>
      </c>
      <c r="H507" s="8">
        <f t="shared" si="18"/>
        <v>7.30787911566896e-6</v>
      </c>
      <c r="I507" s="30"/>
    </row>
    <row r="508" spans="1:9">
      <c r="A508" s="10">
        <v>506</v>
      </c>
      <c r="B508" s="12">
        <f>'2_Discount_Factors'!B509</f>
        <v>1.38630136986301</v>
      </c>
      <c r="C508" s="12">
        <f>EXP(-r_free*(('2_Discount_Factors'!B508+'2_Discount_Factors'!B509)/2))</f>
        <v>0.959303340243094</v>
      </c>
      <c r="D508" s="12">
        <f>'3_Survival_Probs'!D508</f>
        <v>0.980823441489824</v>
      </c>
      <c r="E508" s="12">
        <f>'3_Survival_Probs'!D509</f>
        <v>0.980766703837229</v>
      </c>
      <c r="F508" s="14">
        <f t="shared" si="17"/>
        <v>5.67376525951735e-5</v>
      </c>
      <c r="G508" s="32">
        <f>(1-recovery)*notional*C508*F508</f>
        <v>326.571717912613</v>
      </c>
      <c r="H508" s="14">
        <f t="shared" si="18"/>
        <v>7.45597529480856e-6</v>
      </c>
      <c r="I508" s="33"/>
    </row>
    <row r="509" spans="1:9">
      <c r="A509" s="4">
        <v>507</v>
      </c>
      <c r="B509" s="6">
        <f>'2_Discount_Factors'!B510</f>
        <v>1.38904109589041</v>
      </c>
      <c r="C509" s="6">
        <f>EXP(-r_free*(('2_Discount_Factors'!B509+'2_Discount_Factors'!B510)/2))</f>
        <v>0.959224496633404</v>
      </c>
      <c r="D509" s="6">
        <f>'3_Survival_Probs'!D509</f>
        <v>0.980766703837229</v>
      </c>
      <c r="E509" s="6">
        <f>'3_Survival_Probs'!D510</f>
        <v>0.980709969466734</v>
      </c>
      <c r="F509" s="8">
        <f t="shared" si="17"/>
        <v>5.67343704945822e-5</v>
      </c>
      <c r="G509" s="29">
        <f>(1-recovery)*notional*C509*F509</f>
        <v>326.525987876872</v>
      </c>
      <c r="H509" s="8">
        <f t="shared" si="18"/>
        <v>7.60402985466691e-6</v>
      </c>
      <c r="I509" s="30"/>
    </row>
    <row r="510" spans="1:9">
      <c r="A510" s="10">
        <v>508</v>
      </c>
      <c r="B510" s="12">
        <f>'2_Discount_Factors'!B511</f>
        <v>1.39178082191781</v>
      </c>
      <c r="C510" s="12">
        <f>EXP(-r_free*(('2_Discount_Factors'!B510+'2_Discount_Factors'!B511)/2))</f>
        <v>0.959145659503744</v>
      </c>
      <c r="D510" s="12">
        <f>'3_Survival_Probs'!D510</f>
        <v>0.980709969466734</v>
      </c>
      <c r="E510" s="12">
        <f>'3_Survival_Probs'!D511</f>
        <v>0.980653238378151</v>
      </c>
      <c r="F510" s="14">
        <f t="shared" si="17"/>
        <v>5.6731088583839e-5</v>
      </c>
      <c r="G510" s="32">
        <f>(1-recovery)*notional*C510*F510</f>
        <v>326.480264244669</v>
      </c>
      <c r="H510" s="14">
        <f t="shared" si="18"/>
        <v>7.75204280398306e-6</v>
      </c>
      <c r="I510" s="33"/>
    </row>
    <row r="511" spans="1:9">
      <c r="A511" s="4">
        <v>509</v>
      </c>
      <c r="B511" s="6">
        <f>'2_Discount_Factors'!B512</f>
        <v>1.39452054794521</v>
      </c>
      <c r="C511" s="6">
        <f>EXP(-r_free*(('2_Discount_Factors'!B511+'2_Discount_Factors'!B512)/2))</f>
        <v>0.959066828853582</v>
      </c>
      <c r="D511" s="6">
        <f>'3_Survival_Probs'!D511</f>
        <v>0.980653238378151</v>
      </c>
      <c r="E511" s="6">
        <f>'3_Survival_Probs'!D512</f>
        <v>0.980596510571288</v>
      </c>
      <c r="F511" s="8">
        <f t="shared" si="17"/>
        <v>5.6727806862944e-5</v>
      </c>
      <c r="G511" s="29">
        <f>(1-recovery)*notional*C511*F511</f>
        <v>326.434547015173</v>
      </c>
      <c r="H511" s="8">
        <f t="shared" si="18"/>
        <v>7.90001415150878e-6</v>
      </c>
      <c r="I511" s="30"/>
    </row>
    <row r="512" spans="1:9">
      <c r="A512" s="10">
        <v>510</v>
      </c>
      <c r="B512" s="12">
        <f>'2_Discount_Factors'!B513</f>
        <v>1.3972602739726</v>
      </c>
      <c r="C512" s="12">
        <f>EXP(-r_free*(('2_Discount_Factors'!B512+'2_Discount_Factors'!B513)/2))</f>
        <v>0.958988004682385</v>
      </c>
      <c r="D512" s="12">
        <f>'3_Survival_Probs'!D512</f>
        <v>0.980596510571288</v>
      </c>
      <c r="E512" s="12">
        <f>'3_Survival_Probs'!D513</f>
        <v>0.980539786045956</v>
      </c>
      <c r="F512" s="14">
        <f t="shared" si="17"/>
        <v>5.67245253317861e-5</v>
      </c>
      <c r="G512" s="32">
        <f>(1-recovery)*notional*C512*F512</f>
        <v>326.388836186909</v>
      </c>
      <c r="H512" s="14">
        <f t="shared" si="18"/>
        <v>8.04794390597863e-6</v>
      </c>
      <c r="I512" s="33"/>
    </row>
    <row r="513" spans="1:9">
      <c r="A513" s="4">
        <v>511</v>
      </c>
      <c r="B513" s="6">
        <f>'2_Discount_Factors'!B514</f>
        <v>1.4</v>
      </c>
      <c r="C513" s="6">
        <f>EXP(-r_free*(('2_Discount_Factors'!B513+'2_Discount_Factors'!B514)/2))</f>
        <v>0.958909186989621</v>
      </c>
      <c r="D513" s="6">
        <f>'3_Survival_Probs'!D513</f>
        <v>0.980539786045956</v>
      </c>
      <c r="E513" s="6">
        <f>'3_Survival_Probs'!D514</f>
        <v>0.980483064801965</v>
      </c>
      <c r="F513" s="8">
        <f t="shared" si="17"/>
        <v>5.67212439905873e-5</v>
      </c>
      <c r="G513" s="29">
        <f>(1-recovery)*notional*C513*F513</f>
        <v>326.343131760324</v>
      </c>
      <c r="H513" s="8">
        <f t="shared" si="18"/>
        <v>8.19583207617255e-6</v>
      </c>
      <c r="I513" s="30"/>
    </row>
    <row r="514" spans="1:9">
      <c r="A514" s="10">
        <v>512</v>
      </c>
      <c r="B514" s="12">
        <f>'2_Discount_Factors'!B515</f>
        <v>1.4027397260274</v>
      </c>
      <c r="C514" s="12">
        <f>EXP(-r_free*(('2_Discount_Factors'!B514+'2_Discount_Factors'!B515)/2))</f>
        <v>0.958830375774757</v>
      </c>
      <c r="D514" s="12">
        <f>'3_Survival_Probs'!D514</f>
        <v>0.980483064801965</v>
      </c>
      <c r="E514" s="12">
        <f>'3_Survival_Probs'!D515</f>
        <v>0.980426346839126</v>
      </c>
      <c r="F514" s="14">
        <f t="shared" si="17"/>
        <v>5.67179628391257e-5</v>
      </c>
      <c r="G514" s="32">
        <f>(1-recovery)*notional*C514*F514</f>
        <v>326.297433733305</v>
      </c>
      <c r="H514" s="14">
        <f t="shared" si="18"/>
        <v>8.34367867080602e-6</v>
      </c>
      <c r="I514" s="33"/>
    </row>
    <row r="515" spans="1:9">
      <c r="A515" s="4">
        <v>513</v>
      </c>
      <c r="B515" s="6">
        <f>'2_Discount_Factors'!B516</f>
        <v>1.40547945205479</v>
      </c>
      <c r="C515" s="6">
        <f>EXP(-r_free*(('2_Discount_Factors'!B515+'2_Discount_Factors'!B516)/2))</f>
        <v>0.958751571037261</v>
      </c>
      <c r="D515" s="6">
        <f>'3_Survival_Probs'!D515</f>
        <v>0.980426346839126</v>
      </c>
      <c r="E515" s="6">
        <f>'3_Survival_Probs'!D516</f>
        <v>0.980369632157249</v>
      </c>
      <c r="F515" s="8">
        <f t="shared" ref="F515:F578" si="19">D515-E515</f>
        <v>5.67146818775122e-5</v>
      </c>
      <c r="G515" s="29">
        <f>(1-recovery)*notional*C515*F515</f>
        <v>326.25174210566</v>
      </c>
      <c r="H515" s="8">
        <f t="shared" si="18"/>
        <v>8.4914836986405e-6</v>
      </c>
      <c r="I515" s="30"/>
    </row>
    <row r="516" spans="1:9">
      <c r="A516" s="10">
        <v>514</v>
      </c>
      <c r="B516" s="12">
        <f>'2_Discount_Factors'!B517</f>
        <v>1.40821917808219</v>
      </c>
      <c r="C516" s="12">
        <f>EXP(-r_free*(('2_Discount_Factors'!B516+'2_Discount_Factors'!B517)/2))</f>
        <v>0.958672772776601</v>
      </c>
      <c r="D516" s="12">
        <f>'3_Survival_Probs'!D516</f>
        <v>0.980369632157249</v>
      </c>
      <c r="E516" s="12">
        <f>'3_Survival_Probs'!D517</f>
        <v>0.980312920756143</v>
      </c>
      <c r="F516" s="14">
        <f t="shared" si="19"/>
        <v>5.67114011057468e-5</v>
      </c>
      <c r="G516" s="32">
        <f>(1-recovery)*notional*C516*F516</f>
        <v>326.206056876554</v>
      </c>
      <c r="H516" s="14">
        <f t="shared" si="18"/>
        <v>8.63924716842018e-6</v>
      </c>
      <c r="I516" s="33"/>
    </row>
    <row r="517" spans="1:9">
      <c r="A517" s="4">
        <v>515</v>
      </c>
      <c r="B517" s="6">
        <f>'2_Discount_Factors'!B518</f>
        <v>1.41095890410959</v>
      </c>
      <c r="C517" s="6">
        <f>EXP(-r_free*(('2_Discount_Factors'!B517+'2_Discount_Factors'!B518)/2))</f>
        <v>0.958593980992244</v>
      </c>
      <c r="D517" s="6">
        <f>'3_Survival_Probs'!D517</f>
        <v>0.980312920756143</v>
      </c>
      <c r="E517" s="6">
        <f>'3_Survival_Probs'!D518</f>
        <v>0.980256212635619</v>
      </c>
      <c r="F517" s="8">
        <f t="shared" si="19"/>
        <v>5.67081205236075e-5</v>
      </c>
      <c r="G517" s="29">
        <f>(1-recovery)*notional*C517*F517</f>
        <v>326.160378043877</v>
      </c>
      <c r="H517" s="8">
        <f t="shared" si="18"/>
        <v>8.78696908885336e-6</v>
      </c>
      <c r="I517" s="30"/>
    </row>
    <row r="518" spans="1:9">
      <c r="A518" s="10">
        <v>516</v>
      </c>
      <c r="B518" s="12">
        <f>'2_Discount_Factors'!B519</f>
        <v>1.41369863013699</v>
      </c>
      <c r="C518" s="12">
        <f>EXP(-r_free*(('2_Discount_Factors'!B518+'2_Discount_Factors'!B519)/2))</f>
        <v>0.958515195683658</v>
      </c>
      <c r="D518" s="12">
        <f>'3_Survival_Probs'!D518</f>
        <v>0.980256212635619</v>
      </c>
      <c r="E518" s="12">
        <f>'3_Survival_Probs'!D519</f>
        <v>0.980199507795488</v>
      </c>
      <c r="F518" s="14">
        <f t="shared" si="19"/>
        <v>5.67048401314274e-5</v>
      </c>
      <c r="G518" s="32">
        <f>(1-recovery)*notional*C518*F518</f>
        <v>326.114705608714</v>
      </c>
      <c r="H518" s="14">
        <f t="shared" si="18"/>
        <v>8.93464946873192e-6</v>
      </c>
      <c r="I518" s="33"/>
    </row>
    <row r="519" spans="1:9">
      <c r="A519" s="4">
        <v>517</v>
      </c>
      <c r="B519" s="6">
        <f>'2_Discount_Factors'!B520</f>
        <v>1.41643835616438</v>
      </c>
      <c r="C519" s="6">
        <f>EXP(-r_free*(('2_Discount_Factors'!B519+'2_Discount_Factors'!B520)/2))</f>
        <v>0.95843641685031</v>
      </c>
      <c r="D519" s="6">
        <f>'3_Survival_Probs'!D519</f>
        <v>0.980199507795488</v>
      </c>
      <c r="E519" s="6">
        <f>'3_Survival_Probs'!D520</f>
        <v>0.980142806235559</v>
      </c>
      <c r="F519" s="8">
        <f t="shared" si="19"/>
        <v>5.67015599288734e-5</v>
      </c>
      <c r="G519" s="29">
        <f>(1-recovery)*notional*C519*F519</f>
        <v>326.069039568315</v>
      </c>
      <c r="H519" s="8">
        <f t="shared" si="18"/>
        <v>9.08228831674306e-6</v>
      </c>
      <c r="I519" s="30"/>
    </row>
    <row r="520" spans="1:9">
      <c r="A520" s="10">
        <v>518</v>
      </c>
      <c r="B520" s="12">
        <f>'2_Discount_Factors'!B521</f>
        <v>1.41917808219178</v>
      </c>
      <c r="C520" s="12">
        <f>EXP(-r_free*(('2_Discount_Factors'!B520+'2_Discount_Factors'!B521)/2))</f>
        <v>0.958357644491669</v>
      </c>
      <c r="D520" s="12">
        <f>'3_Survival_Probs'!D520</f>
        <v>0.980142806235559</v>
      </c>
      <c r="E520" s="12">
        <f>'3_Survival_Probs'!D521</f>
        <v>0.980086107955643</v>
      </c>
      <c r="F520" s="14">
        <f t="shared" si="19"/>
        <v>5.66982799160565e-5</v>
      </c>
      <c r="G520" s="32">
        <f>(1-recovery)*notional*C520*F520</f>
        <v>326.023379922487</v>
      </c>
      <c r="H520" s="14">
        <f t="shared" si="18"/>
        <v>9.22988564164122e-6</v>
      </c>
      <c r="I520" s="33"/>
    </row>
    <row r="521" spans="1:9">
      <c r="A521" s="4">
        <v>519</v>
      </c>
      <c r="B521" s="6">
        <f>'2_Discount_Factors'!B522</f>
        <v>1.42191780821918</v>
      </c>
      <c r="C521" s="6">
        <f>EXP(-r_free*(('2_Discount_Factors'!B521+'2_Discount_Factors'!B522)/2))</f>
        <v>0.958278878607203</v>
      </c>
      <c r="D521" s="6">
        <f>'3_Survival_Probs'!D521</f>
        <v>0.980086107955643</v>
      </c>
      <c r="E521" s="6">
        <f>'3_Survival_Probs'!D522</f>
        <v>0.98002941295555</v>
      </c>
      <c r="F521" s="8">
        <f t="shared" si="19"/>
        <v>5.66950000930877e-5</v>
      </c>
      <c r="G521" s="29">
        <f>(1-recovery)*notional*C521*F521</f>
        <v>325.977726671036</v>
      </c>
      <c r="H521" s="8">
        <f t="shared" si="18"/>
        <v>9.37744145218053e-6</v>
      </c>
      <c r="I521" s="30"/>
    </row>
    <row r="522" spans="1:9">
      <c r="A522" s="10">
        <v>520</v>
      </c>
      <c r="B522" s="12">
        <f>'2_Discount_Factors'!B523</f>
        <v>1.42465753424658</v>
      </c>
      <c r="C522" s="12">
        <f>EXP(-r_free*(('2_Discount_Factors'!B522+'2_Discount_Factors'!B523)/2))</f>
        <v>0.958200119196378</v>
      </c>
      <c r="D522" s="12">
        <f>'3_Survival_Probs'!D522</f>
        <v>0.98002941295555</v>
      </c>
      <c r="E522" s="12">
        <f>'3_Survival_Probs'!D523</f>
        <v>0.97997272123509</v>
      </c>
      <c r="F522" s="14">
        <f t="shared" si="19"/>
        <v>5.6691720459745e-5</v>
      </c>
      <c r="G522" s="32">
        <f>(1-recovery)*notional*C522*F522</f>
        <v>325.932079811853</v>
      </c>
      <c r="H522" s="14">
        <f t="shared" si="18"/>
        <v>9.52495575705874e-6</v>
      </c>
      <c r="I522" s="33"/>
    </row>
    <row r="523" spans="1:9">
      <c r="A523" s="4">
        <v>521</v>
      </c>
      <c r="B523" s="6">
        <f>'2_Discount_Factors'!B524</f>
        <v>1.42739726027397</v>
      </c>
      <c r="C523" s="6">
        <f>EXP(-r_free*(('2_Discount_Factors'!B523+'2_Discount_Factors'!B524)/2))</f>
        <v>0.958121366258664</v>
      </c>
      <c r="D523" s="6">
        <f>'3_Survival_Probs'!D523</f>
        <v>0.97997272123509</v>
      </c>
      <c r="E523" s="6">
        <f>'3_Survival_Probs'!D524</f>
        <v>0.979916032794074</v>
      </c>
      <c r="F523" s="8">
        <f t="shared" si="19"/>
        <v>5.66884410162505e-5</v>
      </c>
      <c r="G523" s="29">
        <f>(1-recovery)*notional*C523*F523</f>
        <v>325.886439345382</v>
      </c>
      <c r="H523" s="8">
        <f t="shared" ref="H523:H549" si="20">C523*(B523-1.24931506849315)*F523</f>
        <v>9.67242856504561e-6</v>
      </c>
      <c r="I523" s="30"/>
    </row>
    <row r="524" spans="1:9">
      <c r="A524" s="10">
        <v>522</v>
      </c>
      <c r="B524" s="12">
        <f>'2_Discount_Factors'!B525</f>
        <v>1.43013698630137</v>
      </c>
      <c r="C524" s="12">
        <f>EXP(-r_free*(('2_Discount_Factors'!B524+'2_Discount_Factors'!B525)/2))</f>
        <v>0.958042619793528</v>
      </c>
      <c r="D524" s="12">
        <f>'3_Survival_Probs'!D524</f>
        <v>0.979916032794074</v>
      </c>
      <c r="E524" s="12">
        <f>'3_Survival_Probs'!D525</f>
        <v>0.979859347632312</v>
      </c>
      <c r="F524" s="14">
        <f t="shared" si="19"/>
        <v>5.6685161762271e-5</v>
      </c>
      <c r="G524" s="32">
        <f>(1-recovery)*notional*C524*F524</f>
        <v>325.840805268876</v>
      </c>
      <c r="H524" s="14">
        <f t="shared" si="20"/>
        <v>9.81985988481548e-6</v>
      </c>
      <c r="I524" s="33"/>
    </row>
    <row r="525" spans="1:9">
      <c r="A525" s="4">
        <v>523</v>
      </c>
      <c r="B525" s="6">
        <f>'2_Discount_Factors'!B526</f>
        <v>1.43287671232877</v>
      </c>
      <c r="C525" s="6">
        <f>EXP(-r_free*(('2_Discount_Factors'!B525+'2_Discount_Factors'!B526)/2))</f>
        <v>0.957963879800439</v>
      </c>
      <c r="D525" s="6">
        <f>'3_Survival_Probs'!D525</f>
        <v>0.979859347632312</v>
      </c>
      <c r="E525" s="6">
        <f>'3_Survival_Probs'!D526</f>
        <v>0.979802665749613</v>
      </c>
      <c r="F525" s="8">
        <f t="shared" si="19"/>
        <v>5.66818826981397e-5</v>
      </c>
      <c r="G525" s="29">
        <f>(1-recovery)*notional*C525*F525</f>
        <v>325.795177583419</v>
      </c>
      <c r="H525" s="8">
        <f t="shared" si="20"/>
        <v>9.96724972515488e-6</v>
      </c>
      <c r="I525" s="30"/>
    </row>
    <row r="526" spans="1:9">
      <c r="A526" s="10">
        <v>524</v>
      </c>
      <c r="B526" s="12">
        <f>'2_Discount_Factors'!B527</f>
        <v>1.43561643835616</v>
      </c>
      <c r="C526" s="12">
        <f>EXP(-r_free*(('2_Discount_Factors'!B526+'2_Discount_Factors'!B527)/2))</f>
        <v>0.957885146278863</v>
      </c>
      <c r="D526" s="12">
        <f>'3_Survival_Probs'!D526</f>
        <v>0.979802665749613</v>
      </c>
      <c r="E526" s="12">
        <f>'3_Survival_Probs'!D527</f>
        <v>0.97974598714579</v>
      </c>
      <c r="F526" s="14">
        <f t="shared" si="19"/>
        <v>5.66786038236344e-5</v>
      </c>
      <c r="G526" s="32">
        <f>(1-recovery)*notional*C526*F526</f>
        <v>325.749556286903</v>
      </c>
      <c r="H526" s="14">
        <f t="shared" si="20"/>
        <v>1.01145980947532e-5</v>
      </c>
      <c r="I526" s="33"/>
    </row>
    <row r="527" spans="1:9">
      <c r="A527" s="4">
        <v>525</v>
      </c>
      <c r="B527" s="6">
        <f>'2_Discount_Factors'!B528</f>
        <v>1.43835616438356</v>
      </c>
      <c r="C527" s="6">
        <f>EXP(-r_free*(('2_Discount_Factors'!B527+'2_Discount_Factors'!B528)/2))</f>
        <v>0.95780641922827</v>
      </c>
      <c r="D527" s="6">
        <f>'3_Survival_Probs'!D527</f>
        <v>0.97974598714579</v>
      </c>
      <c r="E527" s="6">
        <f>'3_Survival_Probs'!D528</f>
        <v>0.979689311820651</v>
      </c>
      <c r="F527" s="8">
        <f t="shared" si="19"/>
        <v>5.66753251388663e-5</v>
      </c>
      <c r="G527" s="29">
        <f>(1-recovery)*notional*C527*F527</f>
        <v>325.703941379133</v>
      </c>
      <c r="H527" s="8">
        <f t="shared" si="20"/>
        <v>1.02619050023563e-5</v>
      </c>
      <c r="I527" s="30"/>
    </row>
    <row r="528" spans="1:9">
      <c r="A528" s="10">
        <v>526</v>
      </c>
      <c r="B528" s="12">
        <f>'2_Discount_Factors'!B529</f>
        <v>1.44109589041096</v>
      </c>
      <c r="C528" s="12">
        <f>EXP(-r_free*(('2_Discount_Factors'!B528+'2_Discount_Factors'!B529)/2))</f>
        <v>0.957727698648128</v>
      </c>
      <c r="D528" s="12">
        <f>'3_Survival_Probs'!D528</f>
        <v>0.979689311820651</v>
      </c>
      <c r="E528" s="12">
        <f>'3_Survival_Probs'!D529</f>
        <v>0.979632639774007</v>
      </c>
      <c r="F528" s="14">
        <f t="shared" si="19"/>
        <v>5.66720466436132e-5</v>
      </c>
      <c r="G528" s="32">
        <f>(1-recovery)*notional*C528*F528</f>
        <v>325.658332858002</v>
      </c>
      <c r="H528" s="14">
        <f t="shared" si="20"/>
        <v>1.04091704566485e-5</v>
      </c>
      <c r="I528" s="33"/>
    </row>
    <row r="529" spans="1:9">
      <c r="A529" s="4">
        <v>527</v>
      </c>
      <c r="B529" s="6">
        <f>'2_Discount_Factors'!B530</f>
        <v>1.44383561643836</v>
      </c>
      <c r="C529" s="6">
        <f>EXP(-r_free*(('2_Discount_Factors'!B529+'2_Discount_Factors'!B530)/2))</f>
        <v>0.957648984537904</v>
      </c>
      <c r="D529" s="6">
        <f>'3_Survival_Probs'!D529</f>
        <v>0.979632639774007</v>
      </c>
      <c r="E529" s="6">
        <f>'3_Survival_Probs'!D530</f>
        <v>0.979575971005669</v>
      </c>
      <c r="F529" s="8">
        <f t="shared" si="19"/>
        <v>5.66687683380973e-5</v>
      </c>
      <c r="G529" s="29">
        <f>(1-recovery)*notional*C529*F529</f>
        <v>325.612730723956</v>
      </c>
      <c r="H529" s="8">
        <f t="shared" si="20"/>
        <v>1.05563944663931e-5</v>
      </c>
      <c r="I529" s="30"/>
    </row>
    <row r="530" spans="1:9">
      <c r="A530" s="10">
        <v>528</v>
      </c>
      <c r="B530" s="12">
        <f>'2_Discount_Factors'!B531</f>
        <v>1.44657534246575</v>
      </c>
      <c r="C530" s="12">
        <f>EXP(-r_free*(('2_Discount_Factors'!B530+'2_Discount_Factors'!B531)/2))</f>
        <v>0.957570276897068</v>
      </c>
      <c r="D530" s="12">
        <f>'3_Survival_Probs'!D530</f>
        <v>0.979575971005669</v>
      </c>
      <c r="E530" s="12">
        <f>'3_Survival_Probs'!D531</f>
        <v>0.979519305515447</v>
      </c>
      <c r="F530" s="14">
        <f t="shared" si="19"/>
        <v>5.66654902223185e-5</v>
      </c>
      <c r="G530" s="32">
        <f>(1-recovery)*notional*C530*F530</f>
        <v>325.567134976162</v>
      </c>
      <c r="H530" s="14">
        <f t="shared" si="20"/>
        <v>1.07035770403122e-5</v>
      </c>
      <c r="I530" s="33"/>
    </row>
    <row r="531" spans="1:9">
      <c r="A531" s="4">
        <v>529</v>
      </c>
      <c r="B531" s="6">
        <f>'2_Discount_Factors'!B532</f>
        <v>1.44931506849315</v>
      </c>
      <c r="C531" s="6">
        <f>EXP(-r_free*(('2_Discount_Factors'!B531+'2_Discount_Factors'!B532)/2))</f>
        <v>0.957491575725086</v>
      </c>
      <c r="D531" s="6">
        <f>'3_Survival_Probs'!D531</f>
        <v>0.979519305515447</v>
      </c>
      <c r="E531" s="6">
        <f>'3_Survival_Probs'!D532</f>
        <v>0.979462643303151</v>
      </c>
      <c r="F531" s="8">
        <f t="shared" si="19"/>
        <v>5.66622122960547e-5</v>
      </c>
      <c r="G531" s="29">
        <f>(1-recovery)*notional*C531*F531</f>
        <v>325.521545612513</v>
      </c>
      <c r="H531" s="8">
        <f t="shared" si="20"/>
        <v>1.08507181870838e-5</v>
      </c>
      <c r="I531" s="30"/>
    </row>
    <row r="532" spans="1:9">
      <c r="A532" s="10">
        <v>530</v>
      </c>
      <c r="B532" s="12">
        <f>'2_Discount_Factors'!B533</f>
        <v>1.45205479452055</v>
      </c>
      <c r="C532" s="12">
        <f>EXP(-r_free*(('2_Discount_Factors'!B532+'2_Discount_Factors'!B533)/2))</f>
        <v>0.957412881021429</v>
      </c>
      <c r="D532" s="12">
        <f>'3_Survival_Probs'!D532</f>
        <v>0.979462643303151</v>
      </c>
      <c r="E532" s="12">
        <f>'3_Survival_Probs'!D533</f>
        <v>0.979405984368591</v>
      </c>
      <c r="F532" s="14">
        <f t="shared" si="19"/>
        <v>5.66589345594171e-5</v>
      </c>
      <c r="G532" s="32">
        <f>(1-recovery)*notional*C532*F532</f>
        <v>325.475962632817</v>
      </c>
      <c r="H532" s="14">
        <f t="shared" si="20"/>
        <v>1.09978179154468e-5</v>
      </c>
      <c r="I532" s="33"/>
    </row>
    <row r="533" spans="1:9">
      <c r="A533" s="4">
        <v>531</v>
      </c>
      <c r="B533" s="6">
        <f>'2_Discount_Factors'!B534</f>
        <v>1.45479452054795</v>
      </c>
      <c r="C533" s="6">
        <f>EXP(-r_free*(('2_Discount_Factors'!B533+'2_Discount_Factors'!B534)/2))</f>
        <v>0.957334192785563</v>
      </c>
      <c r="D533" s="6">
        <f>'3_Survival_Probs'!D533</f>
        <v>0.979405984368591</v>
      </c>
      <c r="E533" s="6">
        <f>'3_Survival_Probs'!D534</f>
        <v>0.979349328711579</v>
      </c>
      <c r="F533" s="8">
        <f t="shared" si="19"/>
        <v>5.66556570124055e-5</v>
      </c>
      <c r="G533" s="29">
        <f>(1-recovery)*notional*C533*F533</f>
        <v>325.430386036242</v>
      </c>
      <c r="H533" s="8">
        <f t="shared" si="20"/>
        <v>1.11448762341179e-5</v>
      </c>
      <c r="I533" s="30"/>
    </row>
    <row r="534" spans="1:9">
      <c r="A534" s="10">
        <v>532</v>
      </c>
      <c r="B534" s="12">
        <f>'2_Discount_Factors'!B535</f>
        <v>1.45753424657534</v>
      </c>
      <c r="C534" s="12">
        <f>EXP(-r_free*(('2_Discount_Factors'!B534+'2_Discount_Factors'!B535)/2))</f>
        <v>0.957255511016958</v>
      </c>
      <c r="D534" s="12">
        <f>'3_Survival_Probs'!D534</f>
        <v>0.979349328711579</v>
      </c>
      <c r="E534" s="12">
        <f>'3_Survival_Probs'!D535</f>
        <v>0.979292676331924</v>
      </c>
      <c r="F534" s="14">
        <f t="shared" si="19"/>
        <v>5.665237965502e-5</v>
      </c>
      <c r="G534" s="32">
        <f>(1-recovery)*notional*C534*F534</f>
        <v>325.384815821957</v>
      </c>
      <c r="H534" s="14">
        <f t="shared" si="20"/>
        <v>1.12918931518123e-5</v>
      </c>
      <c r="I534" s="33"/>
    </row>
    <row r="535" spans="1:9">
      <c r="A535" s="4">
        <v>533</v>
      </c>
      <c r="B535" s="6">
        <f>'2_Discount_Factors'!B536</f>
        <v>1.46027397260274</v>
      </c>
      <c r="C535" s="6">
        <f>EXP(-r_free*(('2_Discount_Factors'!B535+'2_Discount_Factors'!B536)/2))</f>
        <v>0.957176835715082</v>
      </c>
      <c r="D535" s="6">
        <f>'3_Survival_Probs'!D535</f>
        <v>0.979292676331924</v>
      </c>
      <c r="E535" s="6">
        <f>'3_Survival_Probs'!D536</f>
        <v>0.979236027229437</v>
      </c>
      <c r="F535" s="8">
        <f t="shared" si="19"/>
        <v>5.66491024871496e-5</v>
      </c>
      <c r="G535" s="29">
        <f>(1-recovery)*notional*C535*F535</f>
        <v>325.339251988495</v>
      </c>
      <c r="H535" s="8">
        <f t="shared" si="20"/>
        <v>1.14388686772211e-5</v>
      </c>
      <c r="I535" s="30"/>
    </row>
    <row r="536" spans="1:9">
      <c r="A536" s="10">
        <v>534</v>
      </c>
      <c r="B536" s="12">
        <f>'2_Discount_Factors'!B537</f>
        <v>1.46301369863014</v>
      </c>
      <c r="C536" s="12">
        <f>EXP(-r_free*(('2_Discount_Factors'!B536+'2_Discount_Factors'!B537)/2))</f>
        <v>0.957098166879403</v>
      </c>
      <c r="D536" s="12">
        <f>'3_Survival_Probs'!D536</f>
        <v>0.979236027229437</v>
      </c>
      <c r="E536" s="12">
        <f>'3_Survival_Probs'!D537</f>
        <v>0.979179381403928</v>
      </c>
      <c r="F536" s="14">
        <f t="shared" si="19"/>
        <v>5.66458255089053e-5</v>
      </c>
      <c r="G536" s="32">
        <f>(1-recovery)*notional*C536*F536</f>
        <v>325.293694535663</v>
      </c>
      <c r="H536" s="14">
        <f t="shared" si="20"/>
        <v>1.15858028190784e-5</v>
      </c>
      <c r="I536" s="33"/>
    </row>
    <row r="537" spans="1:9">
      <c r="A537" s="4">
        <v>535</v>
      </c>
      <c r="B537" s="6">
        <f>'2_Discount_Factors'!B538</f>
        <v>1.46575342465753</v>
      </c>
      <c r="C537" s="6">
        <f>EXP(-r_free*(('2_Discount_Factors'!B537+'2_Discount_Factors'!B538)/2))</f>
        <v>0.95701950450939</v>
      </c>
      <c r="D537" s="6">
        <f>'3_Survival_Probs'!D537</f>
        <v>0.979179381403928</v>
      </c>
      <c r="E537" s="6">
        <f>'3_Survival_Probs'!D538</f>
        <v>0.979122738855208</v>
      </c>
      <c r="F537" s="8">
        <f t="shared" si="19"/>
        <v>5.6642548720176e-5</v>
      </c>
      <c r="G537" s="29">
        <f>(1-recovery)*notional*C537*F537</f>
        <v>325.248143461991</v>
      </c>
      <c r="H537" s="8">
        <f t="shared" si="20"/>
        <v>1.17326955860719e-5</v>
      </c>
      <c r="I537" s="30"/>
    </row>
    <row r="538" spans="1:9">
      <c r="A538" s="10">
        <v>536</v>
      </c>
      <c r="B538" s="12">
        <f>'2_Discount_Factors'!B539</f>
        <v>1.46849315068493</v>
      </c>
      <c r="C538" s="12">
        <f>EXP(-r_free*(('2_Discount_Factors'!B538+'2_Discount_Factors'!B539)/2))</f>
        <v>0.956940848604512</v>
      </c>
      <c r="D538" s="12">
        <f>'3_Survival_Probs'!D538</f>
        <v>0.979122738855208</v>
      </c>
      <c r="E538" s="12">
        <f>'3_Survival_Probs'!D539</f>
        <v>0.979066099583087</v>
      </c>
      <c r="F538" s="14">
        <f t="shared" si="19"/>
        <v>5.66392721210729e-5</v>
      </c>
      <c r="G538" s="32">
        <f>(1-recovery)*notional*C538*F538</f>
        <v>325.202598767288</v>
      </c>
      <c r="H538" s="14">
        <f t="shared" si="20"/>
        <v>1.18795469869329e-5</v>
      </c>
      <c r="I538" s="33"/>
    </row>
    <row r="539" spans="1:9">
      <c r="A539" s="4">
        <v>537</v>
      </c>
      <c r="B539" s="6">
        <f>'2_Discount_Factors'!B540</f>
        <v>1.47123287671233</v>
      </c>
      <c r="C539" s="6">
        <f>EXP(-r_free*(('2_Discount_Factors'!B539+'2_Discount_Factors'!B540)/2))</f>
        <v>0.956862199164237</v>
      </c>
      <c r="D539" s="6">
        <f>'3_Survival_Probs'!D539</f>
        <v>0.979066099583087</v>
      </c>
      <c r="E539" s="6">
        <f>'3_Survival_Probs'!D540</f>
        <v>0.979009463587375</v>
      </c>
      <c r="F539" s="8">
        <f t="shared" si="19"/>
        <v>5.66359957113738e-5</v>
      </c>
      <c r="G539" s="29">
        <f>(1-recovery)*notional*C539*F539</f>
        <v>325.157060449449</v>
      </c>
      <c r="H539" s="8">
        <f t="shared" si="20"/>
        <v>1.20263570303221e-5</v>
      </c>
      <c r="I539" s="30"/>
    </row>
    <row r="540" spans="1:9">
      <c r="A540" s="10">
        <v>538</v>
      </c>
      <c r="B540" s="12">
        <f>'2_Discount_Factors'!B541</f>
        <v>1.47397260273973</v>
      </c>
      <c r="C540" s="12">
        <f>EXP(-r_free*(('2_Discount_Factors'!B540+'2_Discount_Factors'!B541)/2))</f>
        <v>0.956783556188034</v>
      </c>
      <c r="D540" s="12">
        <f>'3_Survival_Probs'!D540</f>
        <v>0.979009463587375</v>
      </c>
      <c r="E540" s="12">
        <f>'3_Survival_Probs'!D541</f>
        <v>0.978952830867884</v>
      </c>
      <c r="F540" s="14">
        <f t="shared" si="19"/>
        <v>5.66327194913008e-5</v>
      </c>
      <c r="G540" s="32">
        <f>(1-recovery)*notional*C540*F540</f>
        <v>325.111528508917</v>
      </c>
      <c r="H540" s="14">
        <f t="shared" si="20"/>
        <v>1.21731257249914e-5</v>
      </c>
      <c r="I540" s="33"/>
    </row>
    <row r="541" spans="1:9">
      <c r="A541" s="4">
        <v>539</v>
      </c>
      <c r="B541" s="6">
        <f>'2_Discount_Factors'!B542</f>
        <v>1.47671232876712</v>
      </c>
      <c r="C541" s="6">
        <f>EXP(-r_free*(('2_Discount_Factors'!B541+'2_Discount_Factors'!B542)/2))</f>
        <v>0.956704919675372</v>
      </c>
      <c r="D541" s="6">
        <f>'3_Survival_Probs'!D541</f>
        <v>0.978952830867884</v>
      </c>
      <c r="E541" s="6">
        <f>'3_Survival_Probs'!D542</f>
        <v>0.978896201424423</v>
      </c>
      <c r="F541" s="8">
        <f t="shared" si="19"/>
        <v>5.66294434607428e-5</v>
      </c>
      <c r="G541" s="29">
        <f>(1-recovery)*notional*C541*F541</f>
        <v>325.066002944226</v>
      </c>
      <c r="H541" s="8">
        <f t="shared" si="20"/>
        <v>1.23198530796214e-5</v>
      </c>
      <c r="I541" s="30"/>
    </row>
    <row r="542" spans="1:9">
      <c r="A542" s="10">
        <v>540</v>
      </c>
      <c r="B542" s="12">
        <f>'2_Discount_Factors'!B543</f>
        <v>1.47945205479452</v>
      </c>
      <c r="C542" s="12">
        <f>EXP(-r_free*(('2_Discount_Factors'!B542+'2_Discount_Factors'!B543)/2))</f>
        <v>0.956626289625718</v>
      </c>
      <c r="D542" s="12">
        <f>'3_Survival_Probs'!D542</f>
        <v>0.978896201424423</v>
      </c>
      <c r="E542" s="12">
        <f>'3_Survival_Probs'!D543</f>
        <v>0.978839575256804</v>
      </c>
      <c r="F542" s="14">
        <f t="shared" si="19"/>
        <v>5.66261676197e-5</v>
      </c>
      <c r="G542" s="32">
        <f>(1-recovery)*notional*C542*F542</f>
        <v>325.020483754546</v>
      </c>
      <c r="H542" s="14">
        <f t="shared" si="20"/>
        <v>1.24665391029141e-5</v>
      </c>
      <c r="I542" s="33"/>
    </row>
    <row r="543" spans="1:9">
      <c r="A543" s="4">
        <v>541</v>
      </c>
      <c r="B543" s="6">
        <f>'2_Discount_Factors'!B544</f>
        <v>1.48219178082192</v>
      </c>
      <c r="C543" s="6">
        <f>EXP(-r_free*(('2_Discount_Factors'!B543+'2_Discount_Factors'!B544)/2))</f>
        <v>0.956547666038544</v>
      </c>
      <c r="D543" s="6">
        <f>'3_Survival_Probs'!D543</f>
        <v>0.978839575256804</v>
      </c>
      <c r="E543" s="6">
        <f>'3_Survival_Probs'!D544</f>
        <v>0.978782952364835</v>
      </c>
      <c r="F543" s="8">
        <f t="shared" si="19"/>
        <v>5.66228919681722e-5</v>
      </c>
      <c r="G543" s="29">
        <f>(1-recovery)*notional*C543*F543</f>
        <v>324.974970939046</v>
      </c>
      <c r="H543" s="8">
        <f t="shared" si="20"/>
        <v>1.26131838035703e-5</v>
      </c>
      <c r="I543" s="30"/>
    </row>
    <row r="544" spans="1:9">
      <c r="A544" s="10">
        <v>542</v>
      </c>
      <c r="B544" s="12">
        <f>'2_Discount_Factors'!B545</f>
        <v>1.48493150684931</v>
      </c>
      <c r="C544" s="12">
        <f>EXP(-r_free*(('2_Discount_Factors'!B544+'2_Discount_Factors'!B545)/2))</f>
        <v>0.956469048913316</v>
      </c>
      <c r="D544" s="12">
        <f>'3_Survival_Probs'!D544</f>
        <v>0.978782952364835</v>
      </c>
      <c r="E544" s="12">
        <f>'3_Survival_Probs'!D545</f>
        <v>0.978726332748329</v>
      </c>
      <c r="F544" s="14">
        <f t="shared" si="19"/>
        <v>5.66196165061594e-5</v>
      </c>
      <c r="G544" s="32">
        <f>(1-recovery)*notional*C544*F544</f>
        <v>324.929464496898</v>
      </c>
      <c r="H544" s="14">
        <f t="shared" si="20"/>
        <v>1.27597871902892e-5</v>
      </c>
      <c r="I544" s="33"/>
    </row>
    <row r="545" spans="1:9">
      <c r="A545" s="4">
        <v>543</v>
      </c>
      <c r="B545" s="6">
        <f>'2_Discount_Factors'!B546</f>
        <v>1.48767123287671</v>
      </c>
      <c r="C545" s="6">
        <f>EXP(-r_free*(('2_Discount_Factors'!B545+'2_Discount_Factors'!B546)/2))</f>
        <v>0.956390438249504</v>
      </c>
      <c r="D545" s="6">
        <f>'3_Survival_Probs'!D545</f>
        <v>0.978726332748329</v>
      </c>
      <c r="E545" s="6">
        <f>'3_Survival_Probs'!D546</f>
        <v>0.978669716407096</v>
      </c>
      <c r="F545" s="8">
        <f t="shared" si="19"/>
        <v>5.66163412335507e-5</v>
      </c>
      <c r="G545" s="29">
        <f>(1-recovery)*notional*C545*F545</f>
        <v>324.883964426634</v>
      </c>
      <c r="H545" s="8">
        <f t="shared" si="20"/>
        <v>1.2906349271743e-5</v>
      </c>
      <c r="I545" s="30"/>
    </row>
    <row r="546" spans="1:9">
      <c r="A546" s="10">
        <v>544</v>
      </c>
      <c r="B546" s="12">
        <f>'2_Discount_Factors'!B547</f>
        <v>1.49041095890411</v>
      </c>
      <c r="C546" s="12">
        <f>EXP(-r_free*(('2_Discount_Factors'!B546+'2_Discount_Factors'!B547)/2))</f>
        <v>0.956311834046577</v>
      </c>
      <c r="D546" s="12">
        <f>'3_Survival_Probs'!D546</f>
        <v>0.978669716407096</v>
      </c>
      <c r="E546" s="12">
        <f>'3_Survival_Probs'!D547</f>
        <v>0.978613103340945</v>
      </c>
      <c r="F546" s="14">
        <f t="shared" si="19"/>
        <v>5.66130661504571e-5</v>
      </c>
      <c r="G546" s="32">
        <f>(1-recovery)*notional*C546*F546</f>
        <v>324.838470728063</v>
      </c>
      <c r="H546" s="14">
        <f t="shared" si="20"/>
        <v>1.30528700566528e-5</v>
      </c>
      <c r="I546" s="33"/>
    </row>
    <row r="547" spans="1:9">
      <c r="A547" s="4">
        <v>545</v>
      </c>
      <c r="B547" s="6">
        <f>'2_Discount_Factors'!B548</f>
        <v>1.49315068493151</v>
      </c>
      <c r="C547" s="6">
        <f>EXP(-r_free*(('2_Discount_Factors'!B547+'2_Discount_Factors'!B548)/2))</f>
        <v>0.956233236304004</v>
      </c>
      <c r="D547" s="6">
        <f>'3_Survival_Probs'!D547</f>
        <v>0.978613103340945</v>
      </c>
      <c r="E547" s="6">
        <f>'3_Survival_Probs'!D548</f>
        <v>0.978556493549688</v>
      </c>
      <c r="F547" s="8">
        <f t="shared" si="19"/>
        <v>5.66097912567676e-5</v>
      </c>
      <c r="G547" s="29">
        <f>(1-recovery)*notional*C547*F547</f>
        <v>324.792983399718</v>
      </c>
      <c r="H547" s="8">
        <f t="shared" si="20"/>
        <v>1.31993495536872e-5</v>
      </c>
      <c r="I547" s="30"/>
    </row>
    <row r="548" spans="1:9">
      <c r="A548" s="10">
        <v>546</v>
      </c>
      <c r="B548" s="12">
        <f>'2_Discount_Factors'!B549</f>
        <v>1.4958904109589</v>
      </c>
      <c r="C548" s="12">
        <f>EXP(-r_free*(('2_Discount_Factors'!B548+'2_Discount_Factors'!B549)/2))</f>
        <v>0.956154645021255</v>
      </c>
      <c r="D548" s="12">
        <f>'3_Survival_Probs'!D548</f>
        <v>0.978556493549688</v>
      </c>
      <c r="E548" s="12">
        <f>'3_Survival_Probs'!D549</f>
        <v>0.978499887033136</v>
      </c>
      <c r="F548" s="14">
        <f t="shared" si="19"/>
        <v>5.66065165524821e-5</v>
      </c>
      <c r="G548" s="32">
        <f>(1-recovery)*notional*C548*F548</f>
        <v>324.747502440769</v>
      </c>
      <c r="H548" s="14">
        <f t="shared" si="20"/>
        <v>1.33457877715385e-5</v>
      </c>
      <c r="I548" s="33"/>
    </row>
    <row r="549" spans="1:9">
      <c r="A549" s="34">
        <v>547</v>
      </c>
      <c r="B549" s="35">
        <f>'2_Discount_Factors'!B550</f>
        <v>1.4986301369863</v>
      </c>
      <c r="C549" s="35">
        <f>EXP(-r_free*(('2_Discount_Factors'!B549+'2_Discount_Factors'!B550)/2))</f>
        <v>0.956076060197797</v>
      </c>
      <c r="D549" s="35">
        <f>'3_Survival_Probs'!D549</f>
        <v>0.978499887033136</v>
      </c>
      <c r="E549" s="35">
        <f>'3_Survival_Probs'!D550</f>
        <v>0.978443283791098</v>
      </c>
      <c r="F549" s="36">
        <f t="shared" si="19"/>
        <v>5.66032420377116e-5</v>
      </c>
      <c r="G549" s="37">
        <f>(1-recovery)*notional*C549*F549</f>
        <v>324.702027851026</v>
      </c>
      <c r="H549" s="36">
        <f t="shared" si="20"/>
        <v>1.34921847189239e-5</v>
      </c>
      <c r="I549" s="38" t="s">
        <v>71</v>
      </c>
    </row>
    <row r="550" spans="1:9">
      <c r="A550" s="10">
        <v>548</v>
      </c>
      <c r="B550" s="12">
        <f>'2_Discount_Factors'!B551</f>
        <v>1.5013698630137</v>
      </c>
      <c r="C550" s="12">
        <f>EXP(-r_free*(('2_Discount_Factors'!B550+'2_Discount_Factors'!B551)/2))</f>
        <v>0.9559974818331</v>
      </c>
      <c r="D550" s="12">
        <f>'3_Survival_Probs'!D550</f>
        <v>0.978443283791098</v>
      </c>
      <c r="E550" s="12">
        <f>'3_Survival_Probs'!D551</f>
        <v>0.978386683823386</v>
      </c>
      <c r="F550" s="14">
        <f t="shared" si="19"/>
        <v>5.65999677123452e-5</v>
      </c>
      <c r="G550" s="32">
        <f>(1-recovery)*notional*C550*F550</f>
        <v>324.656559629021</v>
      </c>
      <c r="H550" s="14">
        <f t="shared" ref="H550:H613" si="21">C550*(B550-1.4986301369863)*F550</f>
        <v>1.48245004396891e-7</v>
      </c>
      <c r="I550" s="33"/>
    </row>
    <row r="551" spans="1:9">
      <c r="A551" s="4">
        <v>549</v>
      </c>
      <c r="B551" s="6">
        <f>'2_Discount_Factors'!B552</f>
        <v>1.5041095890411</v>
      </c>
      <c r="C551" s="6">
        <f>EXP(-r_free*(('2_Discount_Factors'!B551+'2_Discount_Factors'!B552)/2))</f>
        <v>0.955918909926633</v>
      </c>
      <c r="D551" s="6">
        <f>'3_Survival_Probs'!D551</f>
        <v>0.978386683823386</v>
      </c>
      <c r="E551" s="6">
        <f>'3_Survival_Probs'!D552</f>
        <v>0.97833008712981</v>
      </c>
      <c r="F551" s="8">
        <f t="shared" si="19"/>
        <v>5.65966935763829e-5</v>
      </c>
      <c r="G551" s="29">
        <f>(1-recovery)*notional*C551*F551</f>
        <v>324.611097773926</v>
      </c>
      <c r="H551" s="8">
        <f t="shared" si="21"/>
        <v>2.96448491117811e-7</v>
      </c>
      <c r="I551" s="30"/>
    </row>
    <row r="552" spans="1:9">
      <c r="A552" s="10">
        <v>550</v>
      </c>
      <c r="B552" s="12">
        <f>'2_Discount_Factors'!B553</f>
        <v>1.50684931506849</v>
      </c>
      <c r="C552" s="12">
        <f>EXP(-r_free*(('2_Discount_Factors'!B552+'2_Discount_Factors'!B553)/2))</f>
        <v>0.955840344477867</v>
      </c>
      <c r="D552" s="12">
        <f>'3_Survival_Probs'!D552</f>
        <v>0.97833008712981</v>
      </c>
      <c r="E552" s="12">
        <f>'3_Survival_Probs'!D553</f>
        <v>0.97827349371018</v>
      </c>
      <c r="F552" s="14">
        <f t="shared" si="19"/>
        <v>5.65934196298246e-5</v>
      </c>
      <c r="G552" s="32">
        <f>(1-recovery)*notional*C552*F552</f>
        <v>324.565642284912</v>
      </c>
      <c r="H552" s="14">
        <f t="shared" si="21"/>
        <v>4.44610468883517e-7</v>
      </c>
      <c r="I552" s="33"/>
    </row>
    <row r="553" spans="1:9">
      <c r="A553" s="4">
        <v>551</v>
      </c>
      <c r="B553" s="6">
        <f>'2_Discount_Factors'!B554</f>
        <v>1.50958904109589</v>
      </c>
      <c r="C553" s="6">
        <f>EXP(-r_free*(('2_Discount_Factors'!B553+'2_Discount_Factors'!B554)/2))</f>
        <v>0.955761785486268</v>
      </c>
      <c r="D553" s="6">
        <f>'3_Survival_Probs'!D553</f>
        <v>0.97827349371018</v>
      </c>
      <c r="E553" s="6">
        <f>'3_Survival_Probs'!D554</f>
        <v>0.978216903564307</v>
      </c>
      <c r="F553" s="8">
        <f t="shared" si="19"/>
        <v>5.65901458726703e-5</v>
      </c>
      <c r="G553" s="29">
        <f>(1-recovery)*notional*C553*F553</f>
        <v>324.520193161151</v>
      </c>
      <c r="H553" s="8">
        <f t="shared" si="21"/>
        <v>5.9273094641313e-7</v>
      </c>
      <c r="I553" s="30"/>
    </row>
    <row r="554" spans="1:9">
      <c r="A554" s="10">
        <v>552</v>
      </c>
      <c r="B554" s="12">
        <f>'2_Discount_Factors'!B555</f>
        <v>1.51232876712329</v>
      </c>
      <c r="C554" s="12">
        <f>EXP(-r_free*(('2_Discount_Factors'!B554+'2_Discount_Factors'!B555)/2))</f>
        <v>0.955683232951308</v>
      </c>
      <c r="D554" s="12">
        <f>'3_Survival_Probs'!D554</f>
        <v>0.978216903564307</v>
      </c>
      <c r="E554" s="12">
        <f>'3_Survival_Probs'!D555</f>
        <v>0.978160316692002</v>
      </c>
      <c r="F554" s="14">
        <f t="shared" si="19"/>
        <v>5.65868723048091e-5</v>
      </c>
      <c r="G554" s="32">
        <f>(1-recovery)*notional*C554*F554</f>
        <v>324.474750401177</v>
      </c>
      <c r="H554" s="14">
        <f t="shared" si="21"/>
        <v>7.40809932422853e-7</v>
      </c>
      <c r="I554" s="33"/>
    </row>
    <row r="555" spans="1:9">
      <c r="A555" s="4">
        <v>553</v>
      </c>
      <c r="B555" s="6">
        <f>'2_Discount_Factors'!B556</f>
        <v>1.51506849315069</v>
      </c>
      <c r="C555" s="6">
        <f>EXP(-r_free*(('2_Discount_Factors'!B555+'2_Discount_Factors'!B556)/2))</f>
        <v>0.955604686872456</v>
      </c>
      <c r="D555" s="6">
        <f>'3_Survival_Probs'!D555</f>
        <v>0.978160316692002</v>
      </c>
      <c r="E555" s="6">
        <f>'3_Survival_Probs'!D556</f>
        <v>0.978103733093076</v>
      </c>
      <c r="F555" s="8">
        <f t="shared" si="19"/>
        <v>5.65835989263519e-5</v>
      </c>
      <c r="G555" s="29">
        <f>(1-recovery)*notional*C555*F555</f>
        <v>324.429314004799</v>
      </c>
      <c r="H555" s="8">
        <f t="shared" si="21"/>
        <v>8.88847435629666e-7</v>
      </c>
      <c r="I555" s="30"/>
    </row>
    <row r="556" spans="1:9">
      <c r="A556" s="10">
        <v>554</v>
      </c>
      <c r="B556" s="12">
        <f>'2_Discount_Factors'!B557</f>
        <v>1.51780821917808</v>
      </c>
      <c r="C556" s="12">
        <f>EXP(-r_free*(('2_Discount_Factors'!B556+'2_Discount_Factors'!B557)/2))</f>
        <v>0.95552614724918</v>
      </c>
      <c r="D556" s="12">
        <f>'3_Survival_Probs'!D556</f>
        <v>0.978103733093076</v>
      </c>
      <c r="E556" s="12">
        <f>'3_Survival_Probs'!D557</f>
        <v>0.978047152767339</v>
      </c>
      <c r="F556" s="14">
        <f t="shared" si="19"/>
        <v>5.65803257372988e-5</v>
      </c>
      <c r="G556" s="32">
        <f>(1-recovery)*notional*C556*F556</f>
        <v>324.383883971188</v>
      </c>
      <c r="H556" s="14">
        <f t="shared" si="21"/>
        <v>1.03684346474816e-6</v>
      </c>
      <c r="I556" s="33"/>
    </row>
    <row r="557" spans="1:9">
      <c r="A557" s="4">
        <v>555</v>
      </c>
      <c r="B557" s="6">
        <f>'2_Discount_Factors'!B558</f>
        <v>1.52054794520548</v>
      </c>
      <c r="C557" s="6">
        <f>EXP(-r_free*(('2_Discount_Factors'!B557+'2_Discount_Factors'!B558)/2))</f>
        <v>0.95544761408095</v>
      </c>
      <c r="D557" s="6">
        <f>'3_Survival_Probs'!D557</f>
        <v>0.978047152767339</v>
      </c>
      <c r="E557" s="6">
        <f>'3_Survival_Probs'!D558</f>
        <v>0.977990575714601</v>
      </c>
      <c r="F557" s="8">
        <f t="shared" si="19"/>
        <v>5.65770527375387e-5</v>
      </c>
      <c r="G557" s="29">
        <f>(1-recovery)*notional*C557*F557</f>
        <v>324.33846029888</v>
      </c>
      <c r="H557" s="8">
        <f t="shared" si="21"/>
        <v>1.18479802848914e-6</v>
      </c>
      <c r="I557" s="30"/>
    </row>
    <row r="558" spans="1:9">
      <c r="A558" s="10">
        <v>556</v>
      </c>
      <c r="B558" s="12">
        <f>'2_Discount_Factors'!B559</f>
        <v>1.52328767123288</v>
      </c>
      <c r="C558" s="12">
        <f>EXP(-r_free*(('2_Discount_Factors'!B558+'2_Discount_Factors'!B559)/2))</f>
        <v>0.955369087367236</v>
      </c>
      <c r="D558" s="12">
        <f>'3_Survival_Probs'!D558</f>
        <v>0.977990575714601</v>
      </c>
      <c r="E558" s="12">
        <f>'3_Survival_Probs'!D559</f>
        <v>0.977934001934674</v>
      </c>
      <c r="F558" s="14">
        <f t="shared" si="19"/>
        <v>5.65737799271826e-5</v>
      </c>
      <c r="G558" s="32">
        <f>(1-recovery)*notional*C558*F558</f>
        <v>324.293042987684</v>
      </c>
      <c r="H558" s="14">
        <f t="shared" si="21"/>
        <v>1.3327111355659e-6</v>
      </c>
      <c r="I558" s="33"/>
    </row>
    <row r="559" spans="1:9">
      <c r="A559" s="4">
        <v>557</v>
      </c>
      <c r="B559" s="6">
        <f>'2_Discount_Factors'!B560</f>
        <v>1.52602739726027</v>
      </c>
      <c r="C559" s="6">
        <f>EXP(-r_free*(('2_Discount_Factors'!B559+'2_Discount_Factors'!B560)/2))</f>
        <v>0.955290567107508</v>
      </c>
      <c r="D559" s="6">
        <f>'3_Survival_Probs'!D559</f>
        <v>0.977934001934674</v>
      </c>
      <c r="E559" s="6">
        <f>'3_Survival_Probs'!D560</f>
        <v>0.977877431427368</v>
      </c>
      <c r="F559" s="8">
        <f t="shared" si="19"/>
        <v>5.65705073061196e-5</v>
      </c>
      <c r="G559" s="29">
        <f>(1-recovery)*notional*C559*F559</f>
        <v>324.247632036134</v>
      </c>
      <c r="H559" s="8">
        <f t="shared" si="21"/>
        <v>1.48058279468562e-6</v>
      </c>
      <c r="I559" s="30"/>
    </row>
    <row r="560" spans="1:9">
      <c r="A560" s="10">
        <v>558</v>
      </c>
      <c r="B560" s="12">
        <f>'2_Discount_Factors'!B561</f>
        <v>1.52876712328767</v>
      </c>
      <c r="C560" s="12">
        <f>EXP(-r_free*(('2_Discount_Factors'!B560+'2_Discount_Factors'!B561)/2))</f>
        <v>0.955212053301234</v>
      </c>
      <c r="D560" s="12">
        <f>'3_Survival_Probs'!D560</f>
        <v>0.977877431427368</v>
      </c>
      <c r="E560" s="12">
        <f>'3_Survival_Probs'!D561</f>
        <v>0.977820864192493</v>
      </c>
      <c r="F560" s="14">
        <f t="shared" si="19"/>
        <v>5.65672348743496e-5</v>
      </c>
      <c r="G560" s="32">
        <f>(1-recovery)*notional*C560*F560</f>
        <v>324.202227443404</v>
      </c>
      <c r="H560" s="14">
        <f t="shared" si="21"/>
        <v>1.62841301455598e-6</v>
      </c>
      <c r="I560" s="33"/>
    </row>
    <row r="561" spans="1:9">
      <c r="A561" s="4">
        <v>559</v>
      </c>
      <c r="B561" s="6">
        <f>'2_Discount_Factors'!B562</f>
        <v>1.53150684931507</v>
      </c>
      <c r="C561" s="6">
        <f>EXP(-r_free*(('2_Discount_Factors'!B561+'2_Discount_Factors'!B562)/2))</f>
        <v>0.955133545947884</v>
      </c>
      <c r="D561" s="6">
        <f>'3_Survival_Probs'!D561</f>
        <v>0.977820864192493</v>
      </c>
      <c r="E561" s="6">
        <f>'3_Survival_Probs'!D562</f>
        <v>0.977764300229861</v>
      </c>
      <c r="F561" s="8">
        <f t="shared" si="19"/>
        <v>5.65639626318726e-5</v>
      </c>
      <c r="G561" s="29">
        <f>(1-recovery)*notional*C561*F561</f>
        <v>324.156829208664</v>
      </c>
      <c r="H561" s="8">
        <f t="shared" si="21"/>
        <v>1.77620180388317e-6</v>
      </c>
      <c r="I561" s="30"/>
    </row>
    <row r="562" spans="1:9">
      <c r="A562" s="10">
        <v>560</v>
      </c>
      <c r="B562" s="12">
        <f>'2_Discount_Factors'!B563</f>
        <v>1.53424657534247</v>
      </c>
      <c r="C562" s="12">
        <f>EXP(-r_free*(('2_Discount_Factors'!B562+'2_Discount_Factors'!B563)/2))</f>
        <v>0.955055045046928</v>
      </c>
      <c r="D562" s="12">
        <f>'3_Survival_Probs'!D562</f>
        <v>0.977764300229861</v>
      </c>
      <c r="E562" s="12">
        <f>'3_Survival_Probs'!D563</f>
        <v>0.977707739539283</v>
      </c>
      <c r="F562" s="14">
        <f t="shared" si="19"/>
        <v>5.65606905786886e-5</v>
      </c>
      <c r="G562" s="32">
        <f>(1-recovery)*notional*C562*F562</f>
        <v>324.111437331089</v>
      </c>
      <c r="H562" s="14">
        <f t="shared" si="21"/>
        <v>1.92394917137183e-6</v>
      </c>
      <c r="I562" s="33"/>
    </row>
    <row r="563" spans="1:9">
      <c r="A563" s="4">
        <v>561</v>
      </c>
      <c r="B563" s="6">
        <f>'2_Discount_Factors'!B564</f>
        <v>1.53698630136986</v>
      </c>
      <c r="C563" s="6">
        <f>EXP(-r_free*(('2_Discount_Factors'!B563+'2_Discount_Factors'!B564)/2))</f>
        <v>0.954976550597836</v>
      </c>
      <c r="D563" s="6">
        <f>'3_Survival_Probs'!D563</f>
        <v>0.977707739539283</v>
      </c>
      <c r="E563" s="6">
        <f>'3_Survival_Probs'!D564</f>
        <v>0.977651182120568</v>
      </c>
      <c r="F563" s="8">
        <f t="shared" si="19"/>
        <v>5.65574187147977e-5</v>
      </c>
      <c r="G563" s="29">
        <f>(1-recovery)*notional*C563*F563</f>
        <v>324.06605180985</v>
      </c>
      <c r="H563" s="8">
        <f t="shared" si="21"/>
        <v>2.07165512572514e-6</v>
      </c>
      <c r="I563" s="30"/>
    </row>
    <row r="564" spans="1:9">
      <c r="A564" s="10">
        <v>562</v>
      </c>
      <c r="B564" s="12">
        <f>'2_Discount_Factors'!B565</f>
        <v>1.53972602739726</v>
      </c>
      <c r="C564" s="12">
        <f>EXP(-r_free*(('2_Discount_Factors'!B564+'2_Discount_Factors'!B565)/2))</f>
        <v>0.954898062600078</v>
      </c>
      <c r="D564" s="12">
        <f>'3_Survival_Probs'!D564</f>
        <v>0.977651182120568</v>
      </c>
      <c r="E564" s="12">
        <f>'3_Survival_Probs'!D565</f>
        <v>0.977594627973528</v>
      </c>
      <c r="F564" s="14">
        <f t="shared" si="19"/>
        <v>5.65541470400888e-5</v>
      </c>
      <c r="G564" s="32">
        <f>(1-recovery)*notional*C564*F564</f>
        <v>324.020672643484</v>
      </c>
      <c r="H564" s="14">
        <f t="shared" si="21"/>
        <v>2.21931967564037e-6</v>
      </c>
      <c r="I564" s="33"/>
    </row>
    <row r="565" spans="1:9">
      <c r="A565" s="4">
        <v>563</v>
      </c>
      <c r="B565" s="6">
        <f>'2_Discount_Factors'!B566</f>
        <v>1.54246575342466</v>
      </c>
      <c r="C565" s="6">
        <f>EXP(-r_free*(('2_Discount_Factors'!B565+'2_Discount_Factors'!B566)/2))</f>
        <v>0.954819581053123</v>
      </c>
      <c r="D565" s="6">
        <f>'3_Survival_Probs'!D565</f>
        <v>0.977594627973528</v>
      </c>
      <c r="E565" s="6">
        <f>'3_Survival_Probs'!D566</f>
        <v>0.977538077097973</v>
      </c>
      <c r="F565" s="8">
        <f t="shared" si="19"/>
        <v>5.65508755547839e-5</v>
      </c>
      <c r="G565" s="29">
        <f>(1-recovery)*notional*C565*F565</f>
        <v>323.975299832436</v>
      </c>
      <c r="H565" s="8">
        <f t="shared" si="21"/>
        <v>2.36694282982609e-6</v>
      </c>
      <c r="I565" s="30"/>
    </row>
    <row r="566" spans="1:9">
      <c r="A566" s="10">
        <v>564</v>
      </c>
      <c r="B566" s="12">
        <f>'2_Discount_Factors'!B567</f>
        <v>1.54520547945205</v>
      </c>
      <c r="C566" s="12">
        <f>EXP(-r_free*(('2_Discount_Factors'!B566+'2_Discount_Factors'!B567)/2))</f>
        <v>0.95474110595644</v>
      </c>
      <c r="D566" s="12">
        <f>'3_Survival_Probs'!D566</f>
        <v>0.977538077097973</v>
      </c>
      <c r="E566" s="12">
        <f>'3_Survival_Probs'!D567</f>
        <v>0.977481529493714</v>
      </c>
      <c r="F566" s="14">
        <f t="shared" si="19"/>
        <v>5.6547604258661e-5</v>
      </c>
      <c r="G566" s="32">
        <f>(1-recovery)*notional*C566*F566</f>
        <v>323.929933374607</v>
      </c>
      <c r="H566" s="14">
        <f t="shared" si="21"/>
        <v>2.51452459697191e-6</v>
      </c>
      <c r="I566" s="33"/>
    </row>
    <row r="567" spans="1:9">
      <c r="A567" s="4">
        <v>565</v>
      </c>
      <c r="B567" s="6">
        <f>'2_Discount_Factors'!B568</f>
        <v>1.54794520547945</v>
      </c>
      <c r="C567" s="6">
        <f>EXP(-r_free*(('2_Discount_Factors'!B567+'2_Discount_Factors'!B568)/2))</f>
        <v>0.954662637309501</v>
      </c>
      <c r="D567" s="6">
        <f>'3_Survival_Probs'!D567</f>
        <v>0.977481529493714</v>
      </c>
      <c r="E567" s="6">
        <f>'3_Survival_Probs'!D568</f>
        <v>0.977424985160563</v>
      </c>
      <c r="F567" s="8">
        <f t="shared" si="19"/>
        <v>5.65443331517201e-5</v>
      </c>
      <c r="G567" s="29">
        <f>(1-recovery)*notional*C567*F567</f>
        <v>323.884573269169</v>
      </c>
      <c r="H567" s="8">
        <f t="shared" si="21"/>
        <v>2.66206498577407e-6</v>
      </c>
      <c r="I567" s="30"/>
    </row>
    <row r="568" spans="1:9">
      <c r="A568" s="10">
        <v>566</v>
      </c>
      <c r="B568" s="12">
        <f>'2_Discount_Factors'!B569</f>
        <v>1.55068493150685</v>
      </c>
      <c r="C568" s="12">
        <f>EXP(-r_free*(('2_Discount_Factors'!B568+'2_Discount_Factors'!B569)/2))</f>
        <v>0.954584175111775</v>
      </c>
      <c r="D568" s="12">
        <f>'3_Survival_Probs'!D568</f>
        <v>0.977424985160563</v>
      </c>
      <c r="E568" s="12">
        <f>'3_Survival_Probs'!D569</f>
        <v>0.977368444098329</v>
      </c>
      <c r="F568" s="14">
        <f t="shared" si="19"/>
        <v>5.65410622340723e-5</v>
      </c>
      <c r="G568" s="32">
        <f>(1-recovery)*notional*C568*F568</f>
        <v>323.839219515932</v>
      </c>
      <c r="H568" s="14">
        <f t="shared" si="21"/>
        <v>2.80956400493283e-6</v>
      </c>
      <c r="I568" s="33"/>
    </row>
    <row r="569" spans="1:9">
      <c r="A569" s="4">
        <v>567</v>
      </c>
      <c r="B569" s="6">
        <f>'2_Discount_Factors'!B570</f>
        <v>1.55342465753425</v>
      </c>
      <c r="C569" s="6">
        <f>EXP(-r_free*(('2_Discount_Factors'!B569+'2_Discount_Factors'!B570)/2))</f>
        <v>0.954505719362731</v>
      </c>
      <c r="D569" s="6">
        <f>'3_Survival_Probs'!D569</f>
        <v>0.977368444098329</v>
      </c>
      <c r="E569" s="6">
        <f>'3_Survival_Probs'!D570</f>
        <v>0.977311906306823</v>
      </c>
      <c r="F569" s="8">
        <f t="shared" si="19"/>
        <v>5.65377915056064e-5</v>
      </c>
      <c r="G569" s="29">
        <f>(1-recovery)*notional*C569*F569</f>
        <v>323.793872113434</v>
      </c>
      <c r="H569" s="8">
        <f t="shared" si="21"/>
        <v>2.95702166313645e-6</v>
      </c>
      <c r="I569" s="30"/>
    </row>
    <row r="570" spans="1:9">
      <c r="A570" s="10">
        <v>568</v>
      </c>
      <c r="B570" s="12">
        <f>'2_Discount_Factors'!B571</f>
        <v>1.55616438356164</v>
      </c>
      <c r="C570" s="12">
        <f>EXP(-r_free*(('2_Discount_Factors'!B570+'2_Discount_Factors'!B571)/2))</f>
        <v>0.95442727006184</v>
      </c>
      <c r="D570" s="12">
        <f>'3_Survival_Probs'!D570</f>
        <v>0.977311906306823</v>
      </c>
      <c r="E570" s="12">
        <f>'3_Survival_Probs'!D571</f>
        <v>0.977255371785857</v>
      </c>
      <c r="F570" s="14">
        <f t="shared" si="19"/>
        <v>5.65345209663226e-5</v>
      </c>
      <c r="G570" s="32">
        <f>(1-recovery)*notional*C570*F570</f>
        <v>323.748531060847</v>
      </c>
      <c r="H570" s="14">
        <f t="shared" si="21"/>
        <v>3.10443796907669e-6</v>
      </c>
      <c r="I570" s="33"/>
    </row>
    <row r="571" spans="1:9">
      <c r="A571" s="4">
        <v>569</v>
      </c>
      <c r="B571" s="6">
        <f>'2_Discount_Factors'!B572</f>
        <v>1.55890410958904</v>
      </c>
      <c r="C571" s="6">
        <f>EXP(-r_free*(('2_Discount_Factors'!B571+'2_Discount_Factors'!B572)/2))</f>
        <v>0.954348827208571</v>
      </c>
      <c r="D571" s="6">
        <f>'3_Survival_Probs'!D571</f>
        <v>0.977255371785857</v>
      </c>
      <c r="E571" s="6">
        <f>'3_Survival_Probs'!D572</f>
        <v>0.977198840535241</v>
      </c>
      <c r="F571" s="8">
        <f t="shared" si="19"/>
        <v>5.65312506162208e-5</v>
      </c>
      <c r="G571" s="29">
        <f>(1-recovery)*notional*C571*F571</f>
        <v>323.703196357345</v>
      </c>
      <c r="H571" s="8">
        <f t="shared" si="21"/>
        <v>3.25181293144372e-6</v>
      </c>
      <c r="I571" s="30"/>
    </row>
    <row r="572" spans="1:9">
      <c r="A572" s="10">
        <v>570</v>
      </c>
      <c r="B572" s="12">
        <f>'2_Discount_Factors'!B573</f>
        <v>1.56164383561644</v>
      </c>
      <c r="C572" s="12">
        <f>EXP(-r_free*(('2_Discount_Factors'!B572+'2_Discount_Factors'!B573)/2))</f>
        <v>0.954270390802396</v>
      </c>
      <c r="D572" s="12">
        <f>'3_Survival_Probs'!D572</f>
        <v>0.977198840535241</v>
      </c>
      <c r="E572" s="12">
        <f>'3_Survival_Probs'!D573</f>
        <v>0.977142312554785</v>
      </c>
      <c r="F572" s="14">
        <f t="shared" si="19"/>
        <v>5.6527980455412e-5</v>
      </c>
      <c r="G572" s="32">
        <f>(1-recovery)*notional*C572*F572</f>
        <v>323.657868002737</v>
      </c>
      <c r="H572" s="14">
        <f t="shared" si="21"/>
        <v>3.39914655893293e-6</v>
      </c>
      <c r="I572" s="33"/>
    </row>
    <row r="573" spans="1:9">
      <c r="A573" s="4">
        <v>571</v>
      </c>
      <c r="B573" s="6">
        <f>'2_Discount_Factors'!B574</f>
        <v>1.56438356164384</v>
      </c>
      <c r="C573" s="6">
        <f>EXP(-r_free*(('2_Discount_Factors'!B573+'2_Discount_Factors'!B574)/2))</f>
        <v>0.954191960842783</v>
      </c>
      <c r="D573" s="6">
        <f>'3_Survival_Probs'!D573</f>
        <v>0.977142312554785</v>
      </c>
      <c r="E573" s="6">
        <f>'3_Survival_Probs'!D574</f>
        <v>0.977085787844301</v>
      </c>
      <c r="F573" s="8">
        <f t="shared" si="19"/>
        <v>5.65247104836741e-5</v>
      </c>
      <c r="G573" s="29">
        <f>(1-recovery)*notional*C573*F573</f>
        <v>323.612545994926</v>
      </c>
      <c r="H573" s="8">
        <f t="shared" si="21"/>
        <v>3.54643886021844e-6</v>
      </c>
      <c r="I573" s="30"/>
    </row>
    <row r="574" spans="1:9">
      <c r="A574" s="10">
        <v>572</v>
      </c>
      <c r="B574" s="12">
        <f>'2_Discount_Factors'!B575</f>
        <v>1.56712328767123</v>
      </c>
      <c r="C574" s="12">
        <f>EXP(-r_free*(('2_Discount_Factors'!B574+'2_Discount_Factors'!B575)/2))</f>
        <v>0.954113537329204</v>
      </c>
      <c r="D574" s="12">
        <f>'3_Survival_Probs'!D574</f>
        <v>0.977085787844301</v>
      </c>
      <c r="E574" s="12">
        <f>'3_Survival_Probs'!D575</f>
        <v>0.9770292664036</v>
      </c>
      <c r="F574" s="14">
        <f t="shared" si="19"/>
        <v>5.65214407011183e-5</v>
      </c>
      <c r="G574" s="32">
        <f>(1-recovery)*notional*C574*F574</f>
        <v>323.567230333721</v>
      </c>
      <c r="H574" s="14">
        <f t="shared" si="21"/>
        <v>3.69368984399232e-6</v>
      </c>
      <c r="I574" s="33"/>
    </row>
    <row r="575" spans="1:9">
      <c r="A575" s="4">
        <v>573</v>
      </c>
      <c r="B575" s="6">
        <f>'2_Discount_Factors'!B576</f>
        <v>1.56986301369863</v>
      </c>
      <c r="C575" s="6">
        <f>EXP(-r_free*(('2_Discount_Factors'!B575+'2_Discount_Factors'!B576)/2))</f>
        <v>0.954035120261128</v>
      </c>
      <c r="D575" s="6">
        <f>'3_Survival_Probs'!D575</f>
        <v>0.9770292664036</v>
      </c>
      <c r="E575" s="6">
        <f>'3_Survival_Probs'!D576</f>
        <v>0.976972748232493</v>
      </c>
      <c r="F575" s="8">
        <f t="shared" si="19"/>
        <v>5.65181711076335e-5</v>
      </c>
      <c r="G575" s="29">
        <f>(1-recovery)*notional*C575*F575</f>
        <v>323.521921017661</v>
      </c>
      <c r="H575" s="8">
        <f t="shared" si="21"/>
        <v>3.84089951893121e-6</v>
      </c>
      <c r="I575" s="30"/>
    </row>
    <row r="576" spans="1:9">
      <c r="A576" s="10">
        <v>574</v>
      </c>
      <c r="B576" s="12">
        <f>'2_Discount_Factors'!B577</f>
        <v>1.57260273972603</v>
      </c>
      <c r="C576" s="12">
        <f>EXP(-r_free*(('2_Discount_Factors'!B576+'2_Discount_Factors'!B577)/2))</f>
        <v>0.953956709638026</v>
      </c>
      <c r="D576" s="12">
        <f>'3_Survival_Probs'!D576</f>
        <v>0.976972748232493</v>
      </c>
      <c r="E576" s="12">
        <f>'3_Survival_Probs'!D577</f>
        <v>0.976916233330789</v>
      </c>
      <c r="F576" s="14">
        <f t="shared" si="19"/>
        <v>5.65149017034416e-5</v>
      </c>
      <c r="G576" s="32">
        <f>(1-recovery)*notional*C576*F576</f>
        <v>323.47661804719</v>
      </c>
      <c r="H576" s="14">
        <f t="shared" si="21"/>
        <v>3.98806789373255e-6</v>
      </c>
      <c r="I576" s="33"/>
    </row>
    <row r="577" spans="1:9">
      <c r="A577" s="4">
        <v>575</v>
      </c>
      <c r="B577" s="6">
        <f>'2_Discount_Factors'!B578</f>
        <v>1.57534246575342</v>
      </c>
      <c r="C577" s="6">
        <f>EXP(-r_free*(('2_Discount_Factors'!B577+'2_Discount_Factors'!B578)/2))</f>
        <v>0.953878305459367</v>
      </c>
      <c r="D577" s="6">
        <f>'3_Survival_Probs'!D577</f>
        <v>0.976916233330789</v>
      </c>
      <c r="E577" s="6">
        <f>'3_Survival_Probs'!D578</f>
        <v>0.976859721698301</v>
      </c>
      <c r="F577" s="8">
        <f t="shared" si="19"/>
        <v>5.65116324882098e-5</v>
      </c>
      <c r="G577" s="29">
        <f>(1-recovery)*notional*C577*F577</f>
        <v>323.431321419576</v>
      </c>
      <c r="H577" s="8">
        <f t="shared" si="21"/>
        <v>4.13519497705402e-6</v>
      </c>
      <c r="I577" s="30"/>
    </row>
    <row r="578" spans="1:9">
      <c r="A578" s="10">
        <v>576</v>
      </c>
      <c r="B578" s="12">
        <f>'2_Discount_Factors'!B579</f>
        <v>1.57808219178082</v>
      </c>
      <c r="C578" s="12">
        <f>EXP(-r_free*(('2_Discount_Factors'!B578+'2_Discount_Factors'!B579)/2))</f>
        <v>0.953799907724623</v>
      </c>
      <c r="D578" s="12">
        <f>'3_Survival_Probs'!D578</f>
        <v>0.976859721698301</v>
      </c>
      <c r="E578" s="12">
        <f>'3_Survival_Probs'!D579</f>
        <v>0.976803213334839</v>
      </c>
      <c r="F578" s="14">
        <f t="shared" si="19"/>
        <v>5.65083634621599e-5</v>
      </c>
      <c r="G578" s="32">
        <f>(1-recovery)*notional*C578*F578</f>
        <v>323.386031135266</v>
      </c>
      <c r="H578" s="14">
        <f t="shared" si="21"/>
        <v>4.28228077759035e-6</v>
      </c>
      <c r="I578" s="33"/>
    </row>
    <row r="579" spans="1:9">
      <c r="A579" s="4">
        <v>577</v>
      </c>
      <c r="B579" s="6">
        <f>'2_Discount_Factors'!B580</f>
        <v>1.58082191780822</v>
      </c>
      <c r="C579" s="6">
        <f>EXP(-r_free*(('2_Discount_Factors'!B579+'2_Discount_Factors'!B580)/2))</f>
        <v>0.953721516433263</v>
      </c>
      <c r="D579" s="6">
        <f>'3_Survival_Probs'!D579</f>
        <v>0.976803213334839</v>
      </c>
      <c r="E579" s="6">
        <f>'3_Survival_Probs'!D580</f>
        <v>0.976746708240214</v>
      </c>
      <c r="F579" s="8">
        <f t="shared" ref="F579:F642" si="22">D579-E579</f>
        <v>5.65050946252921e-5</v>
      </c>
      <c r="G579" s="29">
        <f>(1-recovery)*notional*C579*F579</f>
        <v>323.340747193432</v>
      </c>
      <c r="H579" s="8">
        <f t="shared" si="21"/>
        <v>4.42932530401969e-6</v>
      </c>
      <c r="I579" s="30"/>
    </row>
    <row r="580" spans="1:9">
      <c r="A580" s="10">
        <v>578</v>
      </c>
      <c r="B580" s="12">
        <f>'2_Discount_Factors'!B581</f>
        <v>1.58356164383562</v>
      </c>
      <c r="C580" s="12">
        <f>EXP(-r_free*(('2_Discount_Factors'!B580+'2_Discount_Factors'!B581)/2))</f>
        <v>0.953643131584759</v>
      </c>
      <c r="D580" s="12">
        <f>'3_Survival_Probs'!D580</f>
        <v>0.976746708240214</v>
      </c>
      <c r="E580" s="12">
        <f>'3_Survival_Probs'!D581</f>
        <v>0.976690206414236</v>
      </c>
      <c r="F580" s="14">
        <f t="shared" si="22"/>
        <v>5.65018259773842e-5</v>
      </c>
      <c r="G580" s="32">
        <f>(1-recovery)*notional*C580*F580</f>
        <v>323.295469591978</v>
      </c>
      <c r="H580" s="14">
        <f t="shared" si="21"/>
        <v>4.57632856500068e-6</v>
      </c>
      <c r="I580" s="33"/>
    </row>
    <row r="581" spans="1:9">
      <c r="A581" s="4">
        <v>579</v>
      </c>
      <c r="B581" s="6">
        <f>'2_Discount_Factors'!B582</f>
        <v>1.58630136986301</v>
      </c>
      <c r="C581" s="6">
        <f>EXP(-r_free*(('2_Discount_Factors'!B581+'2_Discount_Factors'!B582)/2))</f>
        <v>0.95356475317858</v>
      </c>
      <c r="D581" s="6">
        <f>'3_Survival_Probs'!D581</f>
        <v>0.976690206414236</v>
      </c>
      <c r="E581" s="6">
        <f>'3_Survival_Probs'!D582</f>
        <v>0.976633707856718</v>
      </c>
      <c r="F581" s="8">
        <f t="shared" si="22"/>
        <v>5.64985575186583e-5</v>
      </c>
      <c r="G581" s="29">
        <f>(1-recovery)*notional*C581*F581</f>
        <v>323.250198331351</v>
      </c>
      <c r="H581" s="8">
        <f t="shared" si="21"/>
        <v>4.7232905692253e-6</v>
      </c>
      <c r="I581" s="30"/>
    </row>
    <row r="582" spans="1:9">
      <c r="A582" s="10">
        <v>580</v>
      </c>
      <c r="B582" s="12">
        <f>'2_Discount_Factors'!B583</f>
        <v>1.58904109589041</v>
      </c>
      <c r="C582" s="12">
        <f>EXP(-r_free*(('2_Discount_Factors'!B582+'2_Discount_Factors'!B583)/2))</f>
        <v>0.953486381214197</v>
      </c>
      <c r="D582" s="12">
        <f>'3_Survival_Probs'!D582</f>
        <v>0.976633707856718</v>
      </c>
      <c r="E582" s="12">
        <f>'3_Survival_Probs'!D583</f>
        <v>0.976577212567469</v>
      </c>
      <c r="F582" s="14">
        <f t="shared" si="22"/>
        <v>5.64952892490034e-5</v>
      </c>
      <c r="G582" s="32">
        <f>(1-recovery)*notional*C582*F582</f>
        <v>323.204933410089</v>
      </c>
      <c r="H582" s="14">
        <f t="shared" si="21"/>
        <v>4.87021132535758e-6</v>
      </c>
      <c r="I582" s="33"/>
    </row>
    <row r="583" spans="1:9">
      <c r="A583" s="4">
        <v>581</v>
      </c>
      <c r="B583" s="6">
        <f>'2_Discount_Factors'!B584</f>
        <v>1.59178082191781</v>
      </c>
      <c r="C583" s="6">
        <f>EXP(-r_free*(('2_Discount_Factors'!B583+'2_Discount_Factors'!B584)/2))</f>
        <v>0.95340801569108</v>
      </c>
      <c r="D583" s="6">
        <f>'3_Survival_Probs'!D583</f>
        <v>0.976577212567469</v>
      </c>
      <c r="E583" s="6">
        <f>'3_Survival_Probs'!D584</f>
        <v>0.9765207205463</v>
      </c>
      <c r="F583" s="8">
        <f t="shared" si="22"/>
        <v>5.64920211683084e-5</v>
      </c>
      <c r="G583" s="29">
        <f>(1-recovery)*notional*C583*F583</f>
        <v>323.159674826733</v>
      </c>
      <c r="H583" s="8">
        <f t="shared" si="21"/>
        <v>5.01709084205894e-6</v>
      </c>
      <c r="I583" s="30"/>
    </row>
    <row r="584" spans="1:9">
      <c r="A584" s="10">
        <v>582</v>
      </c>
      <c r="B584" s="12">
        <f>'2_Discount_Factors'!B585</f>
        <v>1.59452054794521</v>
      </c>
      <c r="C584" s="12">
        <f>EXP(-r_free*(('2_Discount_Factors'!B584+'2_Discount_Factors'!B585)/2))</f>
        <v>0.953329656608701</v>
      </c>
      <c r="D584" s="12">
        <f>'3_Survival_Probs'!D584</f>
        <v>0.9765207205463</v>
      </c>
      <c r="E584" s="12">
        <f>'3_Survival_Probs'!D585</f>
        <v>0.976464231793024</v>
      </c>
      <c r="F584" s="14">
        <f t="shared" si="22"/>
        <v>5.64887532766845e-5</v>
      </c>
      <c r="G584" s="32">
        <f>(1-recovery)*notional*C584*F584</f>
        <v>323.114422581091</v>
      </c>
      <c r="H584" s="14">
        <f t="shared" si="21"/>
        <v>5.16392912800838e-6</v>
      </c>
      <c r="I584" s="33"/>
    </row>
    <row r="585" spans="1:9">
      <c r="A585" s="4">
        <v>583</v>
      </c>
      <c r="B585" s="6">
        <f>'2_Discount_Factors'!B586</f>
        <v>1.5972602739726</v>
      </c>
      <c r="C585" s="6">
        <f>EXP(-r_free*(('2_Discount_Factors'!B585+'2_Discount_Factors'!B586)/2))</f>
        <v>0.95325130396653</v>
      </c>
      <c r="D585" s="6">
        <f>'3_Survival_Probs'!D585</f>
        <v>0.976464231793024</v>
      </c>
      <c r="E585" s="6">
        <f>'3_Survival_Probs'!D586</f>
        <v>0.976407746307449</v>
      </c>
      <c r="F585" s="8">
        <f t="shared" si="22"/>
        <v>5.64854855742425e-5</v>
      </c>
      <c r="G585" s="29">
        <f>(1-recovery)*notional*C585*F585</f>
        <v>323.069176672976</v>
      </c>
      <c r="H585" s="8">
        <f t="shared" si="21"/>
        <v>5.3107261918846e-6</v>
      </c>
      <c r="I585" s="30"/>
    </row>
    <row r="586" spans="1:9">
      <c r="A586" s="10">
        <v>584</v>
      </c>
      <c r="B586" s="12">
        <f>'2_Discount_Factors'!B587</f>
        <v>1.6</v>
      </c>
      <c r="C586" s="12">
        <f>EXP(-r_free*(('2_Discount_Factors'!B586+'2_Discount_Factors'!B587)/2))</f>
        <v>0.953172957764037</v>
      </c>
      <c r="D586" s="12">
        <f>'3_Survival_Probs'!D586</f>
        <v>0.976407746307449</v>
      </c>
      <c r="E586" s="12">
        <f>'3_Survival_Probs'!D587</f>
        <v>0.976351264089389</v>
      </c>
      <c r="F586" s="14">
        <f t="shared" si="22"/>
        <v>5.64822180606495e-5</v>
      </c>
      <c r="G586" s="32">
        <f>(1-recovery)*notional*C586*F586</f>
        <v>323.023937099655</v>
      </c>
      <c r="H586" s="14">
        <f t="shared" si="21"/>
        <v>5.45748204232302e-6</v>
      </c>
      <c r="I586" s="33"/>
    </row>
    <row r="587" spans="1:9">
      <c r="A587" s="4">
        <v>585</v>
      </c>
      <c r="B587" s="6">
        <f>'2_Discount_Factors'!B588</f>
        <v>1.6027397260274</v>
      </c>
      <c r="C587" s="6">
        <f>EXP(-r_free*(('2_Discount_Factors'!B587+'2_Discount_Factors'!B588)/2))</f>
        <v>0.953094618000694</v>
      </c>
      <c r="D587" s="6">
        <f>'3_Survival_Probs'!D587</f>
        <v>0.976351264089389</v>
      </c>
      <c r="E587" s="6">
        <f>'3_Survival_Probs'!D588</f>
        <v>0.976294785138653</v>
      </c>
      <c r="F587" s="8">
        <f t="shared" si="22"/>
        <v>5.64789507361274e-5</v>
      </c>
      <c r="G587" s="29">
        <f>(1-recovery)*notional*C587*F587</f>
        <v>322.978703861576</v>
      </c>
      <c r="H587" s="8">
        <f t="shared" si="21"/>
        <v>5.60419668800916e-6</v>
      </c>
      <c r="I587" s="30"/>
    </row>
    <row r="588" spans="1:9">
      <c r="A588" s="10">
        <v>586</v>
      </c>
      <c r="B588" s="12">
        <f>'2_Discount_Factors'!B589</f>
        <v>1.60547945205479</v>
      </c>
      <c r="C588" s="12">
        <f>EXP(-r_free*(('2_Discount_Factors'!B588+'2_Discount_Factors'!B589)/2))</f>
        <v>0.95301628467597</v>
      </c>
      <c r="D588" s="12">
        <f>'3_Survival_Probs'!D588</f>
        <v>0.976294785138653</v>
      </c>
      <c r="E588" s="12">
        <f>'3_Survival_Probs'!D589</f>
        <v>0.976238309455052</v>
      </c>
      <c r="F588" s="14">
        <f t="shared" si="22"/>
        <v>5.64756836006763e-5</v>
      </c>
      <c r="G588" s="32">
        <f>(1-recovery)*notional*C588*F588</f>
        <v>322.933476957913</v>
      </c>
      <c r="H588" s="14">
        <f t="shared" si="21"/>
        <v>5.75087013760675e-6</v>
      </c>
      <c r="I588" s="33"/>
    </row>
    <row r="589" spans="1:9">
      <c r="A589" s="4">
        <v>587</v>
      </c>
      <c r="B589" s="6">
        <f>'2_Discount_Factors'!B590</f>
        <v>1.60821917808219</v>
      </c>
      <c r="C589" s="6">
        <f>EXP(-r_free*(('2_Discount_Factors'!B589+'2_Discount_Factors'!B590)/2))</f>
        <v>0.952937957789338</v>
      </c>
      <c r="D589" s="6">
        <f>'3_Survival_Probs'!D589</f>
        <v>0.976238309455052</v>
      </c>
      <c r="E589" s="6">
        <f>'3_Survival_Probs'!D590</f>
        <v>0.976181837038398</v>
      </c>
      <c r="F589" s="8">
        <f t="shared" si="22"/>
        <v>5.64724166541852e-5</v>
      </c>
      <c r="G589" s="29">
        <f>(1-recovery)*notional*C589*F589</f>
        <v>322.888256387207</v>
      </c>
      <c r="H589" s="8">
        <f t="shared" si="21"/>
        <v>5.89750239976641e-6</v>
      </c>
      <c r="I589" s="30"/>
    </row>
    <row r="590" spans="1:9">
      <c r="A590" s="10">
        <v>588</v>
      </c>
      <c r="B590" s="12">
        <f>'2_Discount_Factors'!B591</f>
        <v>1.61095890410959</v>
      </c>
      <c r="C590" s="12">
        <f>EXP(-r_free*(('2_Discount_Factors'!B590+'2_Discount_Factors'!B591)/2))</f>
        <v>0.952859637340267</v>
      </c>
      <c r="D590" s="12">
        <f>'3_Survival_Probs'!D590</f>
        <v>0.976181837038398</v>
      </c>
      <c r="E590" s="12">
        <f>'3_Survival_Probs'!D591</f>
        <v>0.976125367888501</v>
      </c>
      <c r="F590" s="14">
        <f t="shared" si="22"/>
        <v>5.64691498966541e-5</v>
      </c>
      <c r="G590" s="32">
        <f>(1-recovery)*notional*C590*F590</f>
        <v>322.843042148634</v>
      </c>
      <c r="H590" s="14">
        <f t="shared" si="21"/>
        <v>6.04409348314802e-6</v>
      </c>
      <c r="I590" s="33"/>
    </row>
    <row r="591" spans="1:9">
      <c r="A591" s="4">
        <v>589</v>
      </c>
      <c r="B591" s="6">
        <f>'2_Discount_Factors'!B592</f>
        <v>1.61369863013699</v>
      </c>
      <c r="C591" s="6">
        <f>EXP(-r_free*(('2_Discount_Factors'!B591+'2_Discount_Factors'!B592)/2))</f>
        <v>0.952781323328229</v>
      </c>
      <c r="D591" s="6">
        <f>'3_Survival_Probs'!D591</f>
        <v>0.976125367888501</v>
      </c>
      <c r="E591" s="6">
        <f>'3_Survival_Probs'!D592</f>
        <v>0.976068902005173</v>
      </c>
      <c r="F591" s="8">
        <f t="shared" si="22"/>
        <v>5.64658833280829e-5</v>
      </c>
      <c r="G591" s="29">
        <f>(1-recovery)*notional*C591*F591</f>
        <v>322.797834241369</v>
      </c>
      <c r="H591" s="8">
        <f t="shared" si="21"/>
        <v>6.19064339640989e-6</v>
      </c>
      <c r="I591" s="30"/>
    </row>
    <row r="592" spans="1:9">
      <c r="A592" s="10">
        <v>590</v>
      </c>
      <c r="B592" s="12">
        <f>'2_Discount_Factors'!B593</f>
        <v>1.61643835616438</v>
      </c>
      <c r="C592" s="12">
        <f>EXP(-r_free*(('2_Discount_Factors'!B592+'2_Discount_Factors'!B593)/2))</f>
        <v>0.952703015752694</v>
      </c>
      <c r="D592" s="12">
        <f>'3_Survival_Probs'!D592</f>
        <v>0.976068902005173</v>
      </c>
      <c r="E592" s="12">
        <f>'3_Survival_Probs'!D593</f>
        <v>0.976012439388224</v>
      </c>
      <c r="F592" s="14">
        <f t="shared" si="22"/>
        <v>5.64626169484717e-5</v>
      </c>
      <c r="G592" s="32">
        <f>(1-recovery)*notional*C592*F592</f>
        <v>322.752632664589</v>
      </c>
      <c r="H592" s="14">
        <f t="shared" si="21"/>
        <v>6.33715214820889e-6</v>
      </c>
      <c r="I592" s="33"/>
    </row>
    <row r="593" spans="1:9">
      <c r="A593" s="4">
        <v>591</v>
      </c>
      <c r="B593" s="6">
        <f>'2_Discount_Factors'!B594</f>
        <v>1.61917808219178</v>
      </c>
      <c r="C593" s="6">
        <f>EXP(-r_free*(('2_Discount_Factors'!B593+'2_Discount_Factors'!B594)/2))</f>
        <v>0.952624714613134</v>
      </c>
      <c r="D593" s="6">
        <f>'3_Survival_Probs'!D593</f>
        <v>0.976012439388224</v>
      </c>
      <c r="E593" s="6">
        <f>'3_Survival_Probs'!D594</f>
        <v>0.975955980037467</v>
      </c>
      <c r="F593" s="8">
        <f t="shared" si="22"/>
        <v>5.64593507578204e-5</v>
      </c>
      <c r="G593" s="29">
        <f>(1-recovery)*notional*C593*F593</f>
        <v>322.707437417469</v>
      </c>
      <c r="H593" s="8">
        <f t="shared" si="21"/>
        <v>6.48361974720036e-6</v>
      </c>
      <c r="I593" s="30"/>
    </row>
    <row r="594" spans="1:9">
      <c r="A594" s="10">
        <v>592</v>
      </c>
      <c r="B594" s="12">
        <f>'2_Discount_Factors'!B595</f>
        <v>1.62191780821918</v>
      </c>
      <c r="C594" s="12">
        <f>EXP(-r_free*(('2_Discount_Factors'!B594+'2_Discount_Factors'!B595)/2))</f>
        <v>0.95254641990902</v>
      </c>
      <c r="D594" s="12">
        <f>'3_Survival_Probs'!D594</f>
        <v>0.975955980037467</v>
      </c>
      <c r="E594" s="12">
        <f>'3_Survival_Probs'!D595</f>
        <v>0.975899523952711</v>
      </c>
      <c r="F594" s="14">
        <f t="shared" si="22"/>
        <v>5.64560847561291e-5</v>
      </c>
      <c r="G594" s="32">
        <f>(1-recovery)*notional*C594*F594</f>
        <v>322.662248499186</v>
      </c>
      <c r="H594" s="14">
        <f t="shared" si="21"/>
        <v>6.63004620203813e-6</v>
      </c>
      <c r="I594" s="33"/>
    </row>
    <row r="595" spans="1:9">
      <c r="A595" s="4">
        <v>593</v>
      </c>
      <c r="B595" s="6">
        <f>'2_Discount_Factors'!B596</f>
        <v>1.62465753424658</v>
      </c>
      <c r="C595" s="6">
        <f>EXP(-r_free*(('2_Discount_Factors'!B595+'2_Discount_Factors'!B596)/2))</f>
        <v>0.952468131639822</v>
      </c>
      <c r="D595" s="6">
        <f>'3_Survival_Probs'!D595</f>
        <v>0.975899523952711</v>
      </c>
      <c r="E595" s="6">
        <f>'3_Survival_Probs'!D596</f>
        <v>0.975843071133767</v>
      </c>
      <c r="F595" s="8">
        <f t="shared" si="22"/>
        <v>5.64528189433977e-5</v>
      </c>
      <c r="G595" s="29">
        <f>(1-recovery)*notional*C595*F595</f>
        <v>322.617065908915</v>
      </c>
      <c r="H595" s="8">
        <f t="shared" si="21"/>
        <v>6.77643152137455e-6</v>
      </c>
      <c r="I595" s="30"/>
    </row>
    <row r="596" spans="1:9">
      <c r="A596" s="10">
        <v>594</v>
      </c>
      <c r="B596" s="12">
        <f>'2_Discount_Factors'!B597</f>
        <v>1.62739726027397</v>
      </c>
      <c r="C596" s="12">
        <f>EXP(-r_free*(('2_Discount_Factors'!B596+'2_Discount_Factors'!B597)/2))</f>
        <v>0.952389849805012</v>
      </c>
      <c r="D596" s="12">
        <f>'3_Survival_Probs'!D596</f>
        <v>0.975843071133767</v>
      </c>
      <c r="E596" s="12">
        <f>'3_Survival_Probs'!D597</f>
        <v>0.975786621580448</v>
      </c>
      <c r="F596" s="14">
        <f t="shared" si="22"/>
        <v>5.64495533195153e-5</v>
      </c>
      <c r="G596" s="32">
        <f>(1-recovery)*notional*C596*F596</f>
        <v>322.571889645199</v>
      </c>
      <c r="H596" s="14">
        <f t="shared" si="21"/>
        <v>6.92277571384681e-6</v>
      </c>
      <c r="I596" s="33"/>
    </row>
    <row r="597" spans="1:9">
      <c r="A597" s="4">
        <v>595</v>
      </c>
      <c r="B597" s="6">
        <f>'2_Discount_Factors'!B598</f>
        <v>1.63013698630137</v>
      </c>
      <c r="C597" s="6">
        <f>EXP(-r_free*(('2_Discount_Factors'!B597+'2_Discount_Factors'!B598)/2))</f>
        <v>0.952311574404061</v>
      </c>
      <c r="D597" s="6">
        <f>'3_Survival_Probs'!D597</f>
        <v>0.975786621580448</v>
      </c>
      <c r="E597" s="6">
        <f>'3_Survival_Probs'!D598</f>
        <v>0.975730175292563</v>
      </c>
      <c r="F597" s="8">
        <f t="shared" si="22"/>
        <v>5.64462878845928e-5</v>
      </c>
      <c r="G597" s="29">
        <f>(1-recovery)*notional*C597*F597</f>
        <v>322.526719707849</v>
      </c>
      <c r="H597" s="8">
        <f t="shared" si="21"/>
        <v>7.06907878811732e-6</v>
      </c>
      <c r="I597" s="30"/>
    </row>
    <row r="598" spans="1:9">
      <c r="A598" s="10">
        <v>596</v>
      </c>
      <c r="B598" s="12">
        <f>'2_Discount_Factors'!B599</f>
        <v>1.63287671232877</v>
      </c>
      <c r="C598" s="12">
        <f>EXP(-r_free*(('2_Discount_Factors'!B598+'2_Discount_Factors'!B599)/2))</f>
        <v>0.952233305436441</v>
      </c>
      <c r="D598" s="12">
        <f>'3_Survival_Probs'!D598</f>
        <v>0.975730175292563</v>
      </c>
      <c r="E598" s="12">
        <f>'3_Survival_Probs'!D599</f>
        <v>0.975673732269924</v>
      </c>
      <c r="F598" s="14">
        <f t="shared" si="22"/>
        <v>5.64430226385193e-5</v>
      </c>
      <c r="G598" s="32">
        <f>(1-recovery)*notional*C598*F598</f>
        <v>322.481556095407</v>
      </c>
      <c r="H598" s="14">
        <f t="shared" si="21"/>
        <v>7.21534075281967e-6</v>
      </c>
      <c r="I598" s="33"/>
    </row>
    <row r="599" spans="1:9">
      <c r="A599" s="4">
        <v>597</v>
      </c>
      <c r="B599" s="6">
        <f>'2_Discount_Factors'!B600</f>
        <v>1.63561643835616</v>
      </c>
      <c r="C599" s="6">
        <f>EXP(-r_free*(('2_Discount_Factors'!B599+'2_Discount_Factors'!B600)/2))</f>
        <v>0.952155042901622</v>
      </c>
      <c r="D599" s="6">
        <f>'3_Survival_Probs'!D599</f>
        <v>0.975673732269924</v>
      </c>
      <c r="E599" s="6">
        <f>'3_Survival_Probs'!D600</f>
        <v>0.975617292512343</v>
      </c>
      <c r="F599" s="8">
        <f t="shared" si="22"/>
        <v>5.64397575812947e-5</v>
      </c>
      <c r="G599" s="29">
        <f>(1-recovery)*notional*C599*F599</f>
        <v>322.436398807049</v>
      </c>
      <c r="H599" s="8">
        <f t="shared" si="21"/>
        <v>7.36156161659936e-6</v>
      </c>
      <c r="I599" s="30"/>
    </row>
    <row r="600" spans="1:9">
      <c r="A600" s="10">
        <v>598</v>
      </c>
      <c r="B600" s="12">
        <f>'2_Discount_Factors'!B601</f>
        <v>1.63835616438356</v>
      </c>
      <c r="C600" s="12">
        <f>EXP(-r_free*(('2_Discount_Factors'!B600+'2_Discount_Factors'!B601)/2))</f>
        <v>0.952076786799075</v>
      </c>
      <c r="D600" s="12">
        <f>'3_Survival_Probs'!D600</f>
        <v>0.975617292512343</v>
      </c>
      <c r="E600" s="12">
        <f>'3_Survival_Probs'!D601</f>
        <v>0.97556085601963</v>
      </c>
      <c r="F600" s="14">
        <f t="shared" si="22"/>
        <v>5.64364927130301e-5</v>
      </c>
      <c r="G600" s="32">
        <f>(1-recovery)*notional*C600*F600</f>
        <v>322.391247842587</v>
      </c>
      <c r="H600" s="14">
        <f t="shared" si="21"/>
        <v>7.5077413881151e-6</v>
      </c>
      <c r="I600" s="33"/>
    </row>
    <row r="601" spans="1:9">
      <c r="A601" s="4">
        <v>599</v>
      </c>
      <c r="B601" s="6">
        <f>'2_Discount_Factors'!B602</f>
        <v>1.64109589041096</v>
      </c>
      <c r="C601" s="6">
        <f>EXP(-r_free*(('2_Discount_Factors'!B601+'2_Discount_Factors'!B602)/2))</f>
        <v>0.951998537128273</v>
      </c>
      <c r="D601" s="6">
        <f>'3_Survival_Probs'!D601</f>
        <v>0.97556085601963</v>
      </c>
      <c r="E601" s="6">
        <f>'3_Survival_Probs'!D602</f>
        <v>0.975504422791597</v>
      </c>
      <c r="F601" s="8">
        <f t="shared" si="22"/>
        <v>5.64332280336144e-5</v>
      </c>
      <c r="G601" s="29">
        <f>(1-recovery)*notional*C601*F601</f>
        <v>322.346103200563</v>
      </c>
      <c r="H601" s="8">
        <f t="shared" si="21"/>
        <v>7.65388007599517e-6</v>
      </c>
      <c r="I601" s="30"/>
    </row>
    <row r="602" spans="1:9">
      <c r="A602" s="10">
        <v>600</v>
      </c>
      <c r="B602" s="12">
        <f>'2_Discount_Factors'!B603</f>
        <v>1.64383561643836</v>
      </c>
      <c r="C602" s="12">
        <f>EXP(-r_free*(('2_Discount_Factors'!B602+'2_Discount_Factors'!B603)/2))</f>
        <v>0.951920293888686</v>
      </c>
      <c r="D602" s="12">
        <f>'3_Survival_Probs'!D602</f>
        <v>0.975504422791597</v>
      </c>
      <c r="E602" s="12">
        <f>'3_Survival_Probs'!D603</f>
        <v>0.975447992828054</v>
      </c>
      <c r="F602" s="14">
        <f t="shared" si="22"/>
        <v>5.64299635430476e-5</v>
      </c>
      <c r="G602" s="32">
        <f>(1-recovery)*notional*C602*F602</f>
        <v>322.300964880155</v>
      </c>
      <c r="H602" s="14">
        <f t="shared" si="21"/>
        <v>7.79997768888052e-6</v>
      </c>
      <c r="I602" s="33"/>
    </row>
    <row r="603" spans="1:9">
      <c r="A603" s="4">
        <v>601</v>
      </c>
      <c r="B603" s="6">
        <f>'2_Discount_Factors'!B604</f>
        <v>1.64657534246575</v>
      </c>
      <c r="C603" s="6">
        <f>EXP(-r_free*(('2_Discount_Factors'!B603+'2_Discount_Factors'!B604)/2))</f>
        <v>0.951842057079786</v>
      </c>
      <c r="D603" s="6">
        <f>'3_Survival_Probs'!D603</f>
        <v>0.975447992828054</v>
      </c>
      <c r="E603" s="6">
        <f>'3_Survival_Probs'!D604</f>
        <v>0.975391566128812</v>
      </c>
      <c r="F603" s="8">
        <f t="shared" si="22"/>
        <v>5.64266992413298e-5</v>
      </c>
      <c r="G603" s="29">
        <f>(1-recovery)*notional*C603*F603</f>
        <v>322.255832880539</v>
      </c>
      <c r="H603" s="8">
        <f t="shared" si="21"/>
        <v>7.94603423541062e-6</v>
      </c>
      <c r="I603" s="30"/>
    </row>
    <row r="604" spans="1:9">
      <c r="A604" s="10">
        <v>602</v>
      </c>
      <c r="B604" s="12">
        <f>'2_Discount_Factors'!B605</f>
        <v>1.64931506849315</v>
      </c>
      <c r="C604" s="12">
        <f>EXP(-r_free*(('2_Discount_Factors'!B604+'2_Discount_Factors'!B605)/2))</f>
        <v>0.951763826701045</v>
      </c>
      <c r="D604" s="12">
        <f>'3_Survival_Probs'!D604</f>
        <v>0.975391566128812</v>
      </c>
      <c r="E604" s="12">
        <f>'3_Survival_Probs'!D605</f>
        <v>0.975335142693684</v>
      </c>
      <c r="F604" s="14">
        <f t="shared" si="22"/>
        <v>5.64234351283499e-5</v>
      </c>
      <c r="G604" s="32">
        <f>(1-recovery)*notional*C604*F604</f>
        <v>322.210707200259</v>
      </c>
      <c r="H604" s="14">
        <f t="shared" si="21"/>
        <v>8.09204972420749e-6</v>
      </c>
      <c r="I604" s="33"/>
    </row>
    <row r="605" spans="1:9">
      <c r="A605" s="4">
        <v>603</v>
      </c>
      <c r="B605" s="6">
        <f>'2_Discount_Factors'!B606</f>
        <v>1.65205479452055</v>
      </c>
      <c r="C605" s="6">
        <f>EXP(-r_free*(('2_Discount_Factors'!B605+'2_Discount_Factors'!B606)/2))</f>
        <v>0.951685602751933</v>
      </c>
      <c r="D605" s="6">
        <f>'3_Survival_Probs'!D605</f>
        <v>0.975335142693684</v>
      </c>
      <c r="E605" s="6">
        <f>'3_Survival_Probs'!D606</f>
        <v>0.975278722522479</v>
      </c>
      <c r="F605" s="8">
        <f t="shared" si="22"/>
        <v>5.642017120433e-5</v>
      </c>
      <c r="G605" s="29">
        <f>(1-recovery)*notional*C605*F605</f>
        <v>322.16558783976</v>
      </c>
      <c r="H605" s="8">
        <f t="shared" si="21"/>
        <v>8.23802416393915e-6</v>
      </c>
      <c r="I605" s="30"/>
    </row>
    <row r="606" spans="1:9">
      <c r="A606" s="10">
        <v>604</v>
      </c>
      <c r="B606" s="12">
        <f>'2_Discount_Factors'!B607</f>
        <v>1.65479452054795</v>
      </c>
      <c r="C606" s="12">
        <f>EXP(-r_free*(('2_Discount_Factors'!B606+'2_Discount_Factors'!B607)/2))</f>
        <v>0.951607385231923</v>
      </c>
      <c r="D606" s="12">
        <f>'3_Survival_Probs'!D606</f>
        <v>0.975278722522479</v>
      </c>
      <c r="E606" s="12">
        <f>'3_Survival_Probs'!D607</f>
        <v>0.97522230561501</v>
      </c>
      <c r="F606" s="14">
        <f t="shared" si="22"/>
        <v>5.64169074690479e-5</v>
      </c>
      <c r="G606" s="32">
        <f>(1-recovery)*notional*C606*F606</f>
        <v>322.120474796952</v>
      </c>
      <c r="H606" s="14">
        <f t="shared" si="21"/>
        <v>8.38395756320843e-6</v>
      </c>
      <c r="I606" s="33"/>
    </row>
    <row r="607" spans="1:9">
      <c r="A607" s="4">
        <v>605</v>
      </c>
      <c r="B607" s="6">
        <f>'2_Discount_Factors'!B608</f>
        <v>1.65753424657534</v>
      </c>
      <c r="C607" s="6">
        <f>EXP(-r_free*(('2_Discount_Factors'!B607+'2_Discount_Factors'!B608)/2))</f>
        <v>0.951529174140486</v>
      </c>
      <c r="D607" s="6">
        <f>'3_Survival_Probs'!D607</f>
        <v>0.97522230561501</v>
      </c>
      <c r="E607" s="6">
        <f>'3_Survival_Probs'!D608</f>
        <v>0.975165891971088</v>
      </c>
      <c r="F607" s="8">
        <f t="shared" si="22"/>
        <v>5.64136439225038e-5</v>
      </c>
      <c r="G607" s="29">
        <f>(1-recovery)*notional*C607*F607</f>
        <v>322.075368071013</v>
      </c>
      <c r="H607" s="8">
        <f t="shared" si="21"/>
        <v>8.5298499306479e-6</v>
      </c>
      <c r="I607" s="30"/>
    </row>
    <row r="608" spans="1:9">
      <c r="A608" s="10">
        <v>606</v>
      </c>
      <c r="B608" s="12">
        <f>'2_Discount_Factors'!B609</f>
        <v>1.66027397260274</v>
      </c>
      <c r="C608" s="12">
        <f>EXP(-r_free*(('2_Discount_Factors'!B608+'2_Discount_Factors'!B609)/2))</f>
        <v>0.951450969477094</v>
      </c>
      <c r="D608" s="12">
        <f>'3_Survival_Probs'!D608</f>
        <v>0.975165891971088</v>
      </c>
      <c r="E608" s="12">
        <f>'3_Survival_Probs'!D609</f>
        <v>0.975109481590523</v>
      </c>
      <c r="F608" s="14">
        <f t="shared" si="22"/>
        <v>5.64103805648086e-5</v>
      </c>
      <c r="G608" s="32">
        <f>(1-recovery)*notional*C608*F608</f>
        <v>322.030267661754</v>
      </c>
      <c r="H608" s="14">
        <f t="shared" si="21"/>
        <v>8.67570127490577e-6</v>
      </c>
      <c r="I608" s="33"/>
    </row>
    <row r="609" spans="1:9">
      <c r="A609" s="4">
        <v>607</v>
      </c>
      <c r="B609" s="6">
        <f>'2_Discount_Factors'!B610</f>
        <v>1.66301369863014</v>
      </c>
      <c r="C609" s="6">
        <f>EXP(-r_free*(('2_Discount_Factors'!B609+'2_Discount_Factors'!B610)/2))</f>
        <v>0.951372771241218</v>
      </c>
      <c r="D609" s="6">
        <f>'3_Survival_Probs'!D609</f>
        <v>0.975109481590523</v>
      </c>
      <c r="E609" s="6">
        <f>'3_Survival_Probs'!D610</f>
        <v>0.975053074473127</v>
      </c>
      <c r="F609" s="8">
        <f t="shared" si="22"/>
        <v>5.64071173958514e-5</v>
      </c>
      <c r="G609" s="29">
        <f>(1-recovery)*notional*C609*F609</f>
        <v>321.985173567719</v>
      </c>
      <c r="H609" s="8">
        <f t="shared" si="21"/>
        <v>8.82151160459511e-6</v>
      </c>
      <c r="I609" s="30"/>
    </row>
    <row r="610" spans="1:9">
      <c r="A610" s="10">
        <v>608</v>
      </c>
      <c r="B610" s="12">
        <f>'2_Discount_Factors'!B611</f>
        <v>1.66575342465753</v>
      </c>
      <c r="C610" s="12">
        <f>EXP(-r_free*(('2_Discount_Factors'!B610+'2_Discount_Factors'!B611)/2))</f>
        <v>0.95129457943233</v>
      </c>
      <c r="D610" s="12">
        <f>'3_Survival_Probs'!D610</f>
        <v>0.975053074473127</v>
      </c>
      <c r="E610" s="12">
        <f>'3_Survival_Probs'!D611</f>
        <v>0.974996670618712</v>
      </c>
      <c r="F610" s="14">
        <f t="shared" si="22"/>
        <v>5.6403854415743e-5</v>
      </c>
      <c r="G610" s="32">
        <f>(1-recovery)*notional*C610*F610</f>
        <v>321.94008578872</v>
      </c>
      <c r="H610" s="14">
        <f t="shared" si="21"/>
        <v>8.96728092836168e-6</v>
      </c>
      <c r="I610" s="33"/>
    </row>
    <row r="611" spans="1:9">
      <c r="A611" s="4">
        <v>609</v>
      </c>
      <c r="B611" s="6">
        <f>'2_Discount_Factors'!B612</f>
        <v>1.66849315068493</v>
      </c>
      <c r="C611" s="6">
        <f>EXP(-r_free*(('2_Discount_Factors'!B611+'2_Discount_Factors'!B612)/2))</f>
        <v>0.951216394049902</v>
      </c>
      <c r="D611" s="6">
        <f>'3_Survival_Probs'!D611</f>
        <v>0.974996670618712</v>
      </c>
      <c r="E611" s="6">
        <f>'3_Survival_Probs'!D612</f>
        <v>0.974940270027087</v>
      </c>
      <c r="F611" s="8">
        <f t="shared" si="22"/>
        <v>5.64005916243726e-5</v>
      </c>
      <c r="G611" s="29">
        <f>(1-recovery)*notional*C611*F611</f>
        <v>321.895004323301</v>
      </c>
      <c r="H611" s="8">
        <f t="shared" si="21"/>
        <v>9.11300925481498e-6</v>
      </c>
      <c r="I611" s="30"/>
    </row>
    <row r="612" spans="1:9">
      <c r="A612" s="10">
        <v>610</v>
      </c>
      <c r="B612" s="12">
        <f>'2_Discount_Factors'!B613</f>
        <v>1.67123287671233</v>
      </c>
      <c r="C612" s="12">
        <f>EXP(-r_free*(('2_Discount_Factors'!B612+'2_Discount_Factors'!B613)/2))</f>
        <v>0.951138215093406</v>
      </c>
      <c r="D612" s="12">
        <f>'3_Survival_Probs'!D612</f>
        <v>0.974940270027087</v>
      </c>
      <c r="E612" s="12">
        <f>'3_Survival_Probs'!D613</f>
        <v>0.974883872698066</v>
      </c>
      <c r="F612" s="14">
        <f t="shared" si="22"/>
        <v>5.63973290216291e-5</v>
      </c>
      <c r="G612" s="32">
        <f>(1-recovery)*notional*C612*F612</f>
        <v>321.849929170007</v>
      </c>
      <c r="H612" s="14">
        <f t="shared" si="21"/>
        <v>9.25869659256192e-6</v>
      </c>
      <c r="I612" s="33"/>
    </row>
    <row r="613" spans="1:9">
      <c r="A613" s="4">
        <v>611</v>
      </c>
      <c r="B613" s="6">
        <f>'2_Discount_Factors'!B614</f>
        <v>1.67397260273973</v>
      </c>
      <c r="C613" s="6">
        <f>EXP(-r_free*(('2_Discount_Factors'!B613+'2_Discount_Factors'!B614)/2))</f>
        <v>0.951060042562314</v>
      </c>
      <c r="D613" s="6">
        <f>'3_Survival_Probs'!D613</f>
        <v>0.974883872698066</v>
      </c>
      <c r="E613" s="6">
        <f>'3_Survival_Probs'!D614</f>
        <v>0.974827478631458</v>
      </c>
      <c r="F613" s="8">
        <f t="shared" si="22"/>
        <v>5.63940666077345e-5</v>
      </c>
      <c r="G613" s="29">
        <f>(1-recovery)*notional*C613*F613</f>
        <v>321.804860329283</v>
      </c>
      <c r="H613" s="8">
        <f t="shared" si="21"/>
        <v>9.40434295026224e-6</v>
      </c>
      <c r="I613" s="30"/>
    </row>
    <row r="614" spans="1:9">
      <c r="A614" s="10">
        <v>612</v>
      </c>
      <c r="B614" s="12">
        <f>'2_Discount_Factors'!B615</f>
        <v>1.67671232876712</v>
      </c>
      <c r="C614" s="12">
        <f>EXP(-r_free*(('2_Discount_Factors'!B614+'2_Discount_Factors'!B615)/2))</f>
        <v>0.950981876456097</v>
      </c>
      <c r="D614" s="12">
        <f>'3_Survival_Probs'!D614</f>
        <v>0.974827478631458</v>
      </c>
      <c r="E614" s="12">
        <f>'3_Survival_Probs'!D615</f>
        <v>0.974771087827075</v>
      </c>
      <c r="F614" s="14">
        <f t="shared" si="22"/>
        <v>5.63908043824668e-5</v>
      </c>
      <c r="G614" s="32">
        <f>(1-recovery)*notional*C614*F614</f>
        <v>321.759797799042</v>
      </c>
      <c r="H614" s="14">
        <f t="shared" ref="H614:H640" si="23">C614*(B614-1.4986301369863)*F614</f>
        <v>9.54994833650131e-6</v>
      </c>
      <c r="I614" s="33"/>
    </row>
    <row r="615" spans="1:9">
      <c r="A615" s="4">
        <v>613</v>
      </c>
      <c r="B615" s="6">
        <f>'2_Discount_Factors'!B616</f>
        <v>1.67945205479452</v>
      </c>
      <c r="C615" s="6">
        <f>EXP(-r_free*(('2_Discount_Factors'!B615+'2_Discount_Factors'!B616)/2))</f>
        <v>0.950903716774227</v>
      </c>
      <c r="D615" s="6">
        <f>'3_Survival_Probs'!D615</f>
        <v>0.974771087827075</v>
      </c>
      <c r="E615" s="6">
        <f>'3_Survival_Probs'!D616</f>
        <v>0.974714700284729</v>
      </c>
      <c r="F615" s="8">
        <f t="shared" si="22"/>
        <v>5.6387542346048e-5</v>
      </c>
      <c r="G615" s="29">
        <f>(1-recovery)*notional*C615*F615</f>
        <v>321.714741579727</v>
      </c>
      <c r="H615" s="8">
        <f t="shared" si="23"/>
        <v>9.69551275993706e-6</v>
      </c>
      <c r="I615" s="30"/>
    </row>
    <row r="616" spans="1:9">
      <c r="A616" s="10">
        <v>614</v>
      </c>
      <c r="B616" s="12">
        <f>'2_Discount_Factors'!B617</f>
        <v>1.68219178082192</v>
      </c>
      <c r="C616" s="12">
        <f>EXP(-r_free*(('2_Discount_Factors'!B616+'2_Discount_Factors'!B617)/2))</f>
        <v>0.950825563516177</v>
      </c>
      <c r="D616" s="12">
        <f>'3_Survival_Probs'!D616</f>
        <v>0.974714700284729</v>
      </c>
      <c r="E616" s="12">
        <f>'3_Survival_Probs'!D617</f>
        <v>0.974658316004231</v>
      </c>
      <c r="F616" s="14">
        <f t="shared" si="22"/>
        <v>5.63842804982562e-5</v>
      </c>
      <c r="G616" s="32">
        <f>(1-recovery)*notional*C616*F616</f>
        <v>321.669691669252</v>
      </c>
      <c r="H616" s="14">
        <f t="shared" si="23"/>
        <v>9.84103622915069e-6</v>
      </c>
      <c r="I616" s="33"/>
    </row>
    <row r="617" spans="1:9">
      <c r="A617" s="4">
        <v>615</v>
      </c>
      <c r="B617" s="6">
        <f>'2_Discount_Factors'!B618</f>
        <v>1.68493150684932</v>
      </c>
      <c r="C617" s="6">
        <f>EXP(-r_free*(('2_Discount_Factors'!B617+'2_Discount_Factors'!B618)/2))</f>
        <v>0.950747416681418</v>
      </c>
      <c r="D617" s="6">
        <f>'3_Survival_Probs'!D617</f>
        <v>0.974658316004231</v>
      </c>
      <c r="E617" s="6">
        <f>'3_Survival_Probs'!D618</f>
        <v>0.974601934985392</v>
      </c>
      <c r="F617" s="8">
        <f t="shared" si="22"/>
        <v>5.63810188390912e-5</v>
      </c>
      <c r="G617" s="29">
        <f>(1-recovery)*notional*C617*F617</f>
        <v>321.624648066794</v>
      </c>
      <c r="H617" s="8">
        <f t="shared" si="23"/>
        <v>9.98651875275898e-6</v>
      </c>
      <c r="I617" s="30"/>
    </row>
    <row r="618" spans="1:9">
      <c r="A618" s="10">
        <v>616</v>
      </c>
      <c r="B618" s="12">
        <f>'2_Discount_Factors'!B619</f>
        <v>1.68767123287671</v>
      </c>
      <c r="C618" s="12">
        <f>EXP(-r_free*(('2_Discount_Factors'!B618+'2_Discount_Factors'!B619)/2))</f>
        <v>0.950669276269423</v>
      </c>
      <c r="D618" s="12">
        <f>'3_Survival_Probs'!D618</f>
        <v>0.974601934985392</v>
      </c>
      <c r="E618" s="12">
        <f>'3_Survival_Probs'!D619</f>
        <v>0.974545557228023</v>
      </c>
      <c r="F618" s="14">
        <f t="shared" si="22"/>
        <v>5.63777573686641e-5</v>
      </c>
      <c r="G618" s="32">
        <f>(1-recovery)*notional*C618*F618</f>
        <v>321.579610772166</v>
      </c>
      <c r="H618" s="14">
        <f t="shared" si="23"/>
        <v>1.01319603393971e-5</v>
      </c>
      <c r="I618" s="33"/>
    </row>
    <row r="619" spans="1:9">
      <c r="A619" s="4">
        <v>617</v>
      </c>
      <c r="B619" s="6">
        <f>'2_Discount_Factors'!B620</f>
        <v>1.69041095890411</v>
      </c>
      <c r="C619" s="6">
        <f>EXP(-r_free*(('2_Discount_Factors'!B619+'2_Discount_Factors'!B620)/2))</f>
        <v>0.950591142279664</v>
      </c>
      <c r="D619" s="6">
        <f>'3_Survival_Probs'!D619</f>
        <v>0.974545557228023</v>
      </c>
      <c r="E619" s="6">
        <f>'3_Survival_Probs'!D620</f>
        <v>0.974489182731936</v>
      </c>
      <c r="F619" s="8">
        <f t="shared" si="22"/>
        <v>5.6374496086864e-5</v>
      </c>
      <c r="G619" s="29">
        <f>(1-recovery)*notional*C619*F619</f>
        <v>321.534579783915</v>
      </c>
      <c r="H619" s="8">
        <f t="shared" si="23"/>
        <v>1.02773609976594e-5</v>
      </c>
      <c r="I619" s="30"/>
    </row>
    <row r="620" spans="1:9">
      <c r="A620" s="10">
        <v>618</v>
      </c>
      <c r="B620" s="12">
        <f>'2_Discount_Factors'!B621</f>
        <v>1.69315068493151</v>
      </c>
      <c r="C620" s="12">
        <f>EXP(-r_free*(('2_Discount_Factors'!B620+'2_Discount_Factors'!B621)/2))</f>
        <v>0.950513014711612</v>
      </c>
      <c r="D620" s="12">
        <f>'3_Survival_Probs'!D620</f>
        <v>0.974489182731936</v>
      </c>
      <c r="E620" s="12">
        <f>'3_Survival_Probs'!D621</f>
        <v>0.974432811496943</v>
      </c>
      <c r="F620" s="14">
        <f t="shared" si="22"/>
        <v>5.63712349938017e-5</v>
      </c>
      <c r="G620" s="32">
        <f>(1-recovery)*notional*C620*F620</f>
        <v>321.489555101851</v>
      </c>
      <c r="H620" s="14">
        <f t="shared" si="23"/>
        <v>1.04227207361788e-5</v>
      </c>
      <c r="I620" s="33"/>
    </row>
    <row r="621" spans="1:9">
      <c r="A621" s="4">
        <v>619</v>
      </c>
      <c r="B621" s="6">
        <f>'2_Discount_Factors'!B622</f>
        <v>1.6958904109589</v>
      </c>
      <c r="C621" s="6">
        <f>EXP(-r_free*(('2_Discount_Factors'!B621+'2_Discount_Factors'!B622)/2))</f>
        <v>0.950434893564741</v>
      </c>
      <c r="D621" s="6">
        <f>'3_Survival_Probs'!D621</f>
        <v>0.974432811496943</v>
      </c>
      <c r="E621" s="6">
        <f>'3_Survival_Probs'!D622</f>
        <v>0.974376443522853</v>
      </c>
      <c r="F621" s="8">
        <f t="shared" si="22"/>
        <v>5.63679740892553e-5</v>
      </c>
      <c r="G621" s="29">
        <f>(1-recovery)*notional*C621*F621</f>
        <v>321.444536723889</v>
      </c>
      <c r="H621" s="8">
        <f t="shared" si="23"/>
        <v>1.05680395635252e-5</v>
      </c>
      <c r="I621" s="30"/>
    </row>
    <row r="622" spans="1:9">
      <c r="A622" s="10">
        <v>620</v>
      </c>
      <c r="B622" s="12">
        <f>'2_Discount_Factors'!B623</f>
        <v>1.6986301369863</v>
      </c>
      <c r="C622" s="12">
        <f>EXP(-r_free*(('2_Discount_Factors'!B622+'2_Discount_Factors'!B623)/2))</f>
        <v>0.950356778838522</v>
      </c>
      <c r="D622" s="12">
        <f>'3_Survival_Probs'!D622</f>
        <v>0.974376443522853</v>
      </c>
      <c r="E622" s="12">
        <f>'3_Survival_Probs'!D623</f>
        <v>0.97432007880948</v>
      </c>
      <c r="F622" s="14">
        <f t="shared" si="22"/>
        <v>5.63647133734468e-5</v>
      </c>
      <c r="G622" s="32">
        <f>(1-recovery)*notional*C622*F622</f>
        <v>321.399524650473</v>
      </c>
      <c r="H622" s="14">
        <f t="shared" si="23"/>
        <v>1.07133174883492e-5</v>
      </c>
      <c r="I622" s="33"/>
    </row>
    <row r="623" spans="1:9">
      <c r="A623" s="4">
        <v>621</v>
      </c>
      <c r="B623" s="6">
        <f>'2_Discount_Factors'!B624</f>
        <v>1.7013698630137</v>
      </c>
      <c r="C623" s="6">
        <f>EXP(-r_free*(('2_Discount_Factors'!B623+'2_Discount_Factors'!B624)/2))</f>
        <v>0.950278670532427</v>
      </c>
      <c r="D623" s="6">
        <f>'3_Survival_Probs'!D623</f>
        <v>0.97432007880948</v>
      </c>
      <c r="E623" s="6">
        <f>'3_Survival_Probs'!D624</f>
        <v>0.974263717356634</v>
      </c>
      <c r="F623" s="8">
        <f t="shared" si="22"/>
        <v>5.63614528462653e-5</v>
      </c>
      <c r="G623" s="29">
        <f>(1-recovery)*notional*C623*F623</f>
        <v>321.35451888015</v>
      </c>
      <c r="H623" s="8">
        <f t="shared" si="23"/>
        <v>1.0858554519238e-5</v>
      </c>
      <c r="I623" s="30"/>
    </row>
    <row r="624" spans="1:9">
      <c r="A624" s="10">
        <v>622</v>
      </c>
      <c r="B624" s="12">
        <f>'2_Discount_Factors'!B625</f>
        <v>1.7041095890411</v>
      </c>
      <c r="C624" s="12">
        <f>EXP(-r_free*(('2_Discount_Factors'!B624+'2_Discount_Factors'!B625)/2))</f>
        <v>0.950200568645929</v>
      </c>
      <c r="D624" s="12">
        <f>'3_Survival_Probs'!D624</f>
        <v>0.974263717356634</v>
      </c>
      <c r="E624" s="12">
        <f>'3_Survival_Probs'!D625</f>
        <v>0.974207359164126</v>
      </c>
      <c r="F624" s="14">
        <f t="shared" si="22"/>
        <v>5.63581925075995e-5</v>
      </c>
      <c r="G624" s="32">
        <f>(1-recovery)*notional*C624*F624</f>
        <v>321.309519411467</v>
      </c>
      <c r="H624" s="14">
        <f t="shared" si="23"/>
        <v>1.10037506647763e-5</v>
      </c>
      <c r="I624" s="33"/>
    </row>
    <row r="625" spans="1:9">
      <c r="A625" s="4">
        <v>623</v>
      </c>
      <c r="B625" s="6">
        <f>'2_Discount_Factors'!B626</f>
        <v>1.70684931506849</v>
      </c>
      <c r="C625" s="6">
        <f>EXP(-r_free*(('2_Discount_Factors'!B625+'2_Discount_Factors'!B626)/2))</f>
        <v>0.950122473178501</v>
      </c>
      <c r="D625" s="6">
        <f>'3_Survival_Probs'!D625</f>
        <v>0.974207359164126</v>
      </c>
      <c r="E625" s="6">
        <f>'3_Survival_Probs'!D626</f>
        <v>0.974151004231768</v>
      </c>
      <c r="F625" s="8">
        <f t="shared" si="22"/>
        <v>5.63549323576717e-5</v>
      </c>
      <c r="G625" s="29">
        <f>(1-recovery)*notional*C625*F625</f>
        <v>321.264526244869</v>
      </c>
      <c r="H625" s="8">
        <f t="shared" si="23"/>
        <v>1.1148905933612e-5</v>
      </c>
      <c r="I625" s="30"/>
    </row>
    <row r="626" spans="1:9">
      <c r="A626" s="10">
        <v>624</v>
      </c>
      <c r="B626" s="12">
        <f>'2_Discount_Factors'!B627</f>
        <v>1.70958904109589</v>
      </c>
      <c r="C626" s="12">
        <f>EXP(-r_free*(('2_Discount_Factors'!B626+'2_Discount_Factors'!B627)/2))</f>
        <v>0.950044384129615</v>
      </c>
      <c r="D626" s="12">
        <f>'3_Survival_Probs'!D626</f>
        <v>0.974151004231768</v>
      </c>
      <c r="E626" s="12">
        <f>'3_Survival_Probs'!D627</f>
        <v>0.974094652559372</v>
      </c>
      <c r="F626" s="14">
        <f t="shared" si="22"/>
        <v>5.63516723962598e-5</v>
      </c>
      <c r="G626" s="32">
        <f>(1-recovery)*notional*C626*F626</f>
        <v>321.219539378271</v>
      </c>
      <c r="H626" s="14">
        <f t="shared" si="23"/>
        <v>1.12940203343046e-5</v>
      </c>
      <c r="I626" s="33"/>
    </row>
    <row r="627" spans="1:9">
      <c r="A627" s="4">
        <v>625</v>
      </c>
      <c r="B627" s="6">
        <f>'2_Discount_Factors'!B628</f>
        <v>1.71232876712329</v>
      </c>
      <c r="C627" s="6">
        <f>EXP(-r_free*(('2_Discount_Factors'!B627+'2_Discount_Factors'!B628)/2))</f>
        <v>0.949966301498742</v>
      </c>
      <c r="D627" s="6">
        <f>'3_Survival_Probs'!D627</f>
        <v>0.974094652559372</v>
      </c>
      <c r="E627" s="6">
        <f>'3_Survival_Probs'!D628</f>
        <v>0.974038304146749</v>
      </c>
      <c r="F627" s="8">
        <f t="shared" si="22"/>
        <v>5.63484126233638e-5</v>
      </c>
      <c r="G627" s="29">
        <f>(1-recovery)*notional*C627*F627</f>
        <v>321.174558810852</v>
      </c>
      <c r="H627" s="8">
        <f t="shared" si="23"/>
        <v>1.14390938754551e-5</v>
      </c>
      <c r="I627" s="30"/>
    </row>
    <row r="628" spans="1:9">
      <c r="A628" s="10">
        <v>626</v>
      </c>
      <c r="B628" s="12">
        <f>'2_Discount_Factors'!B629</f>
        <v>1.71506849315068</v>
      </c>
      <c r="C628" s="12">
        <f>EXP(-r_free*(('2_Discount_Factors'!B628+'2_Discount_Factors'!B629)/2))</f>
        <v>0.949888225285357</v>
      </c>
      <c r="D628" s="12">
        <f>'3_Survival_Probs'!D628</f>
        <v>0.974038304146749</v>
      </c>
      <c r="E628" s="12">
        <f>'3_Survival_Probs'!D629</f>
        <v>0.97398195899371</v>
      </c>
      <c r="F628" s="14">
        <f t="shared" si="22"/>
        <v>5.63451530390946e-5</v>
      </c>
      <c r="G628" s="32">
        <f>(1-recovery)*notional*C628*F628</f>
        <v>321.129584542424</v>
      </c>
      <c r="H628" s="14">
        <f t="shared" si="23"/>
        <v>1.15841265656857e-5</v>
      </c>
      <c r="I628" s="33"/>
    </row>
    <row r="629" spans="1:9">
      <c r="A629" s="4">
        <v>627</v>
      </c>
      <c r="B629" s="6">
        <f>'2_Discount_Factors'!B630</f>
        <v>1.71780821917808</v>
      </c>
      <c r="C629" s="6">
        <f>EXP(-r_free*(('2_Discount_Factors'!B629+'2_Discount_Factors'!B630)/2))</f>
        <v>0.949810155488931</v>
      </c>
      <c r="D629" s="6">
        <f>'3_Survival_Probs'!D629</f>
        <v>0.97398195899371</v>
      </c>
      <c r="E629" s="6">
        <f>'3_Survival_Probs'!D630</f>
        <v>0.973925617100066</v>
      </c>
      <c r="F629" s="8">
        <f t="shared" si="22"/>
        <v>5.63418936433413e-5</v>
      </c>
      <c r="G629" s="29">
        <f>(1-recovery)*notional*C629*F629</f>
        <v>321.084616571537</v>
      </c>
      <c r="H629" s="8">
        <f t="shared" si="23"/>
        <v>1.17291184135722e-5</v>
      </c>
      <c r="I629" s="30"/>
    </row>
    <row r="630" spans="1:9">
      <c r="A630" s="10">
        <v>628</v>
      </c>
      <c r="B630" s="12">
        <f>'2_Discount_Factors'!B631</f>
        <v>1.72054794520548</v>
      </c>
      <c r="C630" s="12">
        <f>EXP(-r_free*(('2_Discount_Factors'!B630+'2_Discount_Factors'!B631)/2))</f>
        <v>0.949732092108936</v>
      </c>
      <c r="D630" s="12">
        <f>'3_Survival_Probs'!D630</f>
        <v>0.973925617100066</v>
      </c>
      <c r="E630" s="12">
        <f>'3_Survival_Probs'!D631</f>
        <v>0.97386927846563</v>
      </c>
      <c r="F630" s="14">
        <f t="shared" si="22"/>
        <v>5.63386344362149e-5</v>
      </c>
      <c r="G630" s="32">
        <f>(1-recovery)*notional*C630*F630</f>
        <v>321.039654898002</v>
      </c>
      <c r="H630" s="14">
        <f t="shared" si="23"/>
        <v>1.18740694277344e-5</v>
      </c>
      <c r="I630" s="33"/>
    </row>
    <row r="631" spans="1:9">
      <c r="A631" s="4">
        <v>629</v>
      </c>
      <c r="B631" s="6">
        <f>'2_Discount_Factors'!B632</f>
        <v>1.72328767123288</v>
      </c>
      <c r="C631" s="6">
        <f>EXP(-r_free*(('2_Discount_Factors'!B631+'2_Discount_Factors'!B632)/2))</f>
        <v>0.949654035144846</v>
      </c>
      <c r="D631" s="6">
        <f>'3_Survival_Probs'!D631</f>
        <v>0.97386927846563</v>
      </c>
      <c r="E631" s="6">
        <f>'3_Survival_Probs'!D632</f>
        <v>0.973812943090212</v>
      </c>
      <c r="F631" s="8">
        <f t="shared" si="22"/>
        <v>5.63353754176044e-5</v>
      </c>
      <c r="G631" s="29">
        <f>(1-recovery)*notional*C631*F631</f>
        <v>320.994699520367</v>
      </c>
      <c r="H631" s="8">
        <f t="shared" si="23"/>
        <v>1.20189796167444e-5</v>
      </c>
      <c r="I631" s="30"/>
    </row>
    <row r="632" spans="1:9">
      <c r="A632" s="10">
        <v>630</v>
      </c>
      <c r="B632" s="12">
        <f>'2_Discount_Factors'!B633</f>
        <v>1.72602739726027</v>
      </c>
      <c r="C632" s="12">
        <f>EXP(-r_free*(('2_Discount_Factors'!B632+'2_Discount_Factors'!B633)/2))</f>
        <v>0.949575984596134</v>
      </c>
      <c r="D632" s="12">
        <f>'3_Survival_Probs'!D632</f>
        <v>0.973812943090212</v>
      </c>
      <c r="E632" s="12">
        <f>'3_Survival_Probs'!D633</f>
        <v>0.973756610973625</v>
      </c>
      <c r="F632" s="14">
        <f t="shared" si="22"/>
        <v>5.63321165875097e-5</v>
      </c>
      <c r="G632" s="32">
        <f>(1-recovery)*notional*C632*F632</f>
        <v>320.949750437812</v>
      </c>
      <c r="H632" s="14">
        <f t="shared" si="23"/>
        <v>1.21638489891957e-5</v>
      </c>
      <c r="I632" s="33"/>
    </row>
    <row r="633" spans="1:9">
      <c r="A633" s="4">
        <v>631</v>
      </c>
      <c r="B633" s="6">
        <f>'2_Discount_Factors'!B634</f>
        <v>1.72876712328767</v>
      </c>
      <c r="C633" s="6">
        <f>EXP(-r_free*(('2_Discount_Factors'!B633+'2_Discount_Factors'!B634)/2))</f>
        <v>0.949497940462271</v>
      </c>
      <c r="D633" s="6">
        <f>'3_Survival_Probs'!D633</f>
        <v>0.973756610973625</v>
      </c>
      <c r="E633" s="6">
        <f>'3_Survival_Probs'!D634</f>
        <v>0.973700282115679</v>
      </c>
      <c r="F633" s="8">
        <f t="shared" si="22"/>
        <v>5.63288579459309e-5</v>
      </c>
      <c r="G633" s="29">
        <f>(1-recovery)*notional*C633*F633</f>
        <v>320.904807649519</v>
      </c>
      <c r="H633" s="8">
        <f t="shared" si="23"/>
        <v>1.23086775536803e-5</v>
      </c>
      <c r="I633" s="30"/>
    </row>
    <row r="634" spans="1:9">
      <c r="A634" s="10">
        <v>632</v>
      </c>
      <c r="B634" s="12">
        <f>'2_Discount_Factors'!B635</f>
        <v>1.73150684931507</v>
      </c>
      <c r="C634" s="12">
        <f>EXP(-r_free*(('2_Discount_Factors'!B634+'2_Discount_Factors'!B635)/2))</f>
        <v>0.949419902742731</v>
      </c>
      <c r="D634" s="12">
        <f>'3_Survival_Probs'!D634</f>
        <v>0.973700282115679</v>
      </c>
      <c r="E634" s="12">
        <f>'3_Survival_Probs'!D635</f>
        <v>0.973643956516186</v>
      </c>
      <c r="F634" s="14">
        <f t="shared" si="22"/>
        <v>5.6325599492868e-5</v>
      </c>
      <c r="G634" s="32">
        <f>(1-recovery)*notional*C634*F634</f>
        <v>320.859871154669</v>
      </c>
      <c r="H634" s="14">
        <f t="shared" si="23"/>
        <v>1.24534653187886e-5</v>
      </c>
      <c r="I634" s="33"/>
    </row>
    <row r="635" spans="1:9">
      <c r="A635" s="4">
        <v>633</v>
      </c>
      <c r="B635" s="6">
        <f>'2_Discount_Factors'!B636</f>
        <v>1.73424657534247</v>
      </c>
      <c r="C635" s="6">
        <f>EXP(-r_free*(('2_Discount_Factors'!B635+'2_Discount_Factors'!B636)/2))</f>
        <v>0.949341871436987</v>
      </c>
      <c r="D635" s="6">
        <f>'3_Survival_Probs'!D635</f>
        <v>0.973643956516186</v>
      </c>
      <c r="E635" s="6">
        <f>'3_Survival_Probs'!D636</f>
        <v>0.973587634174958</v>
      </c>
      <c r="F635" s="8">
        <f t="shared" si="22"/>
        <v>5.63223412282099e-5</v>
      </c>
      <c r="G635" s="29">
        <f>(1-recovery)*notional*C635*F635</f>
        <v>320.814940951808</v>
      </c>
      <c r="H635" s="8">
        <f t="shared" si="23"/>
        <v>1.25982122930848e-5</v>
      </c>
      <c r="I635" s="30"/>
    </row>
    <row r="636" spans="1:9">
      <c r="A636" s="10">
        <v>634</v>
      </c>
      <c r="B636" s="12">
        <f>'2_Discount_Factors'!B637</f>
        <v>1.73698630136986</v>
      </c>
      <c r="C636" s="12">
        <f>EXP(-r_free*(('2_Discount_Factors'!B636+'2_Discount_Factors'!B637)/2))</f>
        <v>0.949263846544511</v>
      </c>
      <c r="D636" s="12">
        <f>'3_Survival_Probs'!D636</f>
        <v>0.973587634174958</v>
      </c>
      <c r="E636" s="12">
        <f>'3_Survival_Probs'!D637</f>
        <v>0.973531315091806</v>
      </c>
      <c r="F636" s="14">
        <f t="shared" si="22"/>
        <v>5.63190831520677e-5</v>
      </c>
      <c r="G636" s="32">
        <f>(1-recovery)*notional*C636*F636</f>
        <v>320.770017040752</v>
      </c>
      <c r="H636" s="14">
        <f t="shared" si="23"/>
        <v>1.27429184851806e-5</v>
      </c>
      <c r="I636" s="33"/>
    </row>
    <row r="637" spans="1:9">
      <c r="A637" s="4">
        <v>635</v>
      </c>
      <c r="B637" s="6">
        <f>'2_Discount_Factors'!B638</f>
        <v>1.73972602739726</v>
      </c>
      <c r="C637" s="6">
        <f>EXP(-r_free*(('2_Discount_Factors'!B637+'2_Discount_Factors'!B638)/2))</f>
        <v>0.949185828064777</v>
      </c>
      <c r="D637" s="6">
        <f>'3_Survival_Probs'!D637</f>
        <v>0.973531315091806</v>
      </c>
      <c r="E637" s="6">
        <f>'3_Survival_Probs'!D638</f>
        <v>0.973474999266541</v>
      </c>
      <c r="F637" s="8">
        <f t="shared" si="22"/>
        <v>5.63158252644413e-5</v>
      </c>
      <c r="G637" s="29">
        <f>(1-recovery)*notional*C637*F637</f>
        <v>320.72509942068</v>
      </c>
      <c r="H637" s="8">
        <f t="shared" si="23"/>
        <v>1.28875839036621e-5</v>
      </c>
      <c r="I637" s="30"/>
    </row>
    <row r="638" spans="1:9">
      <c r="A638" s="10">
        <v>636</v>
      </c>
      <c r="B638" s="12">
        <f>'2_Discount_Factors'!B639</f>
        <v>1.74246575342466</v>
      </c>
      <c r="C638" s="12">
        <f>EXP(-r_free*(('2_Discount_Factors'!B638+'2_Discount_Factors'!B639)/2))</f>
        <v>0.949107815997256</v>
      </c>
      <c r="D638" s="12">
        <f>'3_Survival_Probs'!D638</f>
        <v>0.973474999266541</v>
      </c>
      <c r="E638" s="12">
        <f>'3_Survival_Probs'!D639</f>
        <v>0.973418686698976</v>
      </c>
      <c r="F638" s="14">
        <f t="shared" si="22"/>
        <v>5.63125675652199e-5</v>
      </c>
      <c r="G638" s="32">
        <f>(1-recovery)*notional*C638*F638</f>
        <v>320.680188090143</v>
      </c>
      <c r="H638" s="14">
        <f t="shared" si="23"/>
        <v>1.30322085570881e-5</v>
      </c>
      <c r="I638" s="33"/>
    </row>
    <row r="639" spans="1:9">
      <c r="A639" s="4">
        <v>637</v>
      </c>
      <c r="B639" s="6">
        <f>'2_Discount_Factors'!B640</f>
        <v>1.74520547945205</v>
      </c>
      <c r="C639" s="6">
        <f>EXP(-r_free*(('2_Discount_Factors'!B639+'2_Discount_Factors'!B640)/2))</f>
        <v>0.949029810341424</v>
      </c>
      <c r="D639" s="6">
        <f>'3_Survival_Probs'!D639</f>
        <v>0.973418686698976</v>
      </c>
      <c r="E639" s="6">
        <f>'3_Survival_Probs'!D640</f>
        <v>0.973362377388922</v>
      </c>
      <c r="F639" s="8">
        <f t="shared" si="22"/>
        <v>5.63093100545142e-5</v>
      </c>
      <c r="G639" s="29">
        <f>(1-recovery)*notional*C639*F639</f>
        <v>320.635283048952</v>
      </c>
      <c r="H639" s="8">
        <f t="shared" si="23"/>
        <v>1.31767924540666e-5</v>
      </c>
      <c r="I639" s="30"/>
    </row>
    <row r="640" spans="1:9">
      <c r="A640" s="34">
        <v>638</v>
      </c>
      <c r="B640" s="35">
        <f>'2_Discount_Factors'!B641</f>
        <v>1.74794520547945</v>
      </c>
      <c r="C640" s="35">
        <f>EXP(-r_free*(('2_Discount_Factors'!B640+'2_Discount_Factors'!B641)/2))</f>
        <v>0.948951811096751</v>
      </c>
      <c r="D640" s="35">
        <f>'3_Survival_Probs'!D640</f>
        <v>0.973362377388922</v>
      </c>
      <c r="E640" s="35">
        <f>'3_Survival_Probs'!D641</f>
        <v>0.97330607133619</v>
      </c>
      <c r="F640" s="36">
        <f t="shared" si="22"/>
        <v>5.63060527322135e-5</v>
      </c>
      <c r="G640" s="37">
        <f>(1-recovery)*notional*C640*F640</f>
        <v>320.590384295659</v>
      </c>
      <c r="H640" s="36">
        <f t="shared" si="23"/>
        <v>1.3321335603153e-5</v>
      </c>
      <c r="I640" s="38" t="s">
        <v>71</v>
      </c>
    </row>
    <row r="641" spans="1:9">
      <c r="A641" s="4">
        <v>639</v>
      </c>
      <c r="B641" s="6">
        <f>'2_Discount_Factors'!B642</f>
        <v>1.75068493150685</v>
      </c>
      <c r="C641" s="6">
        <f>EXP(-r_free*(('2_Discount_Factors'!B641+'2_Discount_Factors'!B642)/2))</f>
        <v>0.948873818262711</v>
      </c>
      <c r="D641" s="6">
        <f>'3_Survival_Probs'!D641</f>
        <v>0.97330607133619</v>
      </c>
      <c r="E641" s="6">
        <f>'3_Survival_Probs'!D642</f>
        <v>0.973249768540591</v>
      </c>
      <c r="F641" s="8">
        <f t="shared" si="22"/>
        <v>5.63027955983175e-5</v>
      </c>
      <c r="G641" s="29">
        <f>(1-recovery)*notional*C641*F641</f>
        <v>320.545491829443</v>
      </c>
      <c r="H641" s="8">
        <f t="shared" ref="H641:H704" si="24">C641*(B641-1.74794520547945)*F641</f>
        <v>1.46367804488442e-7</v>
      </c>
      <c r="I641" s="30"/>
    </row>
    <row r="642" spans="1:9">
      <c r="A642" s="10">
        <v>640</v>
      </c>
      <c r="B642" s="12">
        <f>'2_Discount_Factors'!B643</f>
        <v>1.75342465753425</v>
      </c>
      <c r="C642" s="12">
        <f>EXP(-r_free*(('2_Discount_Factors'!B642+'2_Discount_Factors'!B643)/2))</f>
        <v>0.948795831838779</v>
      </c>
      <c r="D642" s="12">
        <f>'3_Survival_Probs'!D642</f>
        <v>0.973249768540591</v>
      </c>
      <c r="E642" s="12">
        <f>'3_Survival_Probs'!D643</f>
        <v>0.973193469001938</v>
      </c>
      <c r="F642" s="14">
        <f t="shared" si="22"/>
        <v>5.62995386528264e-5</v>
      </c>
      <c r="G642" s="32">
        <f>(1-recovery)*notional*C642*F642</f>
        <v>320.500605649488</v>
      </c>
      <c r="H642" s="14">
        <f t="shared" si="24"/>
        <v>2.92694617031601e-7</v>
      </c>
      <c r="I642" s="33"/>
    </row>
    <row r="643" spans="1:9">
      <c r="A643" s="4">
        <v>641</v>
      </c>
      <c r="B643" s="6">
        <f>'2_Discount_Factors'!B644</f>
        <v>1.75616438356164</v>
      </c>
      <c r="C643" s="6">
        <f>EXP(-r_free*(('2_Discount_Factors'!B643+'2_Discount_Factors'!B644)/2))</f>
        <v>0.948717851824425</v>
      </c>
      <c r="D643" s="6">
        <f>'3_Survival_Probs'!D643</f>
        <v>0.973193469001938</v>
      </c>
      <c r="E643" s="6">
        <f>'3_Survival_Probs'!D644</f>
        <v>0.973137172720043</v>
      </c>
      <c r="F643" s="8">
        <f t="shared" ref="F643:F706" si="25">D643-E643</f>
        <v>5.62962818958512e-5</v>
      </c>
      <c r="G643" s="29">
        <f>(1-recovery)*notional*C643*F643</f>
        <v>320.455725755606</v>
      </c>
      <c r="H643" s="8">
        <f t="shared" si="24"/>
        <v>4.38980446240666e-7</v>
      </c>
      <c r="I643" s="30"/>
    </row>
    <row r="644" spans="1:9">
      <c r="A644" s="10">
        <v>642</v>
      </c>
      <c r="B644" s="12">
        <f>'2_Discount_Factors'!B645</f>
        <v>1.75890410958904</v>
      </c>
      <c r="C644" s="12">
        <f>EXP(-r_free*(('2_Discount_Factors'!B644+'2_Discount_Factors'!B645)/2))</f>
        <v>0.948639878219125</v>
      </c>
      <c r="D644" s="12">
        <f>'3_Survival_Probs'!D644</f>
        <v>0.973137172720043</v>
      </c>
      <c r="E644" s="12">
        <f>'3_Survival_Probs'!D645</f>
        <v>0.973080879694715</v>
      </c>
      <c r="F644" s="14">
        <f t="shared" si="25"/>
        <v>5.62930253271698e-5</v>
      </c>
      <c r="G644" s="32">
        <f>(1-recovery)*notional*C644*F644</f>
        <v>320.410852145715</v>
      </c>
      <c r="H644" s="14">
        <f t="shared" si="24"/>
        <v>5.85225300722884e-7</v>
      </c>
      <c r="I644" s="33"/>
    </row>
    <row r="645" spans="1:9">
      <c r="A645" s="4">
        <v>643</v>
      </c>
      <c r="B645" s="6">
        <f>'2_Discount_Factors'!B646</f>
        <v>1.76164383561644</v>
      </c>
      <c r="C645" s="6">
        <f>EXP(-r_free*(('2_Discount_Factors'!B645+'2_Discount_Factors'!B646)/2))</f>
        <v>0.948561911022351</v>
      </c>
      <c r="D645" s="6">
        <f>'3_Survival_Probs'!D645</f>
        <v>0.973080879694715</v>
      </c>
      <c r="E645" s="6">
        <f>'3_Survival_Probs'!D646</f>
        <v>0.973024589925768</v>
      </c>
      <c r="F645" s="8">
        <f t="shared" si="25"/>
        <v>5.62897689468933e-5</v>
      </c>
      <c r="G645" s="29">
        <f>(1-recovery)*notional*C645*F645</f>
        <v>320.36598481963</v>
      </c>
      <c r="H645" s="8">
        <f t="shared" si="24"/>
        <v>7.31429189086023e-7</v>
      </c>
      <c r="I645" s="30"/>
    </row>
    <row r="646" spans="1:9">
      <c r="A646" s="10">
        <v>644</v>
      </c>
      <c r="B646" s="12">
        <f>'2_Discount_Factors'!B647</f>
        <v>1.76438356164384</v>
      </c>
      <c r="C646" s="12">
        <f>EXP(-r_free*(('2_Discount_Factors'!B646+'2_Discount_Factors'!B647)/2))</f>
        <v>0.948483950233576</v>
      </c>
      <c r="D646" s="12">
        <f>'3_Survival_Probs'!D646</f>
        <v>0.973024589925768</v>
      </c>
      <c r="E646" s="12">
        <f>'3_Survival_Probs'!D647</f>
        <v>0.972968303413014</v>
      </c>
      <c r="F646" s="14">
        <f t="shared" si="25"/>
        <v>5.62865127549106e-5</v>
      </c>
      <c r="G646" s="32">
        <f>(1-recovery)*notional*C646*F646</f>
        <v>320.321123775901</v>
      </c>
      <c r="H646" s="14">
        <f t="shared" si="24"/>
        <v>8.7759211993409e-7</v>
      </c>
      <c r="I646" s="33"/>
    </row>
    <row r="647" spans="1:9">
      <c r="A647" s="4">
        <v>645</v>
      </c>
      <c r="B647" s="6">
        <f>'2_Discount_Factors'!B648</f>
        <v>1.76712328767123</v>
      </c>
      <c r="C647" s="6">
        <f>EXP(-r_free*(('2_Discount_Factors'!B647+'2_Discount_Factors'!B648)/2))</f>
        <v>0.948405995852274</v>
      </c>
      <c r="D647" s="6">
        <f>'3_Survival_Probs'!D647</f>
        <v>0.972968303413014</v>
      </c>
      <c r="E647" s="6">
        <f>'3_Survival_Probs'!D648</f>
        <v>0.972912020156262</v>
      </c>
      <c r="F647" s="8">
        <f t="shared" si="25"/>
        <v>5.62832567514437e-5</v>
      </c>
      <c r="G647" s="29">
        <f>(1-recovery)*notional*C647*F647</f>
        <v>320.276269014973</v>
      </c>
      <c r="H647" s="8">
        <f t="shared" si="24"/>
        <v>1.02371410187445e-6</v>
      </c>
      <c r="I647" s="30"/>
    </row>
    <row r="648" spans="1:9">
      <c r="A648" s="10">
        <v>646</v>
      </c>
      <c r="B648" s="12">
        <f>'2_Discount_Factors'!B649</f>
        <v>1.76986301369863</v>
      </c>
      <c r="C648" s="12">
        <f>EXP(-r_free*(('2_Discount_Factors'!B648+'2_Discount_Factors'!B649)/2))</f>
        <v>0.948328047877918</v>
      </c>
      <c r="D648" s="12">
        <f>'3_Survival_Probs'!D648</f>
        <v>0.972912020156262</v>
      </c>
      <c r="E648" s="12">
        <f>'3_Survival_Probs'!D649</f>
        <v>0.972855740155326</v>
      </c>
      <c r="F648" s="14">
        <f t="shared" si="25"/>
        <v>5.62800009362707e-5</v>
      </c>
      <c r="G648" s="32">
        <f>(1-recovery)*notional*C648*F648</f>
        <v>320.231420534766</v>
      </c>
      <c r="H648" s="14">
        <f t="shared" si="24"/>
        <v>1.16979514350611e-6</v>
      </c>
      <c r="I648" s="33"/>
    </row>
    <row r="649" spans="1:9">
      <c r="A649" s="4">
        <v>647</v>
      </c>
      <c r="B649" s="6">
        <f>'2_Discount_Factors'!B650</f>
        <v>1.77260273972603</v>
      </c>
      <c r="C649" s="6">
        <f>EXP(-r_free*(('2_Discount_Factors'!B649+'2_Discount_Factors'!B650)/2))</f>
        <v>0.948250106309981</v>
      </c>
      <c r="D649" s="6">
        <f>'3_Survival_Probs'!D649</f>
        <v>0.972855740155326</v>
      </c>
      <c r="E649" s="6">
        <f>'3_Survival_Probs'!D650</f>
        <v>0.972799463410016</v>
      </c>
      <c r="F649" s="8">
        <f t="shared" si="25"/>
        <v>5.62767453093915e-5</v>
      </c>
      <c r="G649" s="29">
        <f>(1-recovery)*notional*C649*F649</f>
        <v>320.186578334462</v>
      </c>
      <c r="H649" s="8">
        <f t="shared" si="24"/>
        <v>1.3158352534294e-6</v>
      </c>
      <c r="I649" s="30"/>
    </row>
    <row r="650" spans="1:9">
      <c r="A650" s="10">
        <v>648</v>
      </c>
      <c r="B650" s="12">
        <f>'2_Discount_Factors'!B651</f>
        <v>1.77534246575342</v>
      </c>
      <c r="C650" s="12">
        <f>EXP(-r_free*(('2_Discount_Factors'!B650+'2_Discount_Factors'!B651)/2))</f>
        <v>0.948172171147938</v>
      </c>
      <c r="D650" s="12">
        <f>'3_Survival_Probs'!D650</f>
        <v>0.972799463410016</v>
      </c>
      <c r="E650" s="12">
        <f>'3_Survival_Probs'!D651</f>
        <v>0.972743189920146</v>
      </c>
      <c r="F650" s="14">
        <f t="shared" si="25"/>
        <v>5.62734898708062e-5</v>
      </c>
      <c r="G650" s="32">
        <f>(1-recovery)*notional*C650*F650</f>
        <v>320.141742413243</v>
      </c>
      <c r="H650" s="14">
        <f t="shared" si="24"/>
        <v>1.46183444024323e-6</v>
      </c>
      <c r="I650" s="33"/>
    </row>
    <row r="651" spans="1:9">
      <c r="A651" s="4">
        <v>649</v>
      </c>
      <c r="B651" s="6">
        <f>'2_Discount_Factors'!B652</f>
        <v>1.77808219178082</v>
      </c>
      <c r="C651" s="6">
        <f>EXP(-r_free*(('2_Discount_Factors'!B651+'2_Discount_Factors'!B652)/2))</f>
        <v>0.948094242391261</v>
      </c>
      <c r="D651" s="6">
        <f>'3_Survival_Probs'!D651</f>
        <v>0.972743189920146</v>
      </c>
      <c r="E651" s="6">
        <f>'3_Survival_Probs'!D652</f>
        <v>0.972686919685525</v>
      </c>
      <c r="F651" s="8">
        <f t="shared" si="25"/>
        <v>5.62702346206256e-5</v>
      </c>
      <c r="G651" s="29">
        <f>(1-recovery)*notional*C651*F651</f>
        <v>320.096912770923</v>
      </c>
      <c r="H651" s="8">
        <f t="shared" si="24"/>
        <v>1.60779271254812e-6</v>
      </c>
      <c r="I651" s="30"/>
    </row>
    <row r="652" spans="1:9">
      <c r="A652" s="10">
        <v>650</v>
      </c>
      <c r="B652" s="12">
        <f>'2_Discount_Factors'!B653</f>
        <v>1.78082191780822</v>
      </c>
      <c r="C652" s="12">
        <f>EXP(-r_free*(('2_Discount_Factors'!B652+'2_Discount_Factors'!B653)/2))</f>
        <v>0.948016320039424</v>
      </c>
      <c r="D652" s="12">
        <f>'3_Survival_Probs'!D652</f>
        <v>0.972686919685525</v>
      </c>
      <c r="E652" s="12">
        <f>'3_Survival_Probs'!D653</f>
        <v>0.972630652705966</v>
      </c>
      <c r="F652" s="14">
        <f t="shared" si="25"/>
        <v>5.62669795587389e-5</v>
      </c>
      <c r="G652" s="32">
        <f>(1-recovery)*notional*C652*F652</f>
        <v>320.052089406055</v>
      </c>
      <c r="H652" s="14">
        <f t="shared" si="24"/>
        <v>1.7537100789374e-6</v>
      </c>
      <c r="I652" s="33"/>
    </row>
    <row r="653" spans="1:9">
      <c r="A653" s="4">
        <v>651</v>
      </c>
      <c r="B653" s="6">
        <f>'2_Discount_Factors'!B654</f>
        <v>1.78356164383562</v>
      </c>
      <c r="C653" s="6">
        <f>EXP(-r_free*(('2_Discount_Factors'!B653+'2_Discount_Factors'!B654)/2))</f>
        <v>0.947938404091901</v>
      </c>
      <c r="D653" s="6">
        <f>'3_Survival_Probs'!D653</f>
        <v>0.972630652705966</v>
      </c>
      <c r="E653" s="6">
        <f>'3_Survival_Probs'!D654</f>
        <v>0.972574388981281</v>
      </c>
      <c r="F653" s="8">
        <f t="shared" si="25"/>
        <v>5.6263724685035e-5</v>
      </c>
      <c r="G653" s="29">
        <f>(1-recovery)*notional*C653*F653</f>
        <v>320.007272317189</v>
      </c>
      <c r="H653" s="8">
        <f t="shared" si="24"/>
        <v>1.89958654800168e-6</v>
      </c>
      <c r="I653" s="30"/>
    </row>
    <row r="654" spans="1:9">
      <c r="A654" s="10">
        <v>652</v>
      </c>
      <c r="B654" s="12">
        <f>'2_Discount_Factors'!B655</f>
        <v>1.78630136986301</v>
      </c>
      <c r="C654" s="12">
        <f>EXP(-r_free*(('2_Discount_Factors'!B654+'2_Discount_Factors'!B655)/2))</f>
        <v>0.947860494548165</v>
      </c>
      <c r="D654" s="12">
        <f>'3_Survival_Probs'!D654</f>
        <v>0.972574388981281</v>
      </c>
      <c r="E654" s="12">
        <f>'3_Survival_Probs'!D655</f>
        <v>0.972518128511281</v>
      </c>
      <c r="F654" s="14">
        <f t="shared" si="25"/>
        <v>5.6260469999736e-5</v>
      </c>
      <c r="G654" s="32">
        <f>(1-recovery)*notional*C654*F654</f>
        <v>319.962461504772</v>
      </c>
      <c r="H654" s="14">
        <f t="shared" si="24"/>
        <v>2.04542212834112e-6</v>
      </c>
      <c r="I654" s="33"/>
    </row>
    <row r="655" spans="1:9">
      <c r="A655" s="4">
        <v>653</v>
      </c>
      <c r="B655" s="6">
        <f>'2_Discount_Factors'!B656</f>
        <v>1.78904109589041</v>
      </c>
      <c r="C655" s="6">
        <f>EXP(-r_free*(('2_Discount_Factors'!B655+'2_Discount_Factors'!B656)/2))</f>
        <v>0.94778259140769</v>
      </c>
      <c r="D655" s="6">
        <f>'3_Survival_Probs'!D655</f>
        <v>0.972518128511281</v>
      </c>
      <c r="E655" s="6">
        <f>'3_Survival_Probs'!D656</f>
        <v>0.972461871295779</v>
      </c>
      <c r="F655" s="8">
        <f t="shared" si="25"/>
        <v>5.62572155027308e-5</v>
      </c>
      <c r="G655" s="29">
        <f>(1-recovery)*notional*C655*F655</f>
        <v>319.917656967354</v>
      </c>
      <c r="H655" s="8">
        <f t="shared" si="24"/>
        <v>2.19121682854364e-6</v>
      </c>
      <c r="I655" s="30"/>
    </row>
    <row r="656" spans="1:9">
      <c r="A656" s="10">
        <v>654</v>
      </c>
      <c r="B656" s="12">
        <f>'2_Discount_Factors'!B657</f>
        <v>1.79178082191781</v>
      </c>
      <c r="C656" s="12">
        <f>EXP(-r_free*(('2_Discount_Factors'!B656+'2_Discount_Factors'!B657)/2))</f>
        <v>0.94770469466995</v>
      </c>
      <c r="D656" s="12">
        <f>'3_Survival_Probs'!D656</f>
        <v>0.972461871295779</v>
      </c>
      <c r="E656" s="12">
        <f>'3_Survival_Probs'!D657</f>
        <v>0.972405617334585</v>
      </c>
      <c r="F656" s="14">
        <f t="shared" si="25"/>
        <v>5.62539611939084e-5</v>
      </c>
      <c r="G656" s="32">
        <f>(1-recovery)*notional*C656*F656</f>
        <v>319.872858703489</v>
      </c>
      <c r="H656" s="14">
        <f t="shared" si="24"/>
        <v>2.33697065719455e-6</v>
      </c>
      <c r="I656" s="33"/>
    </row>
    <row r="657" spans="1:9">
      <c r="A657" s="4">
        <v>655</v>
      </c>
      <c r="B657" s="6">
        <f>'2_Discount_Factors'!B658</f>
        <v>1.79452054794521</v>
      </c>
      <c r="C657" s="6">
        <f>EXP(-r_free*(('2_Discount_Factors'!B657+'2_Discount_Factors'!B658)/2))</f>
        <v>0.947626804334418</v>
      </c>
      <c r="D657" s="6">
        <f>'3_Survival_Probs'!D657</f>
        <v>0.972405617334585</v>
      </c>
      <c r="E657" s="6">
        <f>'3_Survival_Probs'!D658</f>
        <v>0.972349366627511</v>
      </c>
      <c r="F657" s="8">
        <f t="shared" si="25"/>
        <v>5.62507070733798e-5</v>
      </c>
      <c r="G657" s="29">
        <f>(1-recovery)*notional*C657*F657</f>
        <v>319.82806671299</v>
      </c>
      <c r="H657" s="8">
        <f t="shared" si="24"/>
        <v>2.48268362288634e-6</v>
      </c>
      <c r="I657" s="30"/>
    </row>
    <row r="658" spans="1:9">
      <c r="A658" s="10">
        <v>656</v>
      </c>
      <c r="B658" s="12">
        <f>'2_Discount_Factors'!B659</f>
        <v>1.7972602739726</v>
      </c>
      <c r="C658" s="12">
        <f>EXP(-r_free*(('2_Discount_Factors'!B658+'2_Discount_Factors'!B659)/2))</f>
        <v>0.947548920400569</v>
      </c>
      <c r="D658" s="12">
        <f>'3_Survival_Probs'!D658</f>
        <v>0.972349366627511</v>
      </c>
      <c r="E658" s="12">
        <f>'3_Survival_Probs'!D659</f>
        <v>0.97229311917437</v>
      </c>
      <c r="F658" s="14">
        <f t="shared" si="25"/>
        <v>5.6247453141034e-5</v>
      </c>
      <c r="G658" s="32">
        <f>(1-recovery)*notional*C658*F658</f>
        <v>319.78328099441</v>
      </c>
      <c r="H658" s="14">
        <f t="shared" si="24"/>
        <v>2.62835573420074e-6</v>
      </c>
      <c r="I658" s="33"/>
    </row>
    <row r="659" spans="1:9">
      <c r="A659" s="4">
        <v>657</v>
      </c>
      <c r="B659" s="6">
        <f>'2_Discount_Factors'!B660</f>
        <v>1.8</v>
      </c>
      <c r="C659" s="6">
        <f>EXP(-r_free*(('2_Discount_Factors'!B659+'2_Discount_Factors'!B660)/2))</f>
        <v>0.947471042867876</v>
      </c>
      <c r="D659" s="6">
        <f>'3_Survival_Probs'!D659</f>
        <v>0.97229311917437</v>
      </c>
      <c r="E659" s="6">
        <f>'3_Survival_Probs'!D660</f>
        <v>0.972236874974973</v>
      </c>
      <c r="F659" s="8">
        <f t="shared" si="25"/>
        <v>5.6244199396982e-5</v>
      </c>
      <c r="G659" s="29">
        <f>(1-recovery)*notional*C659*F659</f>
        <v>319.738501547564</v>
      </c>
      <c r="H659" s="8">
        <f t="shared" si="24"/>
        <v>2.77398699972783e-6</v>
      </c>
      <c r="I659" s="30"/>
    </row>
    <row r="660" spans="1:9">
      <c r="A660" s="10">
        <v>658</v>
      </c>
      <c r="B660" s="12">
        <f>'2_Discount_Factors'!B661</f>
        <v>1.8027397260274</v>
      </c>
      <c r="C660" s="12">
        <f>EXP(-r_free*(('2_Discount_Factors'!B660+'2_Discount_Factors'!B661)/2))</f>
        <v>0.947393171735813</v>
      </c>
      <c r="D660" s="12">
        <f>'3_Survival_Probs'!D660</f>
        <v>0.972236874974973</v>
      </c>
      <c r="E660" s="12">
        <f>'3_Survival_Probs'!D661</f>
        <v>0.972180634029132</v>
      </c>
      <c r="F660" s="14">
        <f t="shared" si="25"/>
        <v>5.62409458411128e-5</v>
      </c>
      <c r="G660" s="32">
        <f>(1-recovery)*notional*C660*F660</f>
        <v>319.693728371004</v>
      </c>
      <c r="H660" s="14">
        <f t="shared" si="24"/>
        <v>2.9195774280458e-6</v>
      </c>
      <c r="I660" s="33"/>
    </row>
    <row r="661" spans="1:9">
      <c r="A661" s="4">
        <v>659</v>
      </c>
      <c r="B661" s="6">
        <f>'2_Discount_Factors'!B662</f>
        <v>1.80547945205479</v>
      </c>
      <c r="C661" s="6">
        <f>EXP(-r_free*(('2_Discount_Factors'!B661+'2_Discount_Factors'!B662)/2))</f>
        <v>0.947315307003853</v>
      </c>
      <c r="D661" s="6">
        <f>'3_Survival_Probs'!D661</f>
        <v>0.972180634029132</v>
      </c>
      <c r="E661" s="6">
        <f>'3_Survival_Probs'!D662</f>
        <v>0.972124396336659</v>
      </c>
      <c r="F661" s="8">
        <f t="shared" si="25"/>
        <v>5.62376924735375e-5</v>
      </c>
      <c r="G661" s="29">
        <f>(1-recovery)*notional*C661*F661</f>
        <v>319.648961464545</v>
      </c>
      <c r="H661" s="8">
        <f t="shared" si="24"/>
        <v>3.06512702774232e-6</v>
      </c>
      <c r="I661" s="30"/>
    </row>
    <row r="662" spans="1:9">
      <c r="A662" s="10">
        <v>660</v>
      </c>
      <c r="B662" s="12">
        <f>'2_Discount_Factors'!B663</f>
        <v>1.80821917808219</v>
      </c>
      <c r="C662" s="12">
        <f>EXP(-r_free*(('2_Discount_Factors'!B662+'2_Discount_Factors'!B663)/2))</f>
        <v>0.947237448671472</v>
      </c>
      <c r="D662" s="12">
        <f>'3_Survival_Probs'!D662</f>
        <v>0.972124396336659</v>
      </c>
      <c r="E662" s="12">
        <f>'3_Survival_Probs'!D663</f>
        <v>0.972068161897365</v>
      </c>
      <c r="F662" s="14">
        <f t="shared" si="25"/>
        <v>5.62344392940339e-5</v>
      </c>
      <c r="G662" s="32">
        <f>(1-recovery)*notional*C662*F662</f>
        <v>319.604200826109</v>
      </c>
      <c r="H662" s="14">
        <f t="shared" si="24"/>
        <v>3.21063580738567e-6</v>
      </c>
      <c r="I662" s="33"/>
    </row>
    <row r="663" spans="1:9">
      <c r="A663" s="4">
        <v>661</v>
      </c>
      <c r="B663" s="6">
        <f>'2_Discount_Factors'!B664</f>
        <v>1.81095890410959</v>
      </c>
      <c r="C663" s="6">
        <f>EXP(-r_free*(('2_Discount_Factors'!B663+'2_Discount_Factors'!B664)/2))</f>
        <v>0.947159596738143</v>
      </c>
      <c r="D663" s="6">
        <f>'3_Survival_Probs'!D663</f>
        <v>0.972068161897365</v>
      </c>
      <c r="E663" s="6">
        <f>'3_Survival_Probs'!D664</f>
        <v>0.972011930711062</v>
      </c>
      <c r="F663" s="8">
        <f t="shared" si="25"/>
        <v>5.62311863028242e-5</v>
      </c>
      <c r="G663" s="29">
        <f>(1-recovery)*notional*C663*F663</f>
        <v>319.559446456142</v>
      </c>
      <c r="H663" s="8">
        <f t="shared" si="24"/>
        <v>3.3561037755669e-6</v>
      </c>
      <c r="I663" s="30"/>
    </row>
    <row r="664" spans="1:9">
      <c r="A664" s="10">
        <v>662</v>
      </c>
      <c r="B664" s="12">
        <f>'2_Discount_Factors'!B665</f>
        <v>1.81369863013699</v>
      </c>
      <c r="C664" s="12">
        <f>EXP(-r_free*(('2_Discount_Factors'!B664+'2_Discount_Factors'!B665)/2))</f>
        <v>0.94708175120334</v>
      </c>
      <c r="D664" s="12">
        <f>'3_Survival_Probs'!D664</f>
        <v>0.972011930711062</v>
      </c>
      <c r="E664" s="12">
        <f>'3_Survival_Probs'!D665</f>
        <v>0.971955702777562</v>
      </c>
      <c r="F664" s="14">
        <f t="shared" si="25"/>
        <v>5.62279334996862e-5</v>
      </c>
      <c r="G664" s="32">
        <f>(1-recovery)*notional*C664*F664</f>
        <v>319.514698352567</v>
      </c>
      <c r="H664" s="14">
        <f t="shared" si="24"/>
        <v>3.50153094085016e-6</v>
      </c>
      <c r="I664" s="33"/>
    </row>
    <row r="665" spans="1:9">
      <c r="A665" s="4">
        <v>663</v>
      </c>
      <c r="B665" s="6">
        <f>'2_Discount_Factors'!B666</f>
        <v>1.81643835616438</v>
      </c>
      <c r="C665" s="6">
        <f>EXP(-r_free*(('2_Discount_Factors'!B665+'2_Discount_Factors'!B666)/2))</f>
        <v>0.947003912066537</v>
      </c>
      <c r="D665" s="6">
        <f>'3_Survival_Probs'!D665</f>
        <v>0.971955702777562</v>
      </c>
      <c r="E665" s="6">
        <f>'3_Survival_Probs'!D666</f>
        <v>0.971899478096677</v>
      </c>
      <c r="F665" s="8">
        <f t="shared" si="25"/>
        <v>5.62246808848421e-5</v>
      </c>
      <c r="G665" s="29">
        <f>(1-recovery)*notional*C665*F665</f>
        <v>319.469956515829</v>
      </c>
      <c r="H665" s="8">
        <f t="shared" si="24"/>
        <v>3.64691731182464e-6</v>
      </c>
      <c r="I665" s="30"/>
    </row>
    <row r="666" spans="1:9">
      <c r="A666" s="10">
        <v>664</v>
      </c>
      <c r="B666" s="12">
        <f>'2_Discount_Factors'!B667</f>
        <v>1.81917808219178</v>
      </c>
      <c r="C666" s="12">
        <f>EXP(-r_free*(('2_Discount_Factors'!B666+'2_Discount_Factors'!B667)/2))</f>
        <v>0.946926079327209</v>
      </c>
      <c r="D666" s="12">
        <f>'3_Survival_Probs'!D666</f>
        <v>0.971899478096677</v>
      </c>
      <c r="E666" s="12">
        <f>'3_Survival_Probs'!D667</f>
        <v>0.971843256668219</v>
      </c>
      <c r="F666" s="14">
        <f t="shared" si="25"/>
        <v>5.62214284580698e-5</v>
      </c>
      <c r="G666" s="32">
        <f>(1-recovery)*notional*C666*F666</f>
        <v>319.425220943851</v>
      </c>
      <c r="H666" s="14">
        <f t="shared" si="24"/>
        <v>3.7922628970504e-6</v>
      </c>
      <c r="I666" s="33"/>
    </row>
    <row r="667" spans="1:9">
      <c r="A667" s="4">
        <v>665</v>
      </c>
      <c r="B667" s="6">
        <f>'2_Discount_Factors'!B668</f>
        <v>1.82191780821918</v>
      </c>
      <c r="C667" s="6">
        <f>EXP(-r_free*(('2_Discount_Factors'!B667+'2_Discount_Factors'!B668)/2))</f>
        <v>0.946848252984829</v>
      </c>
      <c r="D667" s="6">
        <f>'3_Survival_Probs'!D667</f>
        <v>0.971843256668219</v>
      </c>
      <c r="E667" s="6">
        <f>'3_Survival_Probs'!D668</f>
        <v>0.971787038492</v>
      </c>
      <c r="F667" s="8">
        <f t="shared" si="25"/>
        <v>5.62181762194802e-5</v>
      </c>
      <c r="G667" s="29">
        <f>(1-recovery)*notional*C667*F667</f>
        <v>319.380491636448</v>
      </c>
      <c r="H667" s="8">
        <f t="shared" si="24"/>
        <v>3.93756770510701e-6</v>
      </c>
      <c r="I667" s="30"/>
    </row>
    <row r="668" spans="1:9">
      <c r="A668" s="10">
        <v>666</v>
      </c>
      <c r="B668" s="12">
        <f>'2_Discount_Factors'!B669</f>
        <v>1.82465753424658</v>
      </c>
      <c r="C668" s="12">
        <f>EXP(-r_free*(('2_Discount_Factors'!B668+'2_Discount_Factors'!B669)/2))</f>
        <v>0.946770433038871</v>
      </c>
      <c r="D668" s="12">
        <f>'3_Survival_Probs'!D668</f>
        <v>0.971787038492</v>
      </c>
      <c r="E668" s="12">
        <f>'3_Survival_Probs'!D669</f>
        <v>0.971730823567831</v>
      </c>
      <c r="F668" s="14">
        <f t="shared" si="25"/>
        <v>5.62149241689625e-5</v>
      </c>
      <c r="G668" s="32">
        <f>(1-recovery)*notional*C668*F668</f>
        <v>319.335768592175</v>
      </c>
      <c r="H668" s="14">
        <f t="shared" si="24"/>
        <v>4.08283174455761e-6</v>
      </c>
      <c r="I668" s="33"/>
    </row>
    <row r="669" spans="1:9">
      <c r="A669" s="4">
        <v>667</v>
      </c>
      <c r="B669" s="6">
        <f>'2_Discount_Factors'!B670</f>
        <v>1.82739726027397</v>
      </c>
      <c r="C669" s="6">
        <f>EXP(-r_free*(('2_Discount_Factors'!B669+'2_Discount_Factors'!B670)/2))</f>
        <v>0.946692619488811</v>
      </c>
      <c r="D669" s="6">
        <f>'3_Survival_Probs'!D669</f>
        <v>0.971730823567831</v>
      </c>
      <c r="E669" s="6">
        <f>'3_Survival_Probs'!D670</f>
        <v>0.971674611895524</v>
      </c>
      <c r="F669" s="8">
        <f t="shared" si="25"/>
        <v>5.62116723066275e-5</v>
      </c>
      <c r="G669" s="29">
        <f>(1-recovery)*notional*C669*F669</f>
        <v>319.291051810847</v>
      </c>
      <c r="H669" s="8">
        <f t="shared" si="24"/>
        <v>4.22805502397936e-6</v>
      </c>
      <c r="I669" s="30"/>
    </row>
    <row r="670" spans="1:9">
      <c r="A670" s="10">
        <v>668</v>
      </c>
      <c r="B670" s="12">
        <f>'2_Discount_Factors'!B671</f>
        <v>1.83013698630137</v>
      </c>
      <c r="C670" s="12">
        <f>EXP(-r_free*(('2_Discount_Factors'!B670+'2_Discount_Factors'!B671)/2))</f>
        <v>0.946614812334123</v>
      </c>
      <c r="D670" s="12">
        <f>'3_Survival_Probs'!D670</f>
        <v>0.971674611895524</v>
      </c>
      <c r="E670" s="12">
        <f>'3_Survival_Probs'!D671</f>
        <v>0.971618403474892</v>
      </c>
      <c r="F670" s="14">
        <f t="shared" si="25"/>
        <v>5.62084206323643e-5</v>
      </c>
      <c r="G670" s="32">
        <f>(1-recovery)*notional*C670*F670</f>
        <v>319.246341291018</v>
      </c>
      <c r="H670" s="14">
        <f t="shared" si="24"/>
        <v>4.37323755193186e-6</v>
      </c>
      <c r="I670" s="33"/>
    </row>
    <row r="671" spans="1:9">
      <c r="A671" s="4">
        <v>669</v>
      </c>
      <c r="B671" s="6">
        <f>'2_Discount_Factors'!B672</f>
        <v>1.83287671232877</v>
      </c>
      <c r="C671" s="6">
        <f>EXP(-r_free*(('2_Discount_Factors'!B671+'2_Discount_Factors'!B672)/2))</f>
        <v>0.94653701157428</v>
      </c>
      <c r="D671" s="6">
        <f>'3_Survival_Probs'!D671</f>
        <v>0.971618403474892</v>
      </c>
      <c r="E671" s="6">
        <f>'3_Survival_Probs'!D672</f>
        <v>0.971562198305746</v>
      </c>
      <c r="F671" s="8">
        <f t="shared" si="25"/>
        <v>5.62051691461729e-5</v>
      </c>
      <c r="G671" s="29">
        <f>(1-recovery)*notional*C671*F671</f>
        <v>319.201637031873</v>
      </c>
      <c r="H671" s="8">
        <f t="shared" si="24"/>
        <v>4.51837933698095e-6</v>
      </c>
      <c r="I671" s="30"/>
    </row>
    <row r="672" spans="1:9">
      <c r="A672" s="10">
        <v>670</v>
      </c>
      <c r="B672" s="12">
        <f>'2_Discount_Factors'!B673</f>
        <v>1.83561643835616</v>
      </c>
      <c r="C672" s="12">
        <f>EXP(-r_free*(('2_Discount_Factors'!B672+'2_Discount_Factors'!B673)/2))</f>
        <v>0.946459217208757</v>
      </c>
      <c r="D672" s="12">
        <f>'3_Survival_Probs'!D672</f>
        <v>0.971562198305746</v>
      </c>
      <c r="E672" s="12">
        <f>'3_Survival_Probs'!D673</f>
        <v>0.971505996387898</v>
      </c>
      <c r="F672" s="14">
        <f t="shared" si="25"/>
        <v>5.62019178480533e-5</v>
      </c>
      <c r="G672" s="32">
        <f>(1-recovery)*notional*C672*F672</f>
        <v>319.156939032596</v>
      </c>
      <c r="H672" s="14">
        <f t="shared" si="24"/>
        <v>4.66348038769102e-6</v>
      </c>
      <c r="I672" s="33"/>
    </row>
    <row r="673" spans="1:9">
      <c r="A673" s="4">
        <v>671</v>
      </c>
      <c r="B673" s="6">
        <f>'2_Discount_Factors'!B674</f>
        <v>1.83835616438356</v>
      </c>
      <c r="C673" s="6">
        <f>EXP(-r_free*(('2_Discount_Factors'!B673+'2_Discount_Factors'!B674)/2))</f>
        <v>0.946381429237029</v>
      </c>
      <c r="D673" s="6">
        <f>'3_Survival_Probs'!D673</f>
        <v>0.971505996387898</v>
      </c>
      <c r="E673" s="6">
        <f>'3_Survival_Probs'!D674</f>
        <v>0.97144979772116</v>
      </c>
      <c r="F673" s="8">
        <f t="shared" si="25"/>
        <v>5.61986667381165e-5</v>
      </c>
      <c r="G673" s="29">
        <f>(1-recovery)*notional*C673*F673</f>
        <v>319.112247293005</v>
      </c>
      <c r="H673" s="8">
        <f t="shared" si="24"/>
        <v>4.80854071263444e-6</v>
      </c>
      <c r="I673" s="30"/>
    </row>
    <row r="674" spans="1:9">
      <c r="A674" s="10">
        <v>672</v>
      </c>
      <c r="B674" s="12">
        <f>'2_Discount_Factors'!B675</f>
        <v>1.84109589041096</v>
      </c>
      <c r="C674" s="12">
        <f>EXP(-r_free*(('2_Discount_Factors'!B674+'2_Discount_Factors'!B675)/2))</f>
        <v>0.946303647658571</v>
      </c>
      <c r="D674" s="12">
        <f>'3_Survival_Probs'!D674</f>
        <v>0.97144979772116</v>
      </c>
      <c r="E674" s="12">
        <f>'3_Survival_Probs'!D675</f>
        <v>0.971393602305343</v>
      </c>
      <c r="F674" s="14">
        <f t="shared" si="25"/>
        <v>5.61954158161404e-5</v>
      </c>
      <c r="G674" s="32">
        <f>(1-recovery)*notional*C674*F674</f>
        <v>319.067561811023</v>
      </c>
      <c r="H674" s="14">
        <f t="shared" si="24"/>
        <v>4.95356032035389e-6</v>
      </c>
      <c r="I674" s="33"/>
    </row>
    <row r="675" spans="1:9">
      <c r="A675" s="4">
        <v>673</v>
      </c>
      <c r="B675" s="6">
        <f>'2_Discount_Factors'!B676</f>
        <v>1.84383561643836</v>
      </c>
      <c r="C675" s="6">
        <f>EXP(-r_free*(('2_Discount_Factors'!B675+'2_Discount_Factors'!B676)/2))</f>
        <v>0.946225872472856</v>
      </c>
      <c r="D675" s="6">
        <f>'3_Survival_Probs'!D675</f>
        <v>0.971393602305343</v>
      </c>
      <c r="E675" s="6">
        <f>'3_Survival_Probs'!D676</f>
        <v>0.971337410140261</v>
      </c>
      <c r="F675" s="8">
        <f t="shared" si="25"/>
        <v>5.61921650823471e-5</v>
      </c>
      <c r="G675" s="29">
        <f>(1-recovery)*notional*C675*F675</f>
        <v>319.022882587096</v>
      </c>
      <c r="H675" s="8">
        <f t="shared" si="24"/>
        <v>5.09853921942859e-6</v>
      </c>
      <c r="I675" s="30"/>
    </row>
    <row r="676" spans="1:9">
      <c r="A676" s="10">
        <v>674</v>
      </c>
      <c r="B676" s="12">
        <f>'2_Discount_Factors'!B677</f>
        <v>1.84657534246575</v>
      </c>
      <c r="C676" s="12">
        <f>EXP(-r_free*(('2_Discount_Factors'!B676+'2_Discount_Factors'!B677)/2))</f>
        <v>0.946148103679359</v>
      </c>
      <c r="D676" s="12">
        <f>'3_Survival_Probs'!D676</f>
        <v>0.971337410140261</v>
      </c>
      <c r="E676" s="12">
        <f>'3_Survival_Probs'!D677</f>
        <v>0.971281221225725</v>
      </c>
      <c r="F676" s="14">
        <f t="shared" si="25"/>
        <v>5.61889145365146e-5</v>
      </c>
      <c r="G676" s="32">
        <f>(1-recovery)*notional*C676*F676</f>
        <v>318.978209619149</v>
      </c>
      <c r="H676" s="14">
        <f t="shared" si="24"/>
        <v>5.24347741839708e-6</v>
      </c>
      <c r="I676" s="33"/>
    </row>
    <row r="677" spans="1:9">
      <c r="A677" s="4">
        <v>675</v>
      </c>
      <c r="B677" s="6">
        <f>'2_Discount_Factors'!B678</f>
        <v>1.84931506849315</v>
      </c>
      <c r="C677" s="6">
        <f>EXP(-r_free*(('2_Discount_Factors'!B677+'2_Discount_Factors'!B678)/2))</f>
        <v>0.946070341277555</v>
      </c>
      <c r="D677" s="6">
        <f>'3_Survival_Probs'!D677</f>
        <v>0.971281221225725</v>
      </c>
      <c r="E677" s="6">
        <f>'3_Survival_Probs'!D678</f>
        <v>0.971225035561546</v>
      </c>
      <c r="F677" s="8">
        <f t="shared" si="25"/>
        <v>5.61856641786429e-5</v>
      </c>
      <c r="G677" s="29">
        <f>(1-recovery)*notional*C677*F677</f>
        <v>318.933542906369</v>
      </c>
      <c r="H677" s="8">
        <f t="shared" si="24"/>
        <v>5.38837492581548e-6</v>
      </c>
      <c r="I677" s="30"/>
    </row>
    <row r="678" spans="1:9">
      <c r="A678" s="10">
        <v>676</v>
      </c>
      <c r="B678" s="12">
        <f>'2_Discount_Factors'!B679</f>
        <v>1.85205479452055</v>
      </c>
      <c r="C678" s="12">
        <f>EXP(-r_free*(('2_Discount_Factors'!B678+'2_Discount_Factors'!B679)/2))</f>
        <v>0.945992585266919</v>
      </c>
      <c r="D678" s="12">
        <f>'3_Survival_Probs'!D678</f>
        <v>0.971225035561546</v>
      </c>
      <c r="E678" s="12">
        <f>'3_Survival_Probs'!D679</f>
        <v>0.971168853147537</v>
      </c>
      <c r="F678" s="14">
        <f t="shared" si="25"/>
        <v>5.6182414008954e-5</v>
      </c>
      <c r="G678" s="32">
        <f>(1-recovery)*notional*C678*F678</f>
        <v>318.8888824492</v>
      </c>
      <c r="H678" s="14">
        <f t="shared" si="24"/>
        <v>5.5332317502602e-6</v>
      </c>
      <c r="I678" s="33"/>
    </row>
    <row r="679" spans="1:9">
      <c r="A679" s="4">
        <v>677</v>
      </c>
      <c r="B679" s="6">
        <f>'2_Discount_Factors'!B680</f>
        <v>1.85479452054795</v>
      </c>
      <c r="C679" s="6">
        <f>EXP(-r_free*(('2_Discount_Factors'!B679+'2_Discount_Factors'!B680)/2))</f>
        <v>0.945914835646925</v>
      </c>
      <c r="D679" s="6">
        <f>'3_Survival_Probs'!D679</f>
        <v>0.971168853147537</v>
      </c>
      <c r="E679" s="6">
        <f>'3_Survival_Probs'!D680</f>
        <v>0.97111267398351</v>
      </c>
      <c r="F679" s="8">
        <f t="shared" si="25"/>
        <v>5.61791640272258e-5</v>
      </c>
      <c r="G679" s="29">
        <f>(1-recovery)*notional*C679*F679</f>
        <v>318.84422824557</v>
      </c>
      <c r="H679" s="8">
        <f t="shared" si="24"/>
        <v>5.67804790026368e-6</v>
      </c>
      <c r="I679" s="30"/>
    </row>
    <row r="680" spans="1:9">
      <c r="A680" s="10">
        <v>678</v>
      </c>
      <c r="B680" s="12">
        <f>'2_Discount_Factors'!B681</f>
        <v>1.85753424657534</v>
      </c>
      <c r="C680" s="12">
        <f>EXP(-r_free*(('2_Discount_Factors'!B680+'2_Discount_Factors'!B681)/2))</f>
        <v>0.945837092417048</v>
      </c>
      <c r="D680" s="12">
        <f>'3_Survival_Probs'!D680</f>
        <v>0.97111267398351</v>
      </c>
      <c r="E680" s="12">
        <f>'3_Survival_Probs'!D681</f>
        <v>0.971056498069276</v>
      </c>
      <c r="F680" s="14">
        <f t="shared" si="25"/>
        <v>5.61759142334584e-5</v>
      </c>
      <c r="G680" s="32">
        <f>(1-recovery)*notional*C680*F680</f>
        <v>318.799580294662</v>
      </c>
      <c r="H680" s="14">
        <f t="shared" si="24"/>
        <v>5.8228233843775e-6</v>
      </c>
      <c r="I680" s="33"/>
    </row>
    <row r="681" spans="1:9">
      <c r="A681" s="4">
        <v>679</v>
      </c>
      <c r="B681" s="6">
        <f>'2_Discount_Factors'!B682</f>
        <v>1.86027397260274</v>
      </c>
      <c r="C681" s="6">
        <f>EXP(-r_free*(('2_Discount_Factors'!B681+'2_Discount_Factors'!B682)/2))</f>
        <v>0.945759355576764</v>
      </c>
      <c r="D681" s="6">
        <f>'3_Survival_Probs'!D681</f>
        <v>0.971056498069276</v>
      </c>
      <c r="E681" s="6">
        <f>'3_Survival_Probs'!D682</f>
        <v>0.971000325404649</v>
      </c>
      <c r="F681" s="8">
        <f t="shared" si="25"/>
        <v>5.61726646276517e-5</v>
      </c>
      <c r="G681" s="29">
        <f>(1-recovery)*notional*C681*F681</f>
        <v>318.754938595665</v>
      </c>
      <c r="H681" s="8">
        <f t="shared" si="24"/>
        <v>5.96755821115183e-6</v>
      </c>
      <c r="I681" s="30"/>
    </row>
    <row r="682" spans="1:9">
      <c r="A682" s="10">
        <v>680</v>
      </c>
      <c r="B682" s="12">
        <f>'2_Discount_Factors'!B683</f>
        <v>1.86301369863014</v>
      </c>
      <c r="C682" s="12">
        <f>EXP(-r_free*(('2_Discount_Factors'!B682+'2_Discount_Factors'!B683)/2))</f>
        <v>0.945681625125546</v>
      </c>
      <c r="D682" s="12">
        <f>'3_Survival_Probs'!D682</f>
        <v>0.971000325404649</v>
      </c>
      <c r="E682" s="12">
        <f>'3_Survival_Probs'!D683</f>
        <v>0.970944155989439</v>
      </c>
      <c r="F682" s="14">
        <f t="shared" si="25"/>
        <v>5.61694152099168e-5</v>
      </c>
      <c r="G682" s="32">
        <f>(1-recovery)*notional*C682*F682</f>
        <v>318.710303148394</v>
      </c>
      <c r="H682" s="14">
        <f t="shared" si="24"/>
        <v>6.11225238914739e-6</v>
      </c>
      <c r="I682" s="33"/>
    </row>
    <row r="683" spans="1:9">
      <c r="A683" s="4">
        <v>681</v>
      </c>
      <c r="B683" s="6">
        <f>'2_Discount_Factors'!B684</f>
        <v>1.86575342465753</v>
      </c>
      <c r="C683" s="6">
        <f>EXP(-r_free*(('2_Discount_Factors'!B683+'2_Discount_Factors'!B684)/2))</f>
        <v>0.945603901062869</v>
      </c>
      <c r="D683" s="6">
        <f>'3_Survival_Probs'!D683</f>
        <v>0.970944155989439</v>
      </c>
      <c r="E683" s="6">
        <f>'3_Survival_Probs'!D684</f>
        <v>0.970887989823459</v>
      </c>
      <c r="F683" s="8">
        <f t="shared" si="25"/>
        <v>5.61661659800317e-5</v>
      </c>
      <c r="G683" s="29">
        <f>(1-recovery)*notional*C683*F683</f>
        <v>318.665673950775</v>
      </c>
      <c r="H683" s="8">
        <f t="shared" si="24"/>
        <v>6.25690592688748e-6</v>
      </c>
      <c r="I683" s="30"/>
    </row>
    <row r="684" spans="1:9">
      <c r="A684" s="10">
        <v>682</v>
      </c>
      <c r="B684" s="12">
        <f>'2_Discount_Factors'!B685</f>
        <v>1.86849315068493</v>
      </c>
      <c r="C684" s="12">
        <f>EXP(-r_free*(('2_Discount_Factors'!B684+'2_Discount_Factors'!B685)/2))</f>
        <v>0.94552618338821</v>
      </c>
      <c r="D684" s="12">
        <f>'3_Survival_Probs'!D684</f>
        <v>0.970887989823459</v>
      </c>
      <c r="E684" s="12">
        <f>'3_Survival_Probs'!D685</f>
        <v>0.97083182690652</v>
      </c>
      <c r="F684" s="14">
        <f t="shared" si="25"/>
        <v>5.61629169382183e-5</v>
      </c>
      <c r="G684" s="32">
        <f>(1-recovery)*notional*C684*F684</f>
        <v>318.621051003255</v>
      </c>
      <c r="H684" s="14">
        <f t="shared" si="24"/>
        <v>6.40151883294223e-6</v>
      </c>
      <c r="I684" s="33"/>
    </row>
    <row r="685" spans="1:9">
      <c r="A685" s="4">
        <v>683</v>
      </c>
      <c r="B685" s="6">
        <f>'2_Discount_Factors'!B686</f>
        <v>1.87123287671233</v>
      </c>
      <c r="C685" s="6">
        <f>EXP(-r_free*(('2_Discount_Factors'!B685+'2_Discount_Factors'!B686)/2))</f>
        <v>0.945448472101041</v>
      </c>
      <c r="D685" s="6">
        <f>'3_Survival_Probs'!D685</f>
        <v>0.97083182690652</v>
      </c>
      <c r="E685" s="6">
        <f>'3_Survival_Probs'!D686</f>
        <v>0.970775667238436</v>
      </c>
      <c r="F685" s="8">
        <f t="shared" si="25"/>
        <v>5.61596680842547e-5</v>
      </c>
      <c r="G685" s="29">
        <f>(1-recovery)*notional*C685*F685</f>
        <v>318.576434303761</v>
      </c>
      <c r="H685" s="8">
        <f t="shared" si="24"/>
        <v>6.54609111583082e-6</v>
      </c>
      <c r="I685" s="30"/>
    </row>
    <row r="686" spans="1:9">
      <c r="A686" s="10">
        <v>684</v>
      </c>
      <c r="B686" s="12">
        <f>'2_Discount_Factors'!B687</f>
        <v>1.87397260273973</v>
      </c>
      <c r="C686" s="12">
        <f>EXP(-r_free*(('2_Discount_Factors'!B686+'2_Discount_Factors'!B687)/2))</f>
        <v>0.94537076720084</v>
      </c>
      <c r="D686" s="12">
        <f>'3_Survival_Probs'!D686</f>
        <v>0.970775667238436</v>
      </c>
      <c r="E686" s="12">
        <f>'3_Survival_Probs'!D687</f>
        <v>0.970719510819018</v>
      </c>
      <c r="F686" s="14">
        <f t="shared" si="25"/>
        <v>5.61564194183628e-5</v>
      </c>
      <c r="G686" s="32">
        <f>(1-recovery)*notional*C686*F686</f>
        <v>318.531823852739</v>
      </c>
      <c r="H686" s="14">
        <f t="shared" si="24"/>
        <v>6.69062278412157e-6</v>
      </c>
      <c r="I686" s="33"/>
    </row>
    <row r="687" spans="1:9">
      <c r="A687" s="4">
        <v>685</v>
      </c>
      <c r="B687" s="6">
        <f>'2_Discount_Factors'!B688</f>
        <v>1.87671232876712</v>
      </c>
      <c r="C687" s="6">
        <f>EXP(-r_free*(('2_Discount_Factors'!B687+'2_Discount_Factors'!B688)/2))</f>
        <v>0.94529306868708</v>
      </c>
      <c r="D687" s="6">
        <f>'3_Survival_Probs'!D687</f>
        <v>0.970719510819018</v>
      </c>
      <c r="E687" s="6">
        <f>'3_Survival_Probs'!D688</f>
        <v>0.970663357648078</v>
      </c>
      <c r="F687" s="8">
        <f t="shared" si="25"/>
        <v>5.61531709403207e-5</v>
      </c>
      <c r="G687" s="29">
        <f>(1-recovery)*notional*C687*F687</f>
        <v>318.487219648115</v>
      </c>
      <c r="H687" s="8">
        <f t="shared" si="24"/>
        <v>6.83511384632953e-6</v>
      </c>
      <c r="I687" s="30"/>
    </row>
    <row r="688" spans="1:9">
      <c r="A688" s="10">
        <v>686</v>
      </c>
      <c r="B688" s="12">
        <f>'2_Discount_Factors'!B689</f>
        <v>1.87945205479452</v>
      </c>
      <c r="C688" s="12">
        <f>EXP(-r_free*(('2_Discount_Factors'!B688+'2_Discount_Factors'!B689)/2))</f>
        <v>0.945215376559237</v>
      </c>
      <c r="D688" s="12">
        <f>'3_Survival_Probs'!D688</f>
        <v>0.970663357648078</v>
      </c>
      <c r="E688" s="12">
        <f>'3_Survival_Probs'!D689</f>
        <v>0.970607207725427</v>
      </c>
      <c r="F688" s="14">
        <f t="shared" si="25"/>
        <v>5.61499226501283e-5</v>
      </c>
      <c r="G688" s="32">
        <f>(1-recovery)*notional*C688*F688</f>
        <v>318.442621689078</v>
      </c>
      <c r="H688" s="14">
        <f t="shared" si="24"/>
        <v>6.97956431099361e-6</v>
      </c>
      <c r="I688" s="33"/>
    </row>
    <row r="689" spans="1:9">
      <c r="A689" s="4">
        <v>687</v>
      </c>
      <c r="B689" s="6">
        <f>'2_Discount_Factors'!B690</f>
        <v>1.88219178082192</v>
      </c>
      <c r="C689" s="6">
        <f>EXP(-r_free*(('2_Discount_Factors'!B689+'2_Discount_Factors'!B690)/2))</f>
        <v>0.945137690816786</v>
      </c>
      <c r="D689" s="6">
        <f>'3_Survival_Probs'!D689</f>
        <v>0.970607207725427</v>
      </c>
      <c r="E689" s="6">
        <f>'3_Survival_Probs'!D690</f>
        <v>0.97055106105088</v>
      </c>
      <c r="F689" s="8">
        <f t="shared" si="25"/>
        <v>5.61466745478967e-5</v>
      </c>
      <c r="G689" s="29">
        <f>(1-recovery)*notional*C689*F689</f>
        <v>318.398029975444</v>
      </c>
      <c r="H689" s="8">
        <f t="shared" si="24"/>
        <v>7.12397418666529e-6</v>
      </c>
      <c r="I689" s="30"/>
    </row>
    <row r="690" spans="1:9">
      <c r="A690" s="10">
        <v>688</v>
      </c>
      <c r="B690" s="12">
        <f>'2_Discount_Factors'!B691</f>
        <v>1.88493150684932</v>
      </c>
      <c r="C690" s="12">
        <f>EXP(-r_free*(('2_Discount_Factors'!B690+'2_Discount_Factors'!B691)/2))</f>
        <v>0.945060011459202</v>
      </c>
      <c r="D690" s="12">
        <f>'3_Survival_Probs'!D690</f>
        <v>0.97055106105088</v>
      </c>
      <c r="E690" s="12">
        <f>'3_Survival_Probs'!D691</f>
        <v>0.970494917624246</v>
      </c>
      <c r="F690" s="14">
        <f t="shared" si="25"/>
        <v>5.61434266336258e-5</v>
      </c>
      <c r="G690" s="32">
        <f>(1-recovery)*notional*C690*F690</f>
        <v>318.3534445064</v>
      </c>
      <c r="H690" s="14">
        <f t="shared" si="24"/>
        <v>7.26834348188138e-6</v>
      </c>
      <c r="I690" s="33"/>
    </row>
    <row r="691" spans="1:9">
      <c r="A691" s="4">
        <v>689</v>
      </c>
      <c r="B691" s="6">
        <f>'2_Discount_Factors'!B692</f>
        <v>1.88767123287671</v>
      </c>
      <c r="C691" s="6">
        <f>EXP(-r_free*(('2_Discount_Factors'!B691+'2_Discount_Factors'!B692)/2))</f>
        <v>0.94498233848596</v>
      </c>
      <c r="D691" s="6">
        <f>'3_Survival_Probs'!D691</f>
        <v>0.970494917624246</v>
      </c>
      <c r="E691" s="6">
        <f>'3_Survival_Probs'!D692</f>
        <v>0.970438777445339</v>
      </c>
      <c r="F691" s="8">
        <f t="shared" si="25"/>
        <v>5.61401789070937e-5</v>
      </c>
      <c r="G691" s="29">
        <f>(1-recovery)*notional*C691*F691</f>
        <v>318.308865279873</v>
      </c>
      <c r="H691" s="8">
        <f t="shared" si="24"/>
        <v>7.41267220514784e-6</v>
      </c>
      <c r="I691" s="30"/>
    </row>
    <row r="692" spans="1:9">
      <c r="A692" s="10">
        <v>690</v>
      </c>
      <c r="B692" s="12">
        <f>'2_Discount_Factors'!B693</f>
        <v>1.89041095890411</v>
      </c>
      <c r="C692" s="12">
        <f>EXP(-r_free*(('2_Discount_Factors'!B692+'2_Discount_Factors'!B693)/2))</f>
        <v>0.944904671896536</v>
      </c>
      <c r="D692" s="12">
        <f>'3_Survival_Probs'!D692</f>
        <v>0.970438777445339</v>
      </c>
      <c r="E692" s="12">
        <f>'3_Survival_Probs'!D693</f>
        <v>0.97038264051397</v>
      </c>
      <c r="F692" s="14">
        <f t="shared" si="25"/>
        <v>5.61369313685223e-5</v>
      </c>
      <c r="G692" s="32">
        <f>(1-recovery)*notional*C692*F692</f>
        <v>318.264292296311</v>
      </c>
      <c r="H692" s="14">
        <f t="shared" si="24"/>
        <v>7.55696036502668e-6</v>
      </c>
      <c r="I692" s="33"/>
    </row>
    <row r="693" spans="1:9">
      <c r="A693" s="4">
        <v>691</v>
      </c>
      <c r="B693" s="6">
        <f>'2_Discount_Factors'!B694</f>
        <v>1.89315068493151</v>
      </c>
      <c r="C693" s="6">
        <f>EXP(-r_free*(('2_Discount_Factors'!B693+'2_Discount_Factors'!B694)/2))</f>
        <v>0.944827011690405</v>
      </c>
      <c r="D693" s="6">
        <f>'3_Survival_Probs'!D693</f>
        <v>0.97038264051397</v>
      </c>
      <c r="E693" s="6">
        <f>'3_Survival_Probs'!D694</f>
        <v>0.970326506829952</v>
      </c>
      <c r="F693" s="8">
        <f t="shared" si="25"/>
        <v>5.61336840178006e-5</v>
      </c>
      <c r="G693" s="29">
        <f>(1-recovery)*notional*C693*F693</f>
        <v>318.219725554272</v>
      </c>
      <c r="H693" s="8">
        <f t="shared" si="24"/>
        <v>7.70120797003501e-6</v>
      </c>
      <c r="I693" s="30"/>
    </row>
    <row r="694" spans="1:9">
      <c r="A694" s="10">
        <v>692</v>
      </c>
      <c r="B694" s="12">
        <f>'2_Discount_Factors'!B695</f>
        <v>1.8958904109589</v>
      </c>
      <c r="C694" s="12">
        <f>EXP(-r_free*(('2_Discount_Factors'!B694+'2_Discount_Factors'!B695)/2))</f>
        <v>0.944749357867042</v>
      </c>
      <c r="D694" s="12">
        <f>'3_Survival_Probs'!D694</f>
        <v>0.970326506829952</v>
      </c>
      <c r="E694" s="12">
        <f>'3_Survival_Probs'!D695</f>
        <v>0.970270376393098</v>
      </c>
      <c r="F694" s="14">
        <f t="shared" si="25"/>
        <v>5.61304368549287e-5</v>
      </c>
      <c r="G694" s="32">
        <f>(1-recovery)*notional*C694*F694</f>
        <v>318.175165052943</v>
      </c>
      <c r="H694" s="14">
        <f t="shared" si="24"/>
        <v>7.8454150287028e-6</v>
      </c>
      <c r="I694" s="33"/>
    </row>
    <row r="695" spans="1:9">
      <c r="A695" s="4">
        <v>693</v>
      </c>
      <c r="B695" s="6">
        <f>'2_Discount_Factors'!B696</f>
        <v>1.8986301369863</v>
      </c>
      <c r="C695" s="6">
        <f>EXP(-r_free*(('2_Discount_Factors'!B695+'2_Discount_Factors'!B696)/2))</f>
        <v>0.944671710425923</v>
      </c>
      <c r="D695" s="6">
        <f>'3_Survival_Probs'!D695</f>
        <v>0.970270376393098</v>
      </c>
      <c r="E695" s="6">
        <f>'3_Survival_Probs'!D696</f>
        <v>0.970214249203218</v>
      </c>
      <c r="F695" s="8">
        <f t="shared" si="25"/>
        <v>5.61271898799065e-5</v>
      </c>
      <c r="G695" s="29">
        <f>(1-recovery)*notional*C695*F695</f>
        <v>318.130610791511</v>
      </c>
      <c r="H695" s="8">
        <f t="shared" si="24"/>
        <v>7.98958154955861e-6</v>
      </c>
      <c r="I695" s="30"/>
    </row>
    <row r="696" spans="1:9">
      <c r="A696" s="10">
        <v>694</v>
      </c>
      <c r="B696" s="12">
        <f>'2_Discount_Factors'!B697</f>
        <v>1.9013698630137</v>
      </c>
      <c r="C696" s="12">
        <f>EXP(-r_free*(('2_Discount_Factors'!B696+'2_Discount_Factors'!B697)/2))</f>
        <v>0.944594069366523</v>
      </c>
      <c r="D696" s="12">
        <f>'3_Survival_Probs'!D696</f>
        <v>0.970214249203218</v>
      </c>
      <c r="E696" s="12">
        <f>'3_Survival_Probs'!D697</f>
        <v>0.970158125260125</v>
      </c>
      <c r="F696" s="14">
        <f t="shared" si="25"/>
        <v>5.61239430927341e-5</v>
      </c>
      <c r="G696" s="32">
        <f>(1-recovery)*notional*C696*F696</f>
        <v>318.086062769165</v>
      </c>
      <c r="H696" s="14">
        <f t="shared" si="24"/>
        <v>8.13370754112944e-6</v>
      </c>
      <c r="I696" s="33"/>
    </row>
    <row r="697" spans="1:9">
      <c r="A697" s="4">
        <v>695</v>
      </c>
      <c r="B697" s="6">
        <f>'2_Discount_Factors'!B698</f>
        <v>1.9041095890411</v>
      </c>
      <c r="C697" s="6">
        <f>EXP(-r_free*(('2_Discount_Factors'!B697+'2_Discount_Factors'!B698)/2))</f>
        <v>0.944516434688318</v>
      </c>
      <c r="D697" s="6">
        <f>'3_Survival_Probs'!D697</f>
        <v>0.970158125260125</v>
      </c>
      <c r="E697" s="6">
        <f>'3_Survival_Probs'!D698</f>
        <v>0.970102004563632</v>
      </c>
      <c r="F697" s="8">
        <f t="shared" si="25"/>
        <v>5.61206964933003e-5</v>
      </c>
      <c r="G697" s="29">
        <f>(1-recovery)*notional*C697*F697</f>
        <v>318.041520984463</v>
      </c>
      <c r="H697" s="8">
        <f t="shared" si="24"/>
        <v>8.2777930119245e-6</v>
      </c>
      <c r="I697" s="30"/>
    </row>
    <row r="698" spans="1:9">
      <c r="A698" s="10">
        <v>696</v>
      </c>
      <c r="B698" s="12">
        <f>'2_Discount_Factors'!B699</f>
        <v>1.90684931506849</v>
      </c>
      <c r="C698" s="12">
        <f>EXP(-r_free*(('2_Discount_Factors'!B698+'2_Discount_Factors'!B699)/2))</f>
        <v>0.944438806390783</v>
      </c>
      <c r="D698" s="12">
        <f>'3_Survival_Probs'!D698</f>
        <v>0.970102004563632</v>
      </c>
      <c r="E698" s="12">
        <f>'3_Survival_Probs'!D699</f>
        <v>0.97004588711355</v>
      </c>
      <c r="F698" s="14">
        <f t="shared" si="25"/>
        <v>5.61174500817163e-5</v>
      </c>
      <c r="G698" s="32">
        <f>(1-recovery)*notional*C698*F698</f>
        <v>317.996985437223</v>
      </c>
      <c r="H698" s="14">
        <f t="shared" si="24"/>
        <v>8.42183797048364e-6</v>
      </c>
      <c r="I698" s="33"/>
    </row>
    <row r="699" spans="1:9">
      <c r="A699" s="4">
        <v>697</v>
      </c>
      <c r="B699" s="6">
        <f>'2_Discount_Factors'!B700</f>
        <v>1.90958904109589</v>
      </c>
      <c r="C699" s="6">
        <f>EXP(-r_free*(('2_Discount_Factors'!B699+'2_Discount_Factors'!B700)/2))</f>
        <v>0.944361184473394</v>
      </c>
      <c r="D699" s="6">
        <f>'3_Survival_Probs'!D699</f>
        <v>0.97004588711355</v>
      </c>
      <c r="E699" s="6">
        <f>'3_Survival_Probs'!D700</f>
        <v>0.969989772909692</v>
      </c>
      <c r="F699" s="8">
        <f t="shared" si="25"/>
        <v>5.6114203857982e-5</v>
      </c>
      <c r="G699" s="29">
        <f>(1-recovery)*notional*C699*F699</f>
        <v>317.952456126633</v>
      </c>
      <c r="H699" s="8">
        <f t="shared" si="24"/>
        <v>8.56584242532948e-6</v>
      </c>
      <c r="I699" s="30"/>
    </row>
    <row r="700" spans="1:9">
      <c r="A700" s="10">
        <v>698</v>
      </c>
      <c r="B700" s="12">
        <f>'2_Discount_Factors'!B701</f>
        <v>1.91232876712329</v>
      </c>
      <c r="C700" s="12">
        <f>EXP(-r_free*(('2_Discount_Factors'!B700+'2_Discount_Factors'!B701)/2))</f>
        <v>0.944283568935627</v>
      </c>
      <c r="D700" s="12">
        <f>'3_Survival_Probs'!D700</f>
        <v>0.969989772909692</v>
      </c>
      <c r="E700" s="12">
        <f>'3_Survival_Probs'!D701</f>
        <v>0.96993366195187</v>
      </c>
      <c r="F700" s="14">
        <f t="shared" si="25"/>
        <v>5.61109578219865e-5</v>
      </c>
      <c r="G700" s="32">
        <f>(1-recovery)*notional*C700*F700</f>
        <v>317.907933051251</v>
      </c>
      <c r="H700" s="14">
        <f t="shared" si="24"/>
        <v>8.70980638496588e-6</v>
      </c>
      <c r="I700" s="33"/>
    </row>
    <row r="701" spans="1:9">
      <c r="A701" s="4">
        <v>699</v>
      </c>
      <c r="B701" s="6">
        <f>'2_Discount_Factors'!B702</f>
        <v>1.91506849315068</v>
      </c>
      <c r="C701" s="6">
        <f>EXP(-r_free*(('2_Discount_Factors'!B701+'2_Discount_Factors'!B702)/2))</f>
        <v>0.944205959776956</v>
      </c>
      <c r="D701" s="6">
        <f>'3_Survival_Probs'!D701</f>
        <v>0.96993366195187</v>
      </c>
      <c r="E701" s="6">
        <f>'3_Survival_Probs'!D702</f>
        <v>0.969877554239896</v>
      </c>
      <c r="F701" s="8">
        <f t="shared" si="25"/>
        <v>5.61077119737297e-5</v>
      </c>
      <c r="G701" s="29">
        <f>(1-recovery)*notional*C701*F701</f>
        <v>317.863416210267</v>
      </c>
      <c r="H701" s="8">
        <f t="shared" si="24"/>
        <v>8.85372985791164e-6</v>
      </c>
      <c r="I701" s="30"/>
    </row>
    <row r="702" spans="1:9">
      <c r="A702" s="10">
        <v>700</v>
      </c>
      <c r="B702" s="12">
        <f>'2_Discount_Factors'!B703</f>
        <v>1.91780821917808</v>
      </c>
      <c r="C702" s="12">
        <f>EXP(-r_free*(('2_Discount_Factors'!B702+'2_Discount_Factors'!B703)/2))</f>
        <v>0.944128356996858</v>
      </c>
      <c r="D702" s="12">
        <f>'3_Survival_Probs'!D702</f>
        <v>0.969877554239896</v>
      </c>
      <c r="E702" s="12">
        <f>'3_Survival_Probs'!D703</f>
        <v>0.969821449773583</v>
      </c>
      <c r="F702" s="14">
        <f t="shared" si="25"/>
        <v>5.61044663133226e-5</v>
      </c>
      <c r="G702" s="32">
        <f>(1-recovery)*notional*C702*F702</f>
        <v>317.818905603497</v>
      </c>
      <c r="H702" s="14">
        <f t="shared" si="24"/>
        <v>8.99761285270184e-6</v>
      </c>
      <c r="I702" s="33"/>
    </row>
    <row r="703" spans="1:9">
      <c r="A703" s="4">
        <v>701</v>
      </c>
      <c r="B703" s="6">
        <f>'2_Discount_Factors'!B704</f>
        <v>1.92054794520548</v>
      </c>
      <c r="C703" s="6">
        <f>EXP(-r_free*(('2_Discount_Factors'!B703+'2_Discount_Factors'!B704)/2))</f>
        <v>0.944050760594809</v>
      </c>
      <c r="D703" s="6">
        <f>'3_Survival_Probs'!D703</f>
        <v>0.969821449773583</v>
      </c>
      <c r="E703" s="6">
        <f>'3_Survival_Probs'!D704</f>
        <v>0.969765348552742</v>
      </c>
      <c r="F703" s="8">
        <f t="shared" si="25"/>
        <v>5.61012208405431e-5</v>
      </c>
      <c r="G703" s="29">
        <f>(1-recovery)*notional*C703*F703</f>
        <v>317.774401228873</v>
      </c>
      <c r="H703" s="8">
        <f t="shared" si="24"/>
        <v>9.141455377817e-6</v>
      </c>
      <c r="I703" s="30"/>
    </row>
    <row r="704" spans="1:9">
      <c r="A704" s="10">
        <v>702</v>
      </c>
      <c r="B704" s="12">
        <f>'2_Discount_Factors'!B705</f>
        <v>1.92328767123288</v>
      </c>
      <c r="C704" s="12">
        <f>EXP(-r_free*(('2_Discount_Factors'!B704+'2_Discount_Factors'!B705)/2))</f>
        <v>0.943973170570285</v>
      </c>
      <c r="D704" s="12">
        <f>'3_Survival_Probs'!D704</f>
        <v>0.969765348552742</v>
      </c>
      <c r="E704" s="12">
        <f>'3_Survival_Probs'!D705</f>
        <v>0.969709250577187</v>
      </c>
      <c r="F704" s="14">
        <f t="shared" si="25"/>
        <v>5.60979755556135e-5</v>
      </c>
      <c r="G704" s="32">
        <f>(1-recovery)*notional*C704*F704</f>
        <v>317.729903086841</v>
      </c>
      <c r="H704" s="14">
        <f t="shared" si="24"/>
        <v>9.28525744180733e-6</v>
      </c>
      <c r="I704" s="33"/>
    </row>
    <row r="705" spans="1:9">
      <c r="A705" s="4">
        <v>703</v>
      </c>
      <c r="B705" s="6">
        <f>'2_Discount_Factors'!B706</f>
        <v>1.92602739726027</v>
      </c>
      <c r="C705" s="6">
        <f>EXP(-r_free*(('2_Discount_Factors'!B705+'2_Discount_Factors'!B706)/2))</f>
        <v>0.94389558692276</v>
      </c>
      <c r="D705" s="6">
        <f>'3_Survival_Probs'!D705</f>
        <v>0.969709250577187</v>
      </c>
      <c r="E705" s="6">
        <f>'3_Survival_Probs'!D706</f>
        <v>0.969653155846728</v>
      </c>
      <c r="F705" s="8">
        <f t="shared" si="25"/>
        <v>5.60947304583115e-5</v>
      </c>
      <c r="G705" s="29">
        <f>(1-recovery)*notional*C705*F705</f>
        <v>317.685411175332</v>
      </c>
      <c r="H705" s="8">
        <f t="shared" ref="H705:H732" si="26">C705*(B705-1.74794520547945)*F705</f>
        <v>9.42901905314922e-6</v>
      </c>
      <c r="I705" s="30"/>
    </row>
    <row r="706" spans="1:9">
      <c r="A706" s="10">
        <v>704</v>
      </c>
      <c r="B706" s="12">
        <f>'2_Discount_Factors'!B707</f>
        <v>1.92876712328767</v>
      </c>
      <c r="C706" s="12">
        <f>EXP(-r_free*(('2_Discount_Factors'!B706+'2_Discount_Factors'!B707)/2))</f>
        <v>0.943818009651712</v>
      </c>
      <c r="D706" s="12">
        <f>'3_Survival_Probs'!D706</f>
        <v>0.969653155846728</v>
      </c>
      <c r="E706" s="12">
        <f>'3_Survival_Probs'!D707</f>
        <v>0.96959706436118</v>
      </c>
      <c r="F706" s="14">
        <f t="shared" si="25"/>
        <v>5.60914855488592e-5</v>
      </c>
      <c r="G706" s="32">
        <f>(1-recovery)*notional*C706*F706</f>
        <v>317.640925494792</v>
      </c>
      <c r="H706" s="14">
        <f t="shared" si="26"/>
        <v>9.57274022039112e-6</v>
      </c>
      <c r="I706" s="33"/>
    </row>
    <row r="707" spans="1:9">
      <c r="A707" s="4">
        <v>705</v>
      </c>
      <c r="B707" s="6">
        <f>'2_Discount_Factors'!B708</f>
        <v>1.93150684931507</v>
      </c>
      <c r="C707" s="6">
        <f>EXP(-r_free*(('2_Discount_Factors'!B707+'2_Discount_Factors'!B708)/2))</f>
        <v>0.943740438756615</v>
      </c>
      <c r="D707" s="6">
        <f>'3_Survival_Probs'!D707</f>
        <v>0.96959706436118</v>
      </c>
      <c r="E707" s="6">
        <f>'3_Survival_Probs'!D708</f>
        <v>0.969540976120353</v>
      </c>
      <c r="F707" s="8">
        <f t="shared" ref="F707:F770" si="27">D707-E707</f>
        <v>5.60882408270347e-5</v>
      </c>
      <c r="G707" s="29">
        <f>(1-recovery)*notional*C707*F707</f>
        <v>317.596446043154</v>
      </c>
      <c r="H707" s="8">
        <f t="shared" si="26"/>
        <v>9.71642095200529e-6</v>
      </c>
      <c r="I707" s="30"/>
    </row>
    <row r="708" spans="1:9">
      <c r="A708" s="10">
        <v>706</v>
      </c>
      <c r="B708" s="12">
        <f>'2_Discount_Factors'!B709</f>
        <v>1.93424657534247</v>
      </c>
      <c r="C708" s="12">
        <f>EXP(-r_free*(('2_Discount_Factors'!B708+'2_Discount_Factors'!B709)/2))</f>
        <v>0.943662874236947</v>
      </c>
      <c r="D708" s="12">
        <f>'3_Survival_Probs'!D708</f>
        <v>0.969540976120353</v>
      </c>
      <c r="E708" s="12">
        <f>'3_Survival_Probs'!D709</f>
        <v>0.96948489112406</v>
      </c>
      <c r="F708" s="14">
        <f t="shared" si="27"/>
        <v>5.60849962928378e-5</v>
      </c>
      <c r="G708" s="32">
        <f>(1-recovery)*notional*C708*F708</f>
        <v>317.551972819607</v>
      </c>
      <c r="H708" s="14">
        <f t="shared" si="26"/>
        <v>9.86006125649932e-6</v>
      </c>
      <c r="I708" s="33"/>
    </row>
    <row r="709" spans="1:9">
      <c r="A709" s="4">
        <v>707</v>
      </c>
      <c r="B709" s="6">
        <f>'2_Discount_Factors'!B710</f>
        <v>1.93698630136986</v>
      </c>
      <c r="C709" s="6">
        <f>EXP(-r_free*(('2_Discount_Factors'!B709+'2_Discount_Factors'!B710)/2))</f>
        <v>0.943585316092182</v>
      </c>
      <c r="D709" s="6">
        <f>'3_Survival_Probs'!D709</f>
        <v>0.96948489112406</v>
      </c>
      <c r="E709" s="6">
        <f>'3_Survival_Probs'!D710</f>
        <v>0.969428809372113</v>
      </c>
      <c r="F709" s="8">
        <f t="shared" si="27"/>
        <v>5.60817519464907e-5</v>
      </c>
      <c r="G709" s="29">
        <f>(1-recovery)*notional*C709*F709</f>
        <v>317.507505824597</v>
      </c>
      <c r="H709" s="8">
        <f t="shared" si="26"/>
        <v>1.00036611424189e-5</v>
      </c>
      <c r="I709" s="30"/>
    </row>
    <row r="710" spans="1:9">
      <c r="A710" s="10">
        <v>708</v>
      </c>
      <c r="B710" s="12">
        <f>'2_Discount_Factors'!B711</f>
        <v>1.93972602739726</v>
      </c>
      <c r="C710" s="12">
        <f>EXP(-r_free*(('2_Discount_Factors'!B710+'2_Discount_Factors'!B711)/2))</f>
        <v>0.943507764321798</v>
      </c>
      <c r="D710" s="12">
        <f>'3_Survival_Probs'!D710</f>
        <v>0.969428809372113</v>
      </c>
      <c r="E710" s="12">
        <f>'3_Survival_Probs'!D711</f>
        <v>0.969372730864326</v>
      </c>
      <c r="F710" s="14">
        <f t="shared" si="27"/>
        <v>5.60785077876602e-5</v>
      </c>
      <c r="G710" s="32">
        <f>(1-recovery)*notional*C710*F710</f>
        <v>317.463045055427</v>
      </c>
      <c r="H710" s="14">
        <f t="shared" si="26"/>
        <v>1.01472206182101e-5</v>
      </c>
      <c r="I710" s="33"/>
    </row>
    <row r="711" spans="1:9">
      <c r="A711" s="4">
        <v>709</v>
      </c>
      <c r="B711" s="6">
        <f>'2_Discount_Factors'!B712</f>
        <v>1.94246575342466</v>
      </c>
      <c r="C711" s="6">
        <f>EXP(-r_free*(('2_Discount_Factors'!B711+'2_Discount_Factors'!B712)/2))</f>
        <v>0.94343021892527</v>
      </c>
      <c r="D711" s="6">
        <f>'3_Survival_Probs'!D711</f>
        <v>0.969372730864326</v>
      </c>
      <c r="E711" s="6">
        <f>'3_Survival_Probs'!D712</f>
        <v>0.969316655600509</v>
      </c>
      <c r="F711" s="8">
        <f t="shared" si="27"/>
        <v>5.60752638165685e-5</v>
      </c>
      <c r="G711" s="29">
        <f>(1-recovery)*notional*C711*F711</f>
        <v>317.418590512545</v>
      </c>
      <c r="H711" s="8">
        <f t="shared" si="26"/>
        <v>1.02907396924159e-5</v>
      </c>
      <c r="I711" s="30"/>
    </row>
    <row r="712" spans="1:9">
      <c r="A712" s="10">
        <v>710</v>
      </c>
      <c r="B712" s="12">
        <f>'2_Discount_Factors'!B713</f>
        <v>1.94520547945205</v>
      </c>
      <c r="C712" s="12">
        <f>EXP(-r_free*(('2_Discount_Factors'!B712+'2_Discount_Factors'!B713)/2))</f>
        <v>0.943352679902074</v>
      </c>
      <c r="D712" s="12">
        <f>'3_Survival_Probs'!D712</f>
        <v>0.969316655600509</v>
      </c>
      <c r="E712" s="12">
        <f>'3_Survival_Probs'!D713</f>
        <v>0.969260583580476</v>
      </c>
      <c r="F712" s="14">
        <f t="shared" si="27"/>
        <v>5.60720200331044e-5</v>
      </c>
      <c r="G712" s="32">
        <f>(1-recovery)*notional*C712*F712</f>
        <v>317.374142194511</v>
      </c>
      <c r="H712" s="14">
        <f t="shared" si="26"/>
        <v>1.04342183735183e-5</v>
      </c>
      <c r="I712" s="33"/>
    </row>
    <row r="713" spans="1:9">
      <c r="A713" s="4">
        <v>711</v>
      </c>
      <c r="B713" s="6">
        <f>'2_Discount_Factors'!B714</f>
        <v>1.94794520547945</v>
      </c>
      <c r="C713" s="6">
        <f>EXP(-r_free*(('2_Discount_Factors'!B713+'2_Discount_Factors'!B714)/2))</f>
        <v>0.943275147251687</v>
      </c>
      <c r="D713" s="6">
        <f>'3_Survival_Probs'!D713</f>
        <v>0.969260583580476</v>
      </c>
      <c r="E713" s="6">
        <f>'3_Survival_Probs'!D714</f>
        <v>0.969204514804038</v>
      </c>
      <c r="F713" s="8">
        <f t="shared" si="27"/>
        <v>5.60687764373791e-5</v>
      </c>
      <c r="G713" s="29">
        <f>(1-recovery)*notional*C713*F713</f>
        <v>317.329700101144</v>
      </c>
      <c r="H713" s="8">
        <f t="shared" si="26"/>
        <v>1.05776566700382e-5</v>
      </c>
      <c r="I713" s="30"/>
    </row>
    <row r="714" spans="1:9">
      <c r="A714" s="10">
        <v>712</v>
      </c>
      <c r="B714" s="12">
        <f>'2_Discount_Factors'!B715</f>
        <v>1.95068493150685</v>
      </c>
      <c r="C714" s="12">
        <f>EXP(-r_free*(('2_Discount_Factors'!B714+'2_Discount_Factors'!B715)/2))</f>
        <v>0.943197620973584</v>
      </c>
      <c r="D714" s="12">
        <f>'3_Survival_Probs'!D714</f>
        <v>0.969204514804038</v>
      </c>
      <c r="E714" s="12">
        <f>'3_Survival_Probs'!D715</f>
        <v>0.969148449271009</v>
      </c>
      <c r="F714" s="14">
        <f t="shared" si="27"/>
        <v>5.60655330291704e-5</v>
      </c>
      <c r="G714" s="32">
        <f>(1-recovery)*notional*C714*F714</f>
        <v>317.285264230377</v>
      </c>
      <c r="H714" s="14">
        <f t="shared" si="26"/>
        <v>1.07210545904329e-5</v>
      </c>
      <c r="I714" s="33"/>
    </row>
    <row r="715" spans="1:9">
      <c r="A715" s="4">
        <v>713</v>
      </c>
      <c r="B715" s="6">
        <f>'2_Discount_Factors'!B716</f>
        <v>1.95342465753425</v>
      </c>
      <c r="C715" s="6">
        <f>EXP(-r_free*(('2_Discount_Factors'!B715+'2_Discount_Factors'!B716)/2))</f>
        <v>0.943120101067243</v>
      </c>
      <c r="D715" s="6">
        <f>'3_Survival_Probs'!D715</f>
        <v>0.969148449271009</v>
      </c>
      <c r="E715" s="6">
        <f>'3_Survival_Probs'!D716</f>
        <v>0.969092386981201</v>
      </c>
      <c r="F715" s="8">
        <f t="shared" si="27"/>
        <v>5.60622898085894e-5</v>
      </c>
      <c r="G715" s="29">
        <f>(1-recovery)*notional*C715*F715</f>
        <v>317.240834582027</v>
      </c>
      <c r="H715" s="8">
        <f t="shared" si="26"/>
        <v>1.08644121432202e-5</v>
      </c>
      <c r="I715" s="30"/>
    </row>
    <row r="716" spans="1:9">
      <c r="A716" s="10">
        <v>714</v>
      </c>
      <c r="B716" s="12">
        <f>'2_Discount_Factors'!B717</f>
        <v>1.95616438356164</v>
      </c>
      <c r="C716" s="12">
        <f>EXP(-r_free*(('2_Discount_Factors'!B716+'2_Discount_Factors'!B717)/2))</f>
        <v>0.943042587532138</v>
      </c>
      <c r="D716" s="12">
        <f>'3_Survival_Probs'!D716</f>
        <v>0.969092386981201</v>
      </c>
      <c r="E716" s="12">
        <f>'3_Survival_Probs'!D717</f>
        <v>0.969036327934425</v>
      </c>
      <c r="F716" s="14">
        <f t="shared" si="27"/>
        <v>5.60590467757471e-5</v>
      </c>
      <c r="G716" s="32">
        <f>(1-recovery)*notional*C716*F716</f>
        <v>317.196411155915</v>
      </c>
      <c r="H716" s="14">
        <f t="shared" si="26"/>
        <v>1.10077293369177e-5</v>
      </c>
      <c r="I716" s="33"/>
    </row>
    <row r="717" spans="1:9">
      <c r="A717" s="4">
        <v>715</v>
      </c>
      <c r="B717" s="6">
        <f>'2_Discount_Factors'!B718</f>
        <v>1.95890410958904</v>
      </c>
      <c r="C717" s="6">
        <f>EXP(-r_free*(('2_Discount_Factors'!B717+'2_Discount_Factors'!B718)/2))</f>
        <v>0.942965080367748</v>
      </c>
      <c r="D717" s="6">
        <f>'3_Survival_Probs'!D717</f>
        <v>0.969036327934425</v>
      </c>
      <c r="E717" s="6">
        <f>'3_Survival_Probs'!D718</f>
        <v>0.968980272130495</v>
      </c>
      <c r="F717" s="8">
        <f t="shared" si="27"/>
        <v>5.60558039304215e-5</v>
      </c>
      <c r="G717" s="29">
        <f>(1-recovery)*notional*C717*F717</f>
        <v>317.151993949972</v>
      </c>
      <c r="H717" s="8">
        <f t="shared" si="26"/>
        <v>1.11510061799763e-5</v>
      </c>
      <c r="I717" s="30"/>
    </row>
    <row r="718" spans="1:9">
      <c r="A718" s="10">
        <v>716</v>
      </c>
      <c r="B718" s="12">
        <f>'2_Discount_Factors'!B719</f>
        <v>1.96164383561644</v>
      </c>
      <c r="C718" s="12">
        <f>EXP(-r_free*(('2_Discount_Factors'!B718+'2_Discount_Factors'!B719)/2))</f>
        <v>0.942887579573547</v>
      </c>
      <c r="D718" s="12">
        <f>'3_Survival_Probs'!D718</f>
        <v>0.968980272130495</v>
      </c>
      <c r="E718" s="12">
        <f>'3_Survival_Probs'!D719</f>
        <v>0.968924219569222</v>
      </c>
      <c r="F718" s="14">
        <f t="shared" si="27"/>
        <v>5.60525612726126e-5</v>
      </c>
      <c r="G718" s="32">
        <f>(1-recovery)*notional*C718*F718</f>
        <v>317.10758296339</v>
      </c>
      <c r="H718" s="14">
        <f t="shared" si="26"/>
        <v>1.1294242680888e-5</v>
      </c>
      <c r="I718" s="33"/>
    </row>
    <row r="719" spans="1:9">
      <c r="A719" s="4">
        <v>717</v>
      </c>
      <c r="B719" s="6">
        <f>'2_Discount_Factors'!B720</f>
        <v>1.96438356164384</v>
      </c>
      <c r="C719" s="6">
        <f>EXP(-r_free*(('2_Discount_Factors'!B719+'2_Discount_Factors'!B720)/2))</f>
        <v>0.942810085149013</v>
      </c>
      <c r="D719" s="6">
        <f>'3_Survival_Probs'!D719</f>
        <v>0.968924219569222</v>
      </c>
      <c r="E719" s="6">
        <f>'3_Survival_Probs'!D720</f>
        <v>0.968868170250419</v>
      </c>
      <c r="F719" s="8">
        <f t="shared" si="27"/>
        <v>5.60493188024314e-5</v>
      </c>
      <c r="G719" s="29">
        <f>(1-recovery)*notional*C719*F719</f>
        <v>317.063178195987</v>
      </c>
      <c r="H719" s="8">
        <f t="shared" si="26"/>
        <v>1.14374388481659e-5</v>
      </c>
      <c r="I719" s="30"/>
    </row>
    <row r="720" spans="1:9">
      <c r="A720" s="10">
        <v>718</v>
      </c>
      <c r="B720" s="12">
        <f>'2_Discount_Factors'!B721</f>
        <v>1.96712328767123</v>
      </c>
      <c r="C720" s="12">
        <f>EXP(-r_free*(('2_Discount_Factors'!B720+'2_Discount_Factors'!B721)/2))</f>
        <v>0.942732597093622</v>
      </c>
      <c r="D720" s="12">
        <f>'3_Survival_Probs'!D720</f>
        <v>0.968868170250419</v>
      </c>
      <c r="E720" s="12">
        <f>'3_Survival_Probs'!D721</f>
        <v>0.9688121241739</v>
      </c>
      <c r="F720" s="14">
        <f t="shared" si="27"/>
        <v>5.60460765198778e-5</v>
      </c>
      <c r="G720" s="32">
        <f>(1-recovery)*notional*C720*F720</f>
        <v>317.018779646954</v>
      </c>
      <c r="H720" s="14">
        <f t="shared" si="26"/>
        <v>1.15805946902998e-5</v>
      </c>
      <c r="I720" s="33"/>
    </row>
    <row r="721" spans="1:9">
      <c r="A721" s="4">
        <v>719</v>
      </c>
      <c r="B721" s="6">
        <f>'2_Discount_Factors'!B722</f>
        <v>1.96986301369863</v>
      </c>
      <c r="C721" s="6">
        <f>EXP(-r_free*(('2_Discount_Factors'!B721+'2_Discount_Factors'!B722)/2))</f>
        <v>0.942655115406851</v>
      </c>
      <c r="D721" s="6">
        <f>'3_Survival_Probs'!D721</f>
        <v>0.9688121241739</v>
      </c>
      <c r="E721" s="6">
        <f>'3_Survival_Probs'!D722</f>
        <v>0.968756081339475</v>
      </c>
      <c r="F721" s="8">
        <f t="shared" si="27"/>
        <v>5.60428344248409e-5</v>
      </c>
      <c r="G721" s="29">
        <f>(1-recovery)*notional*C721*F721</f>
        <v>316.974387314853</v>
      </c>
      <c r="H721" s="8">
        <f t="shared" si="26"/>
        <v>1.17237102157549e-5</v>
      </c>
      <c r="I721" s="30"/>
    </row>
    <row r="722" spans="1:9">
      <c r="A722" s="10">
        <v>720</v>
      </c>
      <c r="B722" s="12">
        <f>'2_Discount_Factors'!B723</f>
        <v>1.97260273972603</v>
      </c>
      <c r="C722" s="12">
        <f>EXP(-r_free*(('2_Discount_Factors'!B722+'2_Discount_Factors'!B723)/2))</f>
        <v>0.942577640088175</v>
      </c>
      <c r="D722" s="12">
        <f>'3_Survival_Probs'!D722</f>
        <v>0.968756081339475</v>
      </c>
      <c r="E722" s="12">
        <f>'3_Survival_Probs'!D723</f>
        <v>0.968700041746957</v>
      </c>
      <c r="F722" s="14">
        <f t="shared" si="27"/>
        <v>5.60395925173207e-5</v>
      </c>
      <c r="G722" s="32">
        <f>(1-recovery)*notional*C722*F722</f>
        <v>316.930001198875</v>
      </c>
      <c r="H722" s="14">
        <f t="shared" si="26"/>
        <v>1.18667854330173e-5</v>
      </c>
      <c r="I722" s="33"/>
    </row>
    <row r="723" spans="1:9">
      <c r="A723" s="4">
        <v>721</v>
      </c>
      <c r="B723" s="6">
        <f>'2_Discount_Factors'!B724</f>
        <v>1.97534246575342</v>
      </c>
      <c r="C723" s="6">
        <f>EXP(-r_free*(('2_Discount_Factors'!B723+'2_Discount_Factors'!B724)/2))</f>
        <v>0.942500171137073</v>
      </c>
      <c r="D723" s="6">
        <f>'3_Survival_Probs'!D723</f>
        <v>0.968700041746957</v>
      </c>
      <c r="E723" s="6">
        <f>'3_Survival_Probs'!D724</f>
        <v>0.96864400539616</v>
      </c>
      <c r="F723" s="8">
        <f t="shared" si="27"/>
        <v>5.60363507973172e-5</v>
      </c>
      <c r="G723" s="29">
        <f>(1-recovery)*notional*C723*F723</f>
        <v>316.885621298211</v>
      </c>
      <c r="H723" s="8">
        <f t="shared" si="26"/>
        <v>1.20098203505716e-5</v>
      </c>
      <c r="I723" s="30"/>
    </row>
    <row r="724" spans="1:9">
      <c r="A724" s="10">
        <v>722</v>
      </c>
      <c r="B724" s="12">
        <f>'2_Discount_Factors'!B725</f>
        <v>1.97808219178082</v>
      </c>
      <c r="C724" s="12">
        <f>EXP(-r_free*(('2_Discount_Factors'!B724+'2_Discount_Factors'!B725)/2))</f>
        <v>0.942422708553019</v>
      </c>
      <c r="D724" s="12">
        <f>'3_Survival_Probs'!D724</f>
        <v>0.96864400539616</v>
      </c>
      <c r="E724" s="12">
        <f>'3_Survival_Probs'!D725</f>
        <v>0.968587972286895</v>
      </c>
      <c r="F724" s="14">
        <f t="shared" si="27"/>
        <v>5.60331092649413e-5</v>
      </c>
      <c r="G724" s="32">
        <f>(1-recovery)*notional*C724*F724</f>
        <v>316.84124761268</v>
      </c>
      <c r="H724" s="14">
        <f t="shared" si="26"/>
        <v>1.21528149769248e-5</v>
      </c>
      <c r="I724" s="33"/>
    </row>
    <row r="725" spans="1:9">
      <c r="A725" s="4">
        <v>723</v>
      </c>
      <c r="B725" s="6">
        <f>'2_Discount_Factors'!B726</f>
        <v>1.98082191780822</v>
      </c>
      <c r="C725" s="6">
        <f>EXP(-r_free*(('2_Discount_Factors'!B725+'2_Discount_Factors'!B726)/2))</f>
        <v>0.942345252335492</v>
      </c>
      <c r="D725" s="6">
        <f>'3_Survival_Probs'!D725</f>
        <v>0.968587972286895</v>
      </c>
      <c r="E725" s="6">
        <f>'3_Survival_Probs'!D726</f>
        <v>0.968531942418975</v>
      </c>
      <c r="F725" s="8">
        <f t="shared" si="27"/>
        <v>5.60298679199711e-5</v>
      </c>
      <c r="G725" s="29">
        <f>(1-recovery)*notional*C725*F725</f>
        <v>316.796880140217</v>
      </c>
      <c r="H725" s="8">
        <f t="shared" si="26"/>
        <v>1.22957693205108e-5</v>
      </c>
      <c r="I725" s="30"/>
    </row>
    <row r="726" spans="1:9">
      <c r="A726" s="10">
        <v>724</v>
      </c>
      <c r="B726" s="12">
        <f>'2_Discount_Factors'!B727</f>
        <v>1.98356164383562</v>
      </c>
      <c r="C726" s="12">
        <f>EXP(-r_free*(('2_Discount_Factors'!B726+'2_Discount_Factors'!B727)/2))</f>
        <v>0.942267802483968</v>
      </c>
      <c r="D726" s="12">
        <f>'3_Survival_Probs'!D726</f>
        <v>0.968531942418975</v>
      </c>
      <c r="E726" s="12">
        <f>'3_Survival_Probs'!D727</f>
        <v>0.968475915792213</v>
      </c>
      <c r="F726" s="14">
        <f t="shared" si="27"/>
        <v>5.60266267625176e-5</v>
      </c>
      <c r="G726" s="32">
        <f>(1-recovery)*notional*C726*F726</f>
        <v>316.752518880641</v>
      </c>
      <c r="H726" s="14">
        <f t="shared" si="26"/>
        <v>1.24386833898335e-5</v>
      </c>
      <c r="I726" s="33"/>
    </row>
    <row r="727" spans="1:9">
      <c r="A727" s="4">
        <v>725</v>
      </c>
      <c r="B727" s="6">
        <f>'2_Discount_Factors'!B728</f>
        <v>1.98630136986301</v>
      </c>
      <c r="C727" s="6">
        <f>EXP(-r_free*(('2_Discount_Factors'!B727+'2_Discount_Factors'!B728)/2))</f>
        <v>0.942190358997923</v>
      </c>
      <c r="D727" s="6">
        <f>'3_Survival_Probs'!D727</f>
        <v>0.968475915792213</v>
      </c>
      <c r="E727" s="6">
        <f>'3_Survival_Probs'!D728</f>
        <v>0.96841989240642</v>
      </c>
      <c r="F727" s="8">
        <f t="shared" si="27"/>
        <v>5.60233857925807e-5</v>
      </c>
      <c r="G727" s="29">
        <f>(1-recovery)*notional*C727*F727</f>
        <v>316.708163833145</v>
      </c>
      <c r="H727" s="8">
        <f t="shared" si="26"/>
        <v>1.25815571933716e-5</v>
      </c>
      <c r="I727" s="30"/>
    </row>
    <row r="728" spans="1:9">
      <c r="A728" s="10">
        <v>726</v>
      </c>
      <c r="B728" s="12">
        <f>'2_Discount_Factors'!B729</f>
        <v>1.98904109589041</v>
      </c>
      <c r="C728" s="12">
        <f>EXP(-r_free*(('2_Discount_Factors'!B728+'2_Discount_Factors'!B729)/2))</f>
        <v>0.942112921876835</v>
      </c>
      <c r="D728" s="12">
        <f>'3_Survival_Probs'!D728</f>
        <v>0.96841989240642</v>
      </c>
      <c r="E728" s="12">
        <f>'3_Survival_Probs'!D729</f>
        <v>0.96836387226141</v>
      </c>
      <c r="F728" s="14">
        <f t="shared" si="27"/>
        <v>5.60201450101605e-5</v>
      </c>
      <c r="G728" s="32">
        <f>(1-recovery)*notional*C728*F728</f>
        <v>316.663814996918</v>
      </c>
      <c r="H728" s="14">
        <f t="shared" si="26"/>
        <v>1.27243907396023e-5</v>
      </c>
      <c r="I728" s="33"/>
    </row>
    <row r="729" spans="1:9">
      <c r="A729" s="4">
        <v>727</v>
      </c>
      <c r="B729" s="6">
        <f>'2_Discount_Factors'!B730</f>
        <v>1.99178082191781</v>
      </c>
      <c r="C729" s="6">
        <f>EXP(-r_free*(('2_Discount_Factors'!B729+'2_Discount_Factors'!B730)/2))</f>
        <v>0.94203549112018</v>
      </c>
      <c r="D729" s="6">
        <f>'3_Survival_Probs'!D729</f>
        <v>0.96836387226141</v>
      </c>
      <c r="E729" s="6">
        <f>'3_Survival_Probs'!D730</f>
        <v>0.968307855356995</v>
      </c>
      <c r="F729" s="8">
        <f t="shared" si="27"/>
        <v>5.6016904415146e-5</v>
      </c>
      <c r="G729" s="29">
        <f>(1-recovery)*notional*C729*F729</f>
        <v>316.619472370525</v>
      </c>
      <c r="H729" s="8">
        <f t="shared" si="26"/>
        <v>1.28671840369758e-5</v>
      </c>
      <c r="I729" s="30"/>
    </row>
    <row r="730" spans="1:9">
      <c r="A730" s="10">
        <v>728</v>
      </c>
      <c r="B730" s="12">
        <f>'2_Discount_Factors'!B731</f>
        <v>1.99452054794521</v>
      </c>
      <c r="C730" s="12">
        <f>EXP(-r_free*(('2_Discount_Factors'!B730+'2_Discount_Factors'!B731)/2))</f>
        <v>0.941958066727435</v>
      </c>
      <c r="D730" s="12">
        <f>'3_Survival_Probs'!D730</f>
        <v>0.968307855356995</v>
      </c>
      <c r="E730" s="12">
        <f>'3_Survival_Probs'!D731</f>
        <v>0.968251841692987</v>
      </c>
      <c r="F730" s="14">
        <f t="shared" si="27"/>
        <v>5.60136640076481e-5</v>
      </c>
      <c r="G730" s="32">
        <f>(1-recovery)*notional*C730*F730</f>
        <v>316.575135953786</v>
      </c>
      <c r="H730" s="14">
        <f t="shared" si="26"/>
        <v>1.30099370939913e-5</v>
      </c>
      <c r="I730" s="33"/>
    </row>
    <row r="731" spans="1:9">
      <c r="A731" s="4">
        <v>729</v>
      </c>
      <c r="B731" s="6">
        <f>'2_Discount_Factors'!B732</f>
        <v>1.9972602739726</v>
      </c>
      <c r="C731" s="6">
        <f>EXP(-r_free*(('2_Discount_Factors'!B731+'2_Discount_Factors'!B732)/2))</f>
        <v>0.941880648698078</v>
      </c>
      <c r="D731" s="6">
        <f>'3_Survival_Probs'!D731</f>
        <v>0.968251841692987</v>
      </c>
      <c r="E731" s="6">
        <f>'3_Survival_Probs'!D732</f>
        <v>0.9681958312692</v>
      </c>
      <c r="F731" s="8">
        <f t="shared" si="27"/>
        <v>5.60104237875558e-5</v>
      </c>
      <c r="G731" s="29">
        <f>(1-recovery)*notional*C731*F731</f>
        <v>316.530805745264</v>
      </c>
      <c r="H731" s="8">
        <f t="shared" si="26"/>
        <v>1.31526499190955e-5</v>
      </c>
      <c r="I731" s="30"/>
    </row>
    <row r="732" spans="1:9">
      <c r="A732" s="34">
        <v>730</v>
      </c>
      <c r="B732" s="35">
        <f>'2_Discount_Factors'!B733</f>
        <v>2</v>
      </c>
      <c r="C732" s="35">
        <f>EXP(-r_free*(('2_Discount_Factors'!B732+'2_Discount_Factors'!B733)/2))</f>
        <v>0.941803237031585</v>
      </c>
      <c r="D732" s="35">
        <f>'3_Survival_Probs'!D732</f>
        <v>0.9681958312692</v>
      </c>
      <c r="E732" s="35">
        <f>'3_Survival_Probs'!D733</f>
        <v>0.968139824085445</v>
      </c>
      <c r="F732" s="36">
        <f t="shared" si="27"/>
        <v>5.60071837549803e-5</v>
      </c>
      <c r="G732" s="37">
        <f>(1-recovery)*notional*C732*F732</f>
        <v>316.486481744779</v>
      </c>
      <c r="H732" s="36">
        <f t="shared" si="26"/>
        <v>1.32953225207854e-5</v>
      </c>
      <c r="I732" s="38" t="s">
        <v>71</v>
      </c>
    </row>
    <row r="733" spans="1:9">
      <c r="A733" s="4">
        <v>731</v>
      </c>
      <c r="B733" s="6">
        <f>'2_Discount_Factors'!B734</f>
        <v>2.0027397260274</v>
      </c>
      <c r="C733" s="6">
        <f>EXP(-r_free*(('2_Discount_Factors'!B733+'2_Discount_Factors'!B734)/2))</f>
        <v>0.941725831727433</v>
      </c>
      <c r="D733" s="6">
        <f>'3_Survival_Probs'!D733</f>
        <v>0.968139824085445</v>
      </c>
      <c r="E733" s="6">
        <f>'3_Survival_Probs'!D734</f>
        <v>0.968064994056528</v>
      </c>
      <c r="F733" s="8">
        <f t="shared" si="27"/>
        <v>7.4830028916173e-5</v>
      </c>
      <c r="G733" s="29">
        <f>(1-recovery)*notional*C733*F733</f>
        <v>422.816227315625</v>
      </c>
      <c r="H733" s="8">
        <f t="shared" ref="H733:H796" si="28">C733*(B733-2)*F733</f>
        <v>1.93066770463763e-7</v>
      </c>
      <c r="I733" s="30"/>
    </row>
    <row r="734" spans="1:9">
      <c r="A734" s="10">
        <v>732</v>
      </c>
      <c r="B734" s="12">
        <f>'2_Discount_Factors'!B735</f>
        <v>2.00547945205479</v>
      </c>
      <c r="C734" s="12">
        <f>EXP(-r_free*(('2_Discount_Factors'!B734+'2_Discount_Factors'!B735)/2))</f>
        <v>0.941648432785099</v>
      </c>
      <c r="D734" s="12">
        <f>'3_Survival_Probs'!D734</f>
        <v>0.968064994056528</v>
      </c>
      <c r="E734" s="12">
        <f>'3_Survival_Probs'!D735</f>
        <v>0.967990169811419</v>
      </c>
      <c r="F734" s="14">
        <f t="shared" si="27"/>
        <v>7.48242451098502e-5</v>
      </c>
      <c r="G734" s="32">
        <f>(1-recovery)*notional*C734*F734</f>
        <v>422.748798852111</v>
      </c>
      <c r="H734" s="14">
        <f t="shared" si="28"/>
        <v>3.86071962422033e-7</v>
      </c>
      <c r="I734" s="33"/>
    </row>
    <row r="735" spans="1:9">
      <c r="A735" s="4">
        <v>733</v>
      </c>
      <c r="B735" s="6">
        <f>'2_Discount_Factors'!B736</f>
        <v>2.00821917808219</v>
      </c>
      <c r="C735" s="6">
        <f>EXP(-r_free*(('2_Discount_Factors'!B735+'2_Discount_Factors'!B736)/2))</f>
        <v>0.941571040204061</v>
      </c>
      <c r="D735" s="6">
        <f>'3_Survival_Probs'!D735</f>
        <v>0.967990169811419</v>
      </c>
      <c r="E735" s="6">
        <f>'3_Survival_Probs'!D736</f>
        <v>0.967915351349668</v>
      </c>
      <c r="F735" s="8">
        <f t="shared" si="27"/>
        <v>7.48184617506142e-5</v>
      </c>
      <c r="G735" s="29">
        <f>(1-recovery)*notional*C735*F735</f>
        <v>422.681381141962</v>
      </c>
      <c r="H735" s="8">
        <f t="shared" si="28"/>
        <v>5.79015590605417e-7</v>
      </c>
      <c r="I735" s="30"/>
    </row>
    <row r="736" spans="1:9">
      <c r="A736" s="10">
        <v>734</v>
      </c>
      <c r="B736" s="12">
        <f>'2_Discount_Factors'!B737</f>
        <v>2.01095890410959</v>
      </c>
      <c r="C736" s="12">
        <f>EXP(-r_free*(('2_Discount_Factors'!B736+'2_Discount_Factors'!B737)/2))</f>
        <v>0.941493653983795</v>
      </c>
      <c r="D736" s="12">
        <f>'3_Survival_Probs'!D736</f>
        <v>0.967915351349668</v>
      </c>
      <c r="E736" s="12">
        <f>'3_Survival_Probs'!D737</f>
        <v>0.96784053867083</v>
      </c>
      <c r="F736" s="14">
        <f t="shared" si="27"/>
        <v>7.48126788383541e-5</v>
      </c>
      <c r="G736" s="32">
        <f>(1-recovery)*notional*C736*F736</f>
        <v>422.613974183029</v>
      </c>
      <c r="H736" s="14">
        <f t="shared" si="28"/>
        <v>7.71897669740689e-7</v>
      </c>
      <c r="I736" s="33"/>
    </row>
    <row r="737" spans="1:9">
      <c r="A737" s="4">
        <v>735</v>
      </c>
      <c r="B737" s="6">
        <f>'2_Discount_Factors'!B738</f>
        <v>2.01369863013699</v>
      </c>
      <c r="C737" s="6">
        <f>EXP(-r_free*(('2_Discount_Factors'!B737+'2_Discount_Factors'!B738)/2))</f>
        <v>0.94141627412378</v>
      </c>
      <c r="D737" s="6">
        <f>'3_Survival_Probs'!D737</f>
        <v>0.96784053867083</v>
      </c>
      <c r="E737" s="6">
        <f>'3_Survival_Probs'!D738</f>
        <v>0.967765731774457</v>
      </c>
      <c r="F737" s="8">
        <f t="shared" si="27"/>
        <v>7.48068963730697e-5</v>
      </c>
      <c r="G737" s="29">
        <f>(1-recovery)*notional*C737*F737</f>
        <v>422.546577973794</v>
      </c>
      <c r="H737" s="8">
        <f t="shared" si="28"/>
        <v>9.64718214552044e-7</v>
      </c>
      <c r="I737" s="30"/>
    </row>
    <row r="738" spans="1:9">
      <c r="A738" s="10">
        <v>736</v>
      </c>
      <c r="B738" s="12">
        <f>'2_Discount_Factors'!B739</f>
        <v>2.01643835616438</v>
      </c>
      <c r="C738" s="12">
        <f>EXP(-r_free*(('2_Discount_Factors'!B738+'2_Discount_Factors'!B739)/2))</f>
        <v>0.941338900623491</v>
      </c>
      <c r="D738" s="12">
        <f>'3_Survival_Probs'!D738</f>
        <v>0.967765731774457</v>
      </c>
      <c r="E738" s="12">
        <f>'3_Survival_Probs'!D739</f>
        <v>0.967690930660102</v>
      </c>
      <c r="F738" s="14">
        <f t="shared" si="27"/>
        <v>7.48011143546501e-5</v>
      </c>
      <c r="G738" s="32">
        <f>(1-recovery)*notional*C738*F738</f>
        <v>422.47919251211</v>
      </c>
      <c r="H738" s="14">
        <f t="shared" si="28"/>
        <v>1.15747723975922e-6</v>
      </c>
      <c r="I738" s="33"/>
    </row>
    <row r="739" spans="1:9">
      <c r="A739" s="4">
        <v>737</v>
      </c>
      <c r="B739" s="6">
        <f>'2_Discount_Factors'!B740</f>
        <v>2.01917808219178</v>
      </c>
      <c r="C739" s="6">
        <f>EXP(-r_free*(('2_Discount_Factors'!B739+'2_Discount_Factors'!B740)/2))</f>
        <v>0.941261533482407</v>
      </c>
      <c r="D739" s="6">
        <f>'3_Survival_Probs'!D739</f>
        <v>0.967690930660102</v>
      </c>
      <c r="E739" s="6">
        <f>'3_Survival_Probs'!D740</f>
        <v>0.967616135327319</v>
      </c>
      <c r="F739" s="8">
        <f t="shared" si="27"/>
        <v>7.47953327832063e-5</v>
      </c>
      <c r="G739" s="29">
        <f>(1-recovery)*notional*C739*F739</f>
        <v>422.411817797086</v>
      </c>
      <c r="H739" s="8">
        <f t="shared" si="28"/>
        <v>1.350174760082e-6</v>
      </c>
      <c r="I739" s="30"/>
    </row>
    <row r="740" spans="1:9">
      <c r="A740" s="10">
        <v>738</v>
      </c>
      <c r="B740" s="12">
        <f>'2_Discount_Factors'!B741</f>
        <v>2.02191780821918</v>
      </c>
      <c r="C740" s="12">
        <f>EXP(-r_free*(('2_Discount_Factors'!B740+'2_Discount_Factors'!B741)/2))</f>
        <v>0.941184172700005</v>
      </c>
      <c r="D740" s="12">
        <f>'3_Survival_Probs'!D740</f>
        <v>0.967616135327319</v>
      </c>
      <c r="E740" s="12">
        <f>'3_Survival_Probs'!D741</f>
        <v>0.96754134577566</v>
      </c>
      <c r="F740" s="14">
        <f t="shared" si="27"/>
        <v>7.47895516587382e-5</v>
      </c>
      <c r="G740" s="32">
        <f>(1-recovery)*notional*C740*F740</f>
        <v>422.344453827203</v>
      </c>
      <c r="H740" s="14">
        <f t="shared" si="28"/>
        <v>1.54281079023635e-6</v>
      </c>
      <c r="I740" s="33"/>
    </row>
    <row r="741" spans="1:9">
      <c r="A741" s="4">
        <v>739</v>
      </c>
      <c r="B741" s="6">
        <f>'2_Discount_Factors'!B742</f>
        <v>2.02465753424658</v>
      </c>
      <c r="C741" s="6">
        <f>EXP(-r_free*(('2_Discount_Factors'!B741+'2_Discount_Factors'!B742)/2))</f>
        <v>0.941106818275762</v>
      </c>
      <c r="D741" s="6">
        <f>'3_Survival_Probs'!D741</f>
        <v>0.96754134577566</v>
      </c>
      <c r="E741" s="6">
        <f>'3_Survival_Probs'!D742</f>
        <v>0.967466562004679</v>
      </c>
      <c r="F741" s="8">
        <f t="shared" si="27"/>
        <v>7.4783770981024e-5</v>
      </c>
      <c r="G741" s="29">
        <f>(1-recovery)*notional*C741*F741</f>
        <v>422.277100599688</v>
      </c>
      <c r="H741" s="8">
        <f t="shared" si="28"/>
        <v>1.73538534493023e-6</v>
      </c>
      <c r="I741" s="30"/>
    </row>
    <row r="742" spans="1:9">
      <c r="A742" s="10">
        <v>740</v>
      </c>
      <c r="B742" s="12">
        <f>'2_Discount_Factors'!B743</f>
        <v>2.02739726027397</v>
      </c>
      <c r="C742" s="12">
        <f>EXP(-r_free*(('2_Discount_Factors'!B742+'2_Discount_Factors'!B743)/2))</f>
        <v>0.941029470209155</v>
      </c>
      <c r="D742" s="12">
        <f>'3_Survival_Probs'!D742</f>
        <v>0.967466562004679</v>
      </c>
      <c r="E742" s="12">
        <f>'3_Survival_Probs'!D743</f>
        <v>0.967391784013929</v>
      </c>
      <c r="F742" s="14">
        <f t="shared" si="27"/>
        <v>7.47779907500634e-5</v>
      </c>
      <c r="G742" s="32">
        <f>(1-recovery)*notional*C742*F742</f>
        <v>422.209758113024</v>
      </c>
      <c r="H742" s="14">
        <f t="shared" si="28"/>
        <v>1.92789843887226e-6</v>
      </c>
      <c r="I742" s="33"/>
    </row>
    <row r="743" spans="1:9">
      <c r="A743" s="4">
        <v>741</v>
      </c>
      <c r="B743" s="6">
        <f>'2_Discount_Factors'!B744</f>
        <v>2.03013698630137</v>
      </c>
      <c r="C743" s="6">
        <f>EXP(-r_free*(('2_Discount_Factors'!B743+'2_Discount_Factors'!B744)/2))</f>
        <v>0.940952128499663</v>
      </c>
      <c r="D743" s="6">
        <f>'3_Survival_Probs'!D743</f>
        <v>0.967391784013929</v>
      </c>
      <c r="E743" s="6">
        <f>'3_Survival_Probs'!D744</f>
        <v>0.967317011802963</v>
      </c>
      <c r="F743" s="8">
        <f t="shared" si="27"/>
        <v>7.47722109658566e-5</v>
      </c>
      <c r="G743" s="29">
        <f>(1-recovery)*notional*C743*F743</f>
        <v>422.142426365692</v>
      </c>
      <c r="H743" s="8">
        <f t="shared" si="28"/>
        <v>2.12035008676833e-6</v>
      </c>
      <c r="I743" s="30"/>
    </row>
    <row r="744" spans="1:9">
      <c r="A744" s="10">
        <v>742</v>
      </c>
      <c r="B744" s="12">
        <f>'2_Discount_Factors'!B745</f>
        <v>2.03287671232877</v>
      </c>
      <c r="C744" s="12">
        <f>EXP(-r_free*(('2_Discount_Factors'!B744+'2_Discount_Factors'!B745)/2))</f>
        <v>0.940874793146762</v>
      </c>
      <c r="D744" s="12">
        <f>'3_Survival_Probs'!D744</f>
        <v>0.967317011802963</v>
      </c>
      <c r="E744" s="12">
        <f>'3_Survival_Probs'!D745</f>
        <v>0.967242245371335</v>
      </c>
      <c r="F744" s="14">
        <f t="shared" si="27"/>
        <v>7.47664316285146e-5</v>
      </c>
      <c r="G744" s="32">
        <f>(1-recovery)*notional*C744*F744</f>
        <v>422.075105356801</v>
      </c>
      <c r="H744" s="14">
        <f t="shared" si="28"/>
        <v>2.31274030332493e-6</v>
      </c>
      <c r="I744" s="33"/>
    </row>
    <row r="745" spans="1:9">
      <c r="A745" s="4">
        <v>743</v>
      </c>
      <c r="B745" s="6">
        <f>'2_Discount_Factors'!B746</f>
        <v>2.03561643835616</v>
      </c>
      <c r="C745" s="6">
        <f>EXP(-r_free*(('2_Discount_Factors'!B745+'2_Discount_Factors'!B746)/2))</f>
        <v>0.94079746414993</v>
      </c>
      <c r="D745" s="6">
        <f>'3_Survival_Probs'!D745</f>
        <v>0.967242245371335</v>
      </c>
      <c r="E745" s="6">
        <f>'3_Survival_Probs'!D746</f>
        <v>0.967167484718597</v>
      </c>
      <c r="F745" s="8">
        <f t="shared" si="27"/>
        <v>7.47606527378153e-5</v>
      </c>
      <c r="G745" s="29">
        <f>(1-recovery)*notional*C745*F745</f>
        <v>422.007795083581</v>
      </c>
      <c r="H745" s="8">
        <f t="shared" si="28"/>
        <v>2.50506910323587e-6</v>
      </c>
      <c r="I745" s="30"/>
    </row>
    <row r="746" spans="1:9">
      <c r="A746" s="10">
        <v>744</v>
      </c>
      <c r="B746" s="12">
        <f>'2_Discount_Factors'!B747</f>
        <v>2.03835616438356</v>
      </c>
      <c r="C746" s="12">
        <f>EXP(-r_free*(('2_Discount_Factors'!B746+'2_Discount_Factors'!B747)/2))</f>
        <v>0.940720141508645</v>
      </c>
      <c r="D746" s="12">
        <f>'3_Survival_Probs'!D746</f>
        <v>0.967167484718597</v>
      </c>
      <c r="E746" s="12">
        <f>'3_Survival_Probs'!D747</f>
        <v>0.967092729844303</v>
      </c>
      <c r="F746" s="14">
        <f t="shared" si="27"/>
        <v>7.47548742937587e-5</v>
      </c>
      <c r="G746" s="32">
        <f>(1-recovery)*notional*C746*F746</f>
        <v>421.940495544514</v>
      </c>
      <c r="H746" s="14">
        <f t="shared" si="28"/>
        <v>2.69733650119781e-6</v>
      </c>
      <c r="I746" s="33"/>
    </row>
    <row r="747" spans="1:9">
      <c r="A747" s="4">
        <v>745</v>
      </c>
      <c r="B747" s="6">
        <f>'2_Discount_Factors'!B748</f>
        <v>2.04109589041096</v>
      </c>
      <c r="C747" s="6">
        <f>EXP(-r_free*(('2_Discount_Factors'!B747+'2_Discount_Factors'!B748)/2))</f>
        <v>0.940642825222385</v>
      </c>
      <c r="D747" s="6">
        <f>'3_Survival_Probs'!D747</f>
        <v>0.967092729844303</v>
      </c>
      <c r="E747" s="6">
        <f>'3_Survival_Probs'!D748</f>
        <v>0.967017980748007</v>
      </c>
      <c r="F747" s="8">
        <f t="shared" si="27"/>
        <v>7.47490962963449e-5</v>
      </c>
      <c r="G747" s="29">
        <f>(1-recovery)*notional*C747*F747</f>
        <v>421.873206738084</v>
      </c>
      <c r="H747" s="8">
        <f t="shared" si="28"/>
        <v>2.88954251190469e-6</v>
      </c>
      <c r="I747" s="30"/>
    </row>
    <row r="748" spans="1:9">
      <c r="A748" s="10">
        <v>746</v>
      </c>
      <c r="B748" s="12">
        <f>'2_Discount_Factors'!B749</f>
        <v>2.04383561643836</v>
      </c>
      <c r="C748" s="12">
        <f>EXP(-r_free*(('2_Discount_Factors'!B748+'2_Discount_Factors'!B749)/2))</f>
        <v>0.940565515290626</v>
      </c>
      <c r="D748" s="12">
        <f>'3_Survival_Probs'!D748</f>
        <v>0.967017980748007</v>
      </c>
      <c r="E748" s="12">
        <f>'3_Survival_Probs'!D749</f>
        <v>0.966943237429261</v>
      </c>
      <c r="F748" s="14">
        <f t="shared" si="27"/>
        <v>7.47433187454627e-5</v>
      </c>
      <c r="G748" s="32">
        <f>(1-recovery)*notional*C748*F748</f>
        <v>421.805928662146</v>
      </c>
      <c r="H748" s="14">
        <f t="shared" si="28"/>
        <v>3.08168715004306e-6</v>
      </c>
      <c r="I748" s="33"/>
    </row>
    <row r="749" spans="1:9">
      <c r="A749" s="4">
        <v>747</v>
      </c>
      <c r="B749" s="6">
        <f>'2_Discount_Factors'!B750</f>
        <v>2.04657534246575</v>
      </c>
      <c r="C749" s="6">
        <f>EXP(-r_free*(('2_Discount_Factors'!B749+'2_Discount_Factors'!B750)/2))</f>
        <v>0.940488211712848</v>
      </c>
      <c r="D749" s="6">
        <f>'3_Survival_Probs'!D749</f>
        <v>0.966943237429261</v>
      </c>
      <c r="E749" s="6">
        <f>'3_Survival_Probs'!D750</f>
        <v>0.96686849988762</v>
      </c>
      <c r="F749" s="8">
        <f t="shared" si="27"/>
        <v>7.47375416412233e-5</v>
      </c>
      <c r="G749" s="29">
        <f>(1-recovery)*notional*C749*F749</f>
        <v>421.738661315811</v>
      </c>
      <c r="H749" s="8">
        <f t="shared" si="28"/>
        <v>3.27377043030538e-6</v>
      </c>
      <c r="I749" s="30"/>
    </row>
    <row r="750" spans="1:9">
      <c r="A750" s="10">
        <v>748</v>
      </c>
      <c r="B750" s="12">
        <f>'2_Discount_Factors'!B751</f>
        <v>2.04931506849315</v>
      </c>
      <c r="C750" s="12">
        <f>EXP(-r_free*(('2_Discount_Factors'!B750+'2_Discount_Factors'!B751)/2))</f>
        <v>0.940410914488527</v>
      </c>
      <c r="D750" s="12">
        <f>'3_Survival_Probs'!D750</f>
        <v>0.96686849988762</v>
      </c>
      <c r="E750" s="12">
        <f>'3_Survival_Probs'!D751</f>
        <v>0.966793768122636</v>
      </c>
      <c r="F750" s="14">
        <f t="shared" si="27"/>
        <v>7.47317649835155e-5</v>
      </c>
      <c r="G750" s="32">
        <f>(1-recovery)*notional*C750*F750</f>
        <v>421.671404696937</v>
      </c>
      <c r="H750" s="14">
        <f t="shared" si="28"/>
        <v>3.46579236737209e-6</v>
      </c>
      <c r="I750" s="33"/>
    </row>
    <row r="751" spans="1:9">
      <c r="A751" s="4">
        <v>749</v>
      </c>
      <c r="B751" s="6">
        <f>'2_Discount_Factors'!B752</f>
        <v>2.05205479452055</v>
      </c>
      <c r="C751" s="6">
        <f>EXP(-r_free*(('2_Discount_Factors'!B751+'2_Discount_Factors'!B752)/2))</f>
        <v>0.940333623617141</v>
      </c>
      <c r="D751" s="6">
        <f>'3_Survival_Probs'!D751</f>
        <v>0.966793768122636</v>
      </c>
      <c r="E751" s="6">
        <f>'3_Survival_Probs'!D752</f>
        <v>0.966719042133864</v>
      </c>
      <c r="F751" s="8">
        <f t="shared" si="27"/>
        <v>7.47259887722285e-5</v>
      </c>
      <c r="G751" s="29">
        <f>(1-recovery)*notional*C751*F751</f>
        <v>421.604158803381</v>
      </c>
      <c r="H751" s="8">
        <f t="shared" si="28"/>
        <v>3.65775297591975e-6</v>
      </c>
      <c r="I751" s="30"/>
    </row>
    <row r="752" spans="1:9">
      <c r="A752" s="10">
        <v>750</v>
      </c>
      <c r="B752" s="12">
        <f>'2_Discount_Factors'!B753</f>
        <v>2.05479452054795</v>
      </c>
      <c r="C752" s="12">
        <f>EXP(-r_free*(('2_Discount_Factors'!B752+'2_Discount_Factors'!B753)/2))</f>
        <v>0.940256339098169</v>
      </c>
      <c r="D752" s="12">
        <f>'3_Survival_Probs'!D752</f>
        <v>0.966719042133864</v>
      </c>
      <c r="E752" s="12">
        <f>'3_Survival_Probs'!D753</f>
        <v>0.966644321920857</v>
      </c>
      <c r="F752" s="14">
        <f t="shared" si="27"/>
        <v>7.47202130074731e-5</v>
      </c>
      <c r="G752" s="32">
        <f>(1-recovery)*notional*C752*F752</f>
        <v>421.536923634252</v>
      </c>
      <c r="H752" s="14">
        <f t="shared" si="28"/>
        <v>3.84965227063246e-6</v>
      </c>
      <c r="I752" s="33"/>
    </row>
    <row r="753" spans="1:9">
      <c r="A753" s="4">
        <v>751</v>
      </c>
      <c r="B753" s="6">
        <f>'2_Discount_Factors'!B754</f>
        <v>2.05753424657534</v>
      </c>
      <c r="C753" s="6">
        <f>EXP(-r_free*(('2_Discount_Factors'!B753+'2_Discount_Factors'!B754)/2))</f>
        <v>0.940179060931088</v>
      </c>
      <c r="D753" s="6">
        <f>'3_Survival_Probs'!D753</f>
        <v>0.966644321920857</v>
      </c>
      <c r="E753" s="6">
        <f>'3_Survival_Probs'!D754</f>
        <v>0.966569607483168</v>
      </c>
      <c r="F753" s="8">
        <f t="shared" si="27"/>
        <v>7.47144376891384e-5</v>
      </c>
      <c r="G753" s="29">
        <f>(1-recovery)*notional*C753*F753</f>
        <v>421.469699187411</v>
      </c>
      <c r="H753" s="8">
        <f t="shared" si="28"/>
        <v>4.04149026618064e-6</v>
      </c>
      <c r="I753" s="30"/>
    </row>
    <row r="754" spans="1:9">
      <c r="A754" s="10">
        <v>752</v>
      </c>
      <c r="B754" s="12">
        <f>'2_Discount_Factors'!B755</f>
        <v>2.06027397260274</v>
      </c>
      <c r="C754" s="12">
        <f>EXP(-r_free*(('2_Discount_Factors'!B754+'2_Discount_Factors'!B755)/2))</f>
        <v>0.940101789115376</v>
      </c>
      <c r="D754" s="12">
        <f>'3_Survival_Probs'!D754</f>
        <v>0.966569607483168</v>
      </c>
      <c r="E754" s="12">
        <f>'3_Survival_Probs'!D755</f>
        <v>0.96649489882035</v>
      </c>
      <c r="F754" s="14">
        <f t="shared" si="27"/>
        <v>7.47086628171134e-5</v>
      </c>
      <c r="G754" s="32">
        <f>(1-recovery)*notional*C754*F754</f>
        <v>421.402485460714</v>
      </c>
      <c r="H754" s="14">
        <f t="shared" si="28"/>
        <v>4.23326697723092e-6</v>
      </c>
      <c r="I754" s="33"/>
    </row>
    <row r="755" spans="1:9">
      <c r="A755" s="4">
        <v>753</v>
      </c>
      <c r="B755" s="6">
        <f>'2_Discount_Factors'!B756</f>
        <v>2.06301369863014</v>
      </c>
      <c r="C755" s="6">
        <f>EXP(-r_free*(('2_Discount_Factors'!B755+'2_Discount_Factors'!B756)/2))</f>
        <v>0.940024523650512</v>
      </c>
      <c r="D755" s="6">
        <f>'3_Survival_Probs'!D755</f>
        <v>0.96649489882035</v>
      </c>
      <c r="E755" s="6">
        <f>'3_Survival_Probs'!D756</f>
        <v>0.966420195931959</v>
      </c>
      <c r="F755" s="8">
        <f t="shared" si="27"/>
        <v>7.47028883915091e-5</v>
      </c>
      <c r="G755" s="29">
        <f>(1-recovery)*notional*C755*F755</f>
        <v>421.335282453274</v>
      </c>
      <c r="H755" s="8">
        <f t="shared" si="28"/>
        <v>4.42498241845905e-6</v>
      </c>
      <c r="I755" s="30"/>
    </row>
    <row r="756" spans="1:9">
      <c r="A756" s="10">
        <v>754</v>
      </c>
      <c r="B756" s="12">
        <f>'2_Discount_Factors'!B757</f>
        <v>2.06575342465753</v>
      </c>
      <c r="C756" s="12">
        <f>EXP(-r_free*(('2_Discount_Factors'!B756+'2_Discount_Factors'!B757)/2))</f>
        <v>0.939947264535972</v>
      </c>
      <c r="D756" s="12">
        <f>'3_Survival_Probs'!D756</f>
        <v>0.966420195931959</v>
      </c>
      <c r="E756" s="12">
        <f>'3_Survival_Probs'!D757</f>
        <v>0.966345498817547</v>
      </c>
      <c r="F756" s="14">
        <f t="shared" si="27"/>
        <v>7.46971144122144e-5</v>
      </c>
      <c r="G756" s="32">
        <f>(1-recovery)*notional*C756*F756</f>
        <v>421.268090162949</v>
      </c>
      <c r="H756" s="14">
        <f t="shared" si="28"/>
        <v>4.61663660452548e-6</v>
      </c>
      <c r="I756" s="33"/>
    </row>
    <row r="757" spans="1:9">
      <c r="A757" s="4">
        <v>755</v>
      </c>
      <c r="B757" s="6">
        <f>'2_Discount_Factors'!B758</f>
        <v>2.06849315068493</v>
      </c>
      <c r="C757" s="6">
        <f>EXP(-r_free*(('2_Discount_Factors'!B757+'2_Discount_Factors'!B758)/2))</f>
        <v>0.939870011771236</v>
      </c>
      <c r="D757" s="6">
        <f>'3_Survival_Probs'!D757</f>
        <v>0.966345498817547</v>
      </c>
      <c r="E757" s="6">
        <f>'3_Survival_Probs'!D758</f>
        <v>0.966270807476667</v>
      </c>
      <c r="F757" s="8">
        <f t="shared" si="27"/>
        <v>7.46913408792294e-5</v>
      </c>
      <c r="G757" s="29">
        <f>(1-recovery)*notional*C757*F757</f>
        <v>421.200908588224</v>
      </c>
      <c r="H757" s="8">
        <f t="shared" si="28"/>
        <v>4.80822955009387e-6</v>
      </c>
      <c r="I757" s="30"/>
    </row>
    <row r="758" spans="1:9">
      <c r="A758" s="10">
        <v>756</v>
      </c>
      <c r="B758" s="12">
        <f>'2_Discount_Factors'!B759</f>
        <v>2.07123287671233</v>
      </c>
      <c r="C758" s="12">
        <f>EXP(-r_free*(('2_Discount_Factors'!B758+'2_Discount_Factors'!B759)/2))</f>
        <v>0.939792765355781</v>
      </c>
      <c r="D758" s="12">
        <f>'3_Survival_Probs'!D758</f>
        <v>0.966270807476667</v>
      </c>
      <c r="E758" s="12">
        <f>'3_Survival_Probs'!D759</f>
        <v>0.966196121908875</v>
      </c>
      <c r="F758" s="14">
        <f t="shared" si="27"/>
        <v>7.4685567792443e-5</v>
      </c>
      <c r="G758" s="32">
        <f>(1-recovery)*notional*C758*F758</f>
        <v>421.13373772696</v>
      </c>
      <c r="H758" s="14">
        <f t="shared" si="28"/>
        <v>4.99976126981778e-6</v>
      </c>
      <c r="I758" s="33"/>
    </row>
    <row r="759" spans="1:9">
      <c r="A759" s="4">
        <v>757</v>
      </c>
      <c r="B759" s="6">
        <f>'2_Discount_Factors'!B760</f>
        <v>2.07397260273973</v>
      </c>
      <c r="C759" s="6">
        <f>EXP(-r_free*(('2_Discount_Factors'!B759+'2_Discount_Factors'!B760)/2))</f>
        <v>0.939715525289086</v>
      </c>
      <c r="D759" s="6">
        <f>'3_Survival_Probs'!D759</f>
        <v>0.966196121908875</v>
      </c>
      <c r="E759" s="6">
        <f>'3_Survival_Probs'!D760</f>
        <v>0.966121442113723</v>
      </c>
      <c r="F759" s="8">
        <f t="shared" si="27"/>
        <v>7.46797951519662e-5</v>
      </c>
      <c r="G759" s="29">
        <f>(1-recovery)*notional*C759*F759</f>
        <v>421.066577578267</v>
      </c>
      <c r="H759" s="8">
        <f t="shared" si="28"/>
        <v>5.1912317783622e-6</v>
      </c>
      <c r="I759" s="30"/>
    </row>
    <row r="760" spans="1:9">
      <c r="A760" s="10">
        <v>758</v>
      </c>
      <c r="B760" s="12">
        <f>'2_Discount_Factors'!B761</f>
        <v>2.07671232876712</v>
      </c>
      <c r="C760" s="12">
        <f>EXP(-r_free*(('2_Discount_Factors'!B760+'2_Discount_Factors'!B761)/2))</f>
        <v>0.939638291570628</v>
      </c>
      <c r="D760" s="12">
        <f>'3_Survival_Probs'!D760</f>
        <v>0.966121442113723</v>
      </c>
      <c r="E760" s="12">
        <f>'3_Survival_Probs'!D761</f>
        <v>0.966046768090766</v>
      </c>
      <c r="F760" s="14">
        <f t="shared" si="27"/>
        <v>7.46740229575771e-5</v>
      </c>
      <c r="G760" s="32">
        <f>(1-recovery)*notional*C760*F760</f>
        <v>420.999428139382</v>
      </c>
      <c r="H760" s="14">
        <f t="shared" si="28"/>
        <v>5.38264109036653e-6</v>
      </c>
      <c r="I760" s="33"/>
    </row>
    <row r="761" spans="1:9">
      <c r="A761" s="4">
        <v>759</v>
      </c>
      <c r="B761" s="6">
        <f>'2_Discount_Factors'!B762</f>
        <v>2.07945205479452</v>
      </c>
      <c r="C761" s="6">
        <f>EXP(-r_free*(('2_Discount_Factors'!B761+'2_Discount_Factors'!B762)/2))</f>
        <v>0.939561064199886</v>
      </c>
      <c r="D761" s="6">
        <f>'3_Survival_Probs'!D761</f>
        <v>0.966046768090766</v>
      </c>
      <c r="E761" s="6">
        <f>'3_Survival_Probs'!D762</f>
        <v>0.965972099839556</v>
      </c>
      <c r="F761" s="8">
        <f t="shared" si="27"/>
        <v>7.46682512093866e-5</v>
      </c>
      <c r="G761" s="29">
        <f>(1-recovery)*notional*C761*F761</f>
        <v>420.932289409414</v>
      </c>
      <c r="H761" s="8">
        <f t="shared" si="28"/>
        <v>5.57398922048995e-6</v>
      </c>
      <c r="I761" s="30"/>
    </row>
    <row r="762" spans="1:9">
      <c r="A762" s="10">
        <v>760</v>
      </c>
      <c r="B762" s="12">
        <f>'2_Discount_Factors'!B763</f>
        <v>2.08219178082192</v>
      </c>
      <c r="C762" s="12">
        <f>EXP(-r_free*(('2_Discount_Factors'!B762+'2_Discount_Factors'!B763)/2))</f>
        <v>0.939483843176339</v>
      </c>
      <c r="D762" s="12">
        <f>'3_Survival_Probs'!D762</f>
        <v>0.965972099839556</v>
      </c>
      <c r="E762" s="12">
        <f>'3_Survival_Probs'!D763</f>
        <v>0.965897437359649</v>
      </c>
      <c r="F762" s="14">
        <f t="shared" si="27"/>
        <v>7.46624799072837e-5</v>
      </c>
      <c r="G762" s="32">
        <f>(1-recovery)*notional*C762*F762</f>
        <v>420.865161386227</v>
      </c>
      <c r="H762" s="14">
        <f t="shared" si="28"/>
        <v>5.76527618337296e-6</v>
      </c>
      <c r="I762" s="33"/>
    </row>
    <row r="763" spans="1:9">
      <c r="A763" s="4">
        <v>761</v>
      </c>
      <c r="B763" s="6">
        <f>'2_Discount_Factors'!B764</f>
        <v>2.08493150684931</v>
      </c>
      <c r="C763" s="6">
        <f>EXP(-r_free*(('2_Discount_Factors'!B763+'2_Discount_Factors'!B764)/2))</f>
        <v>0.939406628499464</v>
      </c>
      <c r="D763" s="6">
        <f>'3_Survival_Probs'!D763</f>
        <v>0.965897437359649</v>
      </c>
      <c r="E763" s="6">
        <f>'3_Survival_Probs'!D764</f>
        <v>0.965822780650598</v>
      </c>
      <c r="F763" s="8">
        <f t="shared" si="27"/>
        <v>7.46567090512684e-5</v>
      </c>
      <c r="G763" s="29">
        <f>(1-recovery)*notional*C763*F763</f>
        <v>420.798044068305</v>
      </c>
      <c r="H763" s="8">
        <f t="shared" si="28"/>
        <v>5.95650199366094e-6</v>
      </c>
      <c r="I763" s="30"/>
    </row>
    <row r="764" spans="1:9">
      <c r="A764" s="10">
        <v>762</v>
      </c>
      <c r="B764" s="12">
        <f>'2_Discount_Factors'!B765</f>
        <v>2.08767123287671</v>
      </c>
      <c r="C764" s="12">
        <f>EXP(-r_free*(('2_Discount_Factors'!B764+'2_Discount_Factors'!B765)/2))</f>
        <v>0.939329420168741</v>
      </c>
      <c r="D764" s="12">
        <f>'3_Survival_Probs'!D764</f>
        <v>0.965822780650598</v>
      </c>
      <c r="E764" s="12">
        <f>'3_Survival_Probs'!D765</f>
        <v>0.965748129711956</v>
      </c>
      <c r="F764" s="14">
        <f t="shared" si="27"/>
        <v>7.46509386412297e-5</v>
      </c>
      <c r="G764" s="32">
        <f>(1-recovery)*notional*C764*F764</f>
        <v>420.730937453511</v>
      </c>
      <c r="H764" s="14">
        <f t="shared" si="28"/>
        <v>6.14766666598739e-6</v>
      </c>
      <c r="I764" s="33"/>
    </row>
    <row r="765" spans="1:9">
      <c r="A765" s="4">
        <v>763</v>
      </c>
      <c r="B765" s="6">
        <f>'2_Discount_Factors'!B766</f>
        <v>2.09041095890411</v>
      </c>
      <c r="C765" s="6">
        <f>EXP(-r_free*(('2_Discount_Factors'!B765+'2_Discount_Factors'!B766)/2))</f>
        <v>0.939252218183646</v>
      </c>
      <c r="D765" s="6">
        <f>'3_Survival_Probs'!D765</f>
        <v>0.965748129711956</v>
      </c>
      <c r="E765" s="6">
        <f>'3_Survival_Probs'!D766</f>
        <v>0.965673484543279</v>
      </c>
      <c r="F765" s="8">
        <f t="shared" si="27"/>
        <v>7.46451686772787e-5</v>
      </c>
      <c r="G765" s="29">
        <f>(1-recovery)*notional*C765*F765</f>
        <v>420.663841540959</v>
      </c>
      <c r="H765" s="8">
        <f t="shared" si="28"/>
        <v>6.33877021500076e-6</v>
      </c>
      <c r="I765" s="30"/>
    </row>
    <row r="766" spans="1:9">
      <c r="A766" s="10">
        <v>764</v>
      </c>
      <c r="B766" s="12">
        <f>'2_Discount_Factors'!B767</f>
        <v>2.09315068493151</v>
      </c>
      <c r="C766" s="12">
        <f>EXP(-r_free*(('2_Discount_Factors'!B766+'2_Discount_Factors'!B767)/2))</f>
        <v>0.93917502254366</v>
      </c>
      <c r="D766" s="12">
        <f>'3_Survival_Probs'!D766</f>
        <v>0.965673484543279</v>
      </c>
      <c r="E766" s="12">
        <f>'3_Survival_Probs'!D767</f>
        <v>0.96559884514412</v>
      </c>
      <c r="F766" s="14">
        <f t="shared" si="27"/>
        <v>7.46393991593042e-5</v>
      </c>
      <c r="G766" s="32">
        <f>(1-recovery)*notional*C766*F766</f>
        <v>420.596756328508</v>
      </c>
      <c r="H766" s="14">
        <f t="shared" si="28"/>
        <v>6.52981265532843e-6</v>
      </c>
      <c r="I766" s="33"/>
    </row>
    <row r="767" spans="1:9">
      <c r="A767" s="4">
        <v>765</v>
      </c>
      <c r="B767" s="6">
        <f>'2_Discount_Factors'!B768</f>
        <v>2.0958904109589</v>
      </c>
      <c r="C767" s="6">
        <f>EXP(-r_free*(('2_Discount_Factors'!B767+'2_Discount_Factors'!B768)/2))</f>
        <v>0.93909783324826</v>
      </c>
      <c r="D767" s="6">
        <f>'3_Survival_Probs'!D767</f>
        <v>0.96559884514412</v>
      </c>
      <c r="E767" s="6">
        <f>'3_Survival_Probs'!D768</f>
        <v>0.965524211514032</v>
      </c>
      <c r="F767" s="8">
        <f t="shared" si="27"/>
        <v>7.46336300873063e-5</v>
      </c>
      <c r="G767" s="29">
        <f>(1-recovery)*notional*C767*F767</f>
        <v>420.529681814649</v>
      </c>
      <c r="H767" s="8">
        <f t="shared" si="28"/>
        <v>6.72079400160397e-6</v>
      </c>
      <c r="I767" s="30"/>
    </row>
    <row r="768" spans="1:9">
      <c r="A768" s="10">
        <v>766</v>
      </c>
      <c r="B768" s="12">
        <f>'2_Discount_Factors'!B769</f>
        <v>2.0986301369863</v>
      </c>
      <c r="C768" s="12">
        <f>EXP(-r_free*(('2_Discount_Factors'!B768+'2_Discount_Factors'!B769)/2))</f>
        <v>0.939020650296925</v>
      </c>
      <c r="D768" s="12">
        <f>'3_Survival_Probs'!D768</f>
        <v>0.965524211514032</v>
      </c>
      <c r="E768" s="12">
        <f>'3_Survival_Probs'!D769</f>
        <v>0.965449583652571</v>
      </c>
      <c r="F768" s="14">
        <f t="shared" si="27"/>
        <v>7.46278614610629e-5</v>
      </c>
      <c r="G768" s="32">
        <f>(1-recovery)*notional*C768*F768</f>
        <v>420.462617996617</v>
      </c>
      <c r="H768" s="14">
        <f t="shared" si="28"/>
        <v>6.91171426843754e-6</v>
      </c>
      <c r="I768" s="33"/>
    </row>
    <row r="769" spans="1:9">
      <c r="A769" s="4">
        <v>767</v>
      </c>
      <c r="B769" s="6">
        <f>'2_Discount_Factors'!B770</f>
        <v>2.1013698630137</v>
      </c>
      <c r="C769" s="6">
        <f>EXP(-r_free*(('2_Discount_Factors'!B769+'2_Discount_Factors'!B770)/2))</f>
        <v>0.938943473689133</v>
      </c>
      <c r="D769" s="6">
        <f>'3_Survival_Probs'!D769</f>
        <v>0.965449583652571</v>
      </c>
      <c r="E769" s="6">
        <f>'3_Survival_Probs'!D770</f>
        <v>0.965374961559291</v>
      </c>
      <c r="F769" s="8">
        <f t="shared" si="27"/>
        <v>7.46220932807962e-5</v>
      </c>
      <c r="G769" s="29">
        <f>(1-recovery)*notional*C769*F769</f>
        <v>420.395564874152</v>
      </c>
      <c r="H769" s="8">
        <f t="shared" si="28"/>
        <v>7.10257347047655e-6</v>
      </c>
      <c r="I769" s="30"/>
    </row>
    <row r="770" spans="1:9">
      <c r="A770" s="10">
        <v>768</v>
      </c>
      <c r="B770" s="12">
        <f>'2_Discount_Factors'!B771</f>
        <v>2.1041095890411</v>
      </c>
      <c r="C770" s="12">
        <f>EXP(-r_free*(('2_Discount_Factors'!B770+'2_Discount_Factors'!B771)/2))</f>
        <v>0.938866303424364</v>
      </c>
      <c r="D770" s="12">
        <f>'3_Survival_Probs'!D770</f>
        <v>0.965374961559291</v>
      </c>
      <c r="E770" s="12">
        <f>'3_Survival_Probs'!D771</f>
        <v>0.965300345233744</v>
      </c>
      <c r="F770" s="14">
        <f t="shared" si="27"/>
        <v>7.4616325546395e-5</v>
      </c>
      <c r="G770" s="32">
        <f>(1-recovery)*notional*C770*F770</f>
        <v>420.328522445117</v>
      </c>
      <c r="H770" s="14">
        <f t="shared" si="28"/>
        <v>7.29337162233534e-6</v>
      </c>
      <c r="I770" s="33"/>
    </row>
    <row r="771" spans="1:9">
      <c r="A771" s="4">
        <v>769</v>
      </c>
      <c r="B771" s="6">
        <f>'2_Discount_Factors'!B772</f>
        <v>2.10684931506849</v>
      </c>
      <c r="C771" s="6">
        <f>EXP(-r_free*(('2_Discount_Factors'!B771+'2_Discount_Factors'!B772)/2))</f>
        <v>0.938789139502095</v>
      </c>
      <c r="D771" s="6">
        <f>'3_Survival_Probs'!D771</f>
        <v>0.965300345233744</v>
      </c>
      <c r="E771" s="6">
        <f>'3_Survival_Probs'!D772</f>
        <v>0.965225734675486</v>
      </c>
      <c r="F771" s="8">
        <f t="shared" ref="F771:F834" si="29">D771-E771</f>
        <v>7.46105582577483e-5</v>
      </c>
      <c r="G771" s="29">
        <f>(1-recovery)*notional*C771*F771</f>
        <v>420.261490707375</v>
      </c>
      <c r="H771" s="8">
        <f t="shared" si="28"/>
        <v>7.48410873862448e-6</v>
      </c>
      <c r="I771" s="30"/>
    </row>
    <row r="772" spans="1:9">
      <c r="A772" s="10">
        <v>770</v>
      </c>
      <c r="B772" s="12">
        <f>'2_Discount_Factors'!B773</f>
        <v>2.10958904109589</v>
      </c>
      <c r="C772" s="12">
        <f>EXP(-r_free*(('2_Discount_Factors'!B772+'2_Discount_Factors'!B773)/2))</f>
        <v>0.938711981921806</v>
      </c>
      <c r="D772" s="12">
        <f>'3_Survival_Probs'!D772</f>
        <v>0.965225734675486</v>
      </c>
      <c r="E772" s="12">
        <f>'3_Survival_Probs'!D773</f>
        <v>0.965151129884071</v>
      </c>
      <c r="F772" s="14">
        <f t="shared" si="29"/>
        <v>7.46047914149672e-5</v>
      </c>
      <c r="G772" s="32">
        <f>(1-recovery)*notional*C772*F772</f>
        <v>420.194469660041</v>
      </c>
      <c r="H772" s="14">
        <f t="shared" si="28"/>
        <v>7.67478483397335e-6</v>
      </c>
      <c r="I772" s="33"/>
    </row>
    <row r="773" spans="1:9">
      <c r="A773" s="4">
        <v>771</v>
      </c>
      <c r="B773" s="6">
        <f>'2_Discount_Factors'!B774</f>
        <v>2.11232876712329</v>
      </c>
      <c r="C773" s="6">
        <f>EXP(-r_free*(('2_Discount_Factors'!B773+'2_Discount_Factors'!B774)/2))</f>
        <v>0.938634830682975</v>
      </c>
      <c r="D773" s="6">
        <f>'3_Survival_Probs'!D773</f>
        <v>0.965151129884071</v>
      </c>
      <c r="E773" s="6">
        <f>'3_Survival_Probs'!D774</f>
        <v>0.965076530859054</v>
      </c>
      <c r="F773" s="8">
        <f t="shared" si="29"/>
        <v>7.45990250178297e-5</v>
      </c>
      <c r="G773" s="29">
        <f>(1-recovery)*notional*C773*F773</f>
        <v>420.127459300354</v>
      </c>
      <c r="H773" s="8">
        <f t="shared" si="28"/>
        <v>7.86539992297466e-6</v>
      </c>
      <c r="I773" s="30"/>
    </row>
    <row r="774" spans="1:9">
      <c r="A774" s="10">
        <v>772</v>
      </c>
      <c r="B774" s="12">
        <f>'2_Discount_Factors'!B775</f>
        <v>2.11506849315069</v>
      </c>
      <c r="C774" s="12">
        <f>EXP(-r_free*(('2_Discount_Factors'!B774+'2_Discount_Factors'!B775)/2))</f>
        <v>0.938557685785082</v>
      </c>
      <c r="D774" s="12">
        <f>'3_Survival_Probs'!D774</f>
        <v>0.965076530859054</v>
      </c>
      <c r="E774" s="12">
        <f>'3_Survival_Probs'!D775</f>
        <v>0.965001937599987</v>
      </c>
      <c r="F774" s="14">
        <f t="shared" si="29"/>
        <v>7.45932590663356e-5</v>
      </c>
      <c r="G774" s="32">
        <f>(1-recovery)*notional*C774*F774</f>
        <v>420.060459626802</v>
      </c>
      <c r="H774" s="14">
        <f t="shared" si="28"/>
        <v>8.05595402024006e-6</v>
      </c>
      <c r="I774" s="33"/>
    </row>
    <row r="775" spans="1:9">
      <c r="A775" s="4">
        <v>773</v>
      </c>
      <c r="B775" s="6">
        <f>'2_Discount_Factors'!B776</f>
        <v>2.11780821917808</v>
      </c>
      <c r="C775" s="6">
        <f>EXP(-r_free*(('2_Discount_Factors'!B775+'2_Discount_Factors'!B776)/2))</f>
        <v>0.938480547227604</v>
      </c>
      <c r="D775" s="6">
        <f>'3_Survival_Probs'!D775</f>
        <v>0.965001937599987</v>
      </c>
      <c r="E775" s="6">
        <f>'3_Survival_Probs'!D776</f>
        <v>0.964927350106427</v>
      </c>
      <c r="F775" s="8">
        <f t="shared" si="29"/>
        <v>7.45874935605961e-5</v>
      </c>
      <c r="G775" s="29">
        <f>(1-recovery)*notional*C775*F775</f>
        <v>419.993470638502</v>
      </c>
      <c r="H775" s="8">
        <f t="shared" si="28"/>
        <v>8.24644714039067e-6</v>
      </c>
      <c r="I775" s="30"/>
    </row>
    <row r="776" spans="1:9">
      <c r="A776" s="10">
        <v>774</v>
      </c>
      <c r="B776" s="12">
        <f>'2_Discount_Factors'!B777</f>
        <v>2.12054794520548</v>
      </c>
      <c r="C776" s="12">
        <f>EXP(-r_free*(('2_Discount_Factors'!B776+'2_Discount_Factors'!B777)/2))</f>
        <v>0.938403415010021</v>
      </c>
      <c r="D776" s="12">
        <f>'3_Survival_Probs'!D776</f>
        <v>0.964927350106427</v>
      </c>
      <c r="E776" s="12">
        <f>'3_Survival_Probs'!D777</f>
        <v>0.964852768377926</v>
      </c>
      <c r="F776" s="14">
        <f t="shared" si="29"/>
        <v>7.45817285005002e-5</v>
      </c>
      <c r="G776" s="32">
        <f>(1-recovery)*notional*C776*F776</f>
        <v>419.926492333318</v>
      </c>
      <c r="H776" s="14">
        <f t="shared" si="28"/>
        <v>8.43687929802099e-6</v>
      </c>
      <c r="I776" s="33"/>
    </row>
    <row r="777" spans="1:9">
      <c r="A777" s="4">
        <v>775</v>
      </c>
      <c r="B777" s="6">
        <f>'2_Discount_Factors'!B778</f>
        <v>2.12328767123288</v>
      </c>
      <c r="C777" s="6">
        <f>EXP(-r_free*(('2_Discount_Factors'!B777+'2_Discount_Factors'!B778)/2))</f>
        <v>0.938326289131812</v>
      </c>
      <c r="D777" s="6">
        <f>'3_Survival_Probs'!D777</f>
        <v>0.964852768377926</v>
      </c>
      <c r="E777" s="6">
        <f>'3_Survival_Probs'!D778</f>
        <v>0.96477819241404</v>
      </c>
      <c r="F777" s="8">
        <f t="shared" si="29"/>
        <v>7.45759638859367e-5</v>
      </c>
      <c r="G777" s="29">
        <f>(1-recovery)*notional*C777*F777</f>
        <v>419.859524709114</v>
      </c>
      <c r="H777" s="8">
        <f t="shared" si="28"/>
        <v>8.62725050772153e-6</v>
      </c>
      <c r="I777" s="30"/>
    </row>
    <row r="778" spans="1:9">
      <c r="A778" s="10">
        <v>776</v>
      </c>
      <c r="B778" s="12">
        <f>'2_Discount_Factors'!B779</f>
        <v>2.12602739726027</v>
      </c>
      <c r="C778" s="12">
        <f>EXP(-r_free*(('2_Discount_Factors'!B778+'2_Discount_Factors'!B779)/2))</f>
        <v>0.938249169592456</v>
      </c>
      <c r="D778" s="12">
        <f>'3_Survival_Probs'!D778</f>
        <v>0.96477819241404</v>
      </c>
      <c r="E778" s="12">
        <f>'3_Survival_Probs'!D779</f>
        <v>0.964703622214323</v>
      </c>
      <c r="F778" s="14">
        <f t="shared" si="29"/>
        <v>7.45701997170167e-5</v>
      </c>
      <c r="G778" s="32">
        <f>(1-recovery)*notional*C778*F778</f>
        <v>419.792567765007</v>
      </c>
      <c r="H778" s="14">
        <f t="shared" si="28"/>
        <v>8.81756078410519e-6</v>
      </c>
      <c r="I778" s="33"/>
    </row>
    <row r="779" spans="1:9">
      <c r="A779" s="4">
        <v>777</v>
      </c>
      <c r="B779" s="6">
        <f>'2_Discount_Factors'!B780</f>
        <v>2.12876712328767</v>
      </c>
      <c r="C779" s="6">
        <f>EXP(-r_free*(('2_Discount_Factors'!B779+'2_Discount_Factors'!B780)/2))</f>
        <v>0.938172056391432</v>
      </c>
      <c r="D779" s="6">
        <f>'3_Survival_Probs'!D779</f>
        <v>0.964703622214323</v>
      </c>
      <c r="E779" s="6">
        <f>'3_Survival_Probs'!D780</f>
        <v>0.96462905777833</v>
      </c>
      <c r="F779" s="8">
        <f t="shared" si="29"/>
        <v>7.45644359935183e-5</v>
      </c>
      <c r="G779" s="29">
        <f>(1-recovery)*notional*C779*F779</f>
        <v>419.725621498238</v>
      </c>
      <c r="H779" s="8">
        <f t="shared" si="28"/>
        <v>9.00781014174299e-6</v>
      </c>
      <c r="I779" s="30"/>
    </row>
    <row r="780" spans="1:9">
      <c r="A780" s="10">
        <v>778</v>
      </c>
      <c r="B780" s="12">
        <f>'2_Discount_Factors'!B781</f>
        <v>2.13150684931507</v>
      </c>
      <c r="C780" s="12">
        <f>EXP(-r_free*(('2_Discount_Factors'!B780+'2_Discount_Factors'!B781)/2))</f>
        <v>0.938094949528218</v>
      </c>
      <c r="D780" s="12">
        <f>'3_Survival_Probs'!D780</f>
        <v>0.96462905777833</v>
      </c>
      <c r="E780" s="12">
        <f>'3_Survival_Probs'!D781</f>
        <v>0.964554499105614</v>
      </c>
      <c r="F780" s="14">
        <f t="shared" si="29"/>
        <v>7.45586727155523e-5</v>
      </c>
      <c r="G780" s="32">
        <f>(1-recovery)*notional*C780*F780</f>
        <v>419.658685907922</v>
      </c>
      <c r="H780" s="14">
        <f t="shared" si="28"/>
        <v>9.19799859524211e-6</v>
      </c>
      <c r="I780" s="33"/>
    </row>
    <row r="781" spans="1:9">
      <c r="A781" s="4">
        <v>779</v>
      </c>
      <c r="B781" s="6">
        <f>'2_Discount_Factors'!B782</f>
        <v>2.13424657534247</v>
      </c>
      <c r="C781" s="6">
        <f>EXP(-r_free*(('2_Discount_Factors'!B781+'2_Discount_Factors'!B782)/2))</f>
        <v>0.938017849002295</v>
      </c>
      <c r="D781" s="6">
        <f>'3_Survival_Probs'!D781</f>
        <v>0.964554499105614</v>
      </c>
      <c r="E781" s="6">
        <f>'3_Survival_Probs'!D782</f>
        <v>0.964479946195731</v>
      </c>
      <c r="F781" s="8">
        <f t="shared" si="29"/>
        <v>7.45529098831188e-5</v>
      </c>
      <c r="G781" s="29">
        <f>(1-recovery)*notional*C781*F781</f>
        <v>419.59176099255</v>
      </c>
      <c r="H781" s="8">
        <f t="shared" si="28"/>
        <v>9.38812615919404e-6</v>
      </c>
      <c r="I781" s="30"/>
    </row>
    <row r="782" spans="1:9">
      <c r="A782" s="10">
        <v>780</v>
      </c>
      <c r="B782" s="12">
        <f>'2_Discount_Factors'!B783</f>
        <v>2.13698630136986</v>
      </c>
      <c r="C782" s="12">
        <f>EXP(-r_free*(('2_Discount_Factors'!B782+'2_Discount_Factors'!B783)/2))</f>
        <v>0.93794075481314</v>
      </c>
      <c r="D782" s="12">
        <f>'3_Survival_Probs'!D782</f>
        <v>0.964479946195731</v>
      </c>
      <c r="E782" s="12">
        <f>'3_Survival_Probs'!D783</f>
        <v>0.964405399048235</v>
      </c>
      <c r="F782" s="14">
        <f t="shared" si="29"/>
        <v>7.45471474959958e-5</v>
      </c>
      <c r="G782" s="32">
        <f>(1-recovery)*notional*C782*F782</f>
        <v>419.524846749365</v>
      </c>
      <c r="H782" s="14">
        <f t="shared" si="28"/>
        <v>9.57819284815902e-6</v>
      </c>
      <c r="I782" s="33"/>
    </row>
    <row r="783" spans="1:9">
      <c r="A783" s="4">
        <v>781</v>
      </c>
      <c r="B783" s="6">
        <f>'2_Discount_Factors'!B784</f>
        <v>2.13972602739726</v>
      </c>
      <c r="C783" s="6">
        <f>EXP(-r_free*(('2_Discount_Factors'!B783+'2_Discount_Factors'!B784)/2))</f>
        <v>0.937863666960234</v>
      </c>
      <c r="D783" s="6">
        <f>'3_Survival_Probs'!D783</f>
        <v>0.964405399048235</v>
      </c>
      <c r="E783" s="6">
        <f>'3_Survival_Probs'!D784</f>
        <v>0.964330857662681</v>
      </c>
      <c r="F783" s="8">
        <f t="shared" si="29"/>
        <v>7.45413855542942e-5</v>
      </c>
      <c r="G783" s="29">
        <f>(1-recovery)*notional*C783*F783</f>
        <v>419.457943177482</v>
      </c>
      <c r="H783" s="8">
        <f t="shared" si="28"/>
        <v>9.7681986767359e-6</v>
      </c>
      <c r="I783" s="30"/>
    </row>
    <row r="784" spans="1:9">
      <c r="A784" s="10">
        <v>782</v>
      </c>
      <c r="B784" s="12">
        <f>'2_Discount_Factors'!B785</f>
        <v>2.14246575342466</v>
      </c>
      <c r="C784" s="12">
        <f>EXP(-r_free*(('2_Discount_Factors'!B784+'2_Discount_Factors'!B785)/2))</f>
        <v>0.937786585443055</v>
      </c>
      <c r="D784" s="12">
        <f>'3_Survival_Probs'!D784</f>
        <v>0.964330857662681</v>
      </c>
      <c r="E784" s="12">
        <f>'3_Survival_Probs'!D785</f>
        <v>0.964256322038623</v>
      </c>
      <c r="F784" s="14">
        <f t="shared" si="29"/>
        <v>7.45356240580142e-5</v>
      </c>
      <c r="G784" s="32">
        <f>(1-recovery)*notional*C784*F784</f>
        <v>419.391050275394</v>
      </c>
      <c r="H784" s="14">
        <f t="shared" si="28"/>
        <v>9.95814365950707e-6</v>
      </c>
      <c r="I784" s="33"/>
    </row>
    <row r="785" spans="1:9">
      <c r="A785" s="4">
        <v>783</v>
      </c>
      <c r="B785" s="6">
        <f>'2_Discount_Factors'!B786</f>
        <v>2.14520547945205</v>
      </c>
      <c r="C785" s="6">
        <f>EXP(-r_free*(('2_Discount_Factors'!B785+'2_Discount_Factors'!B786)/2))</f>
        <v>0.937709510261083</v>
      </c>
      <c r="D785" s="6">
        <f>'3_Survival_Probs'!D785</f>
        <v>0.964256322038623</v>
      </c>
      <c r="E785" s="6">
        <f>'3_Survival_Probs'!D786</f>
        <v>0.964181792175616</v>
      </c>
      <c r="F785" s="8">
        <f t="shared" si="29"/>
        <v>7.45298630070446e-5</v>
      </c>
      <c r="G785" s="29">
        <f>(1-recovery)*notional*C785*F785</f>
        <v>419.324168040968</v>
      </c>
      <c r="H785" s="8">
        <f t="shared" si="28"/>
        <v>1.01480278110371e-5</v>
      </c>
      <c r="I785" s="30"/>
    </row>
    <row r="786" spans="1:9">
      <c r="A786" s="10">
        <v>784</v>
      </c>
      <c r="B786" s="12">
        <f>'2_Discount_Factors'!B787</f>
        <v>2.14794520547945</v>
      </c>
      <c r="C786" s="12">
        <f>EXP(-r_free*(('2_Discount_Factors'!B786+'2_Discount_Factors'!B787)/2))</f>
        <v>0.937632441413798</v>
      </c>
      <c r="D786" s="12">
        <f>'3_Survival_Probs'!D786</f>
        <v>0.964181792175616</v>
      </c>
      <c r="E786" s="12">
        <f>'3_Survival_Probs'!D787</f>
        <v>0.964107268073214</v>
      </c>
      <c r="F786" s="14">
        <f t="shared" si="29"/>
        <v>7.45241024012744e-5</v>
      </c>
      <c r="G786" s="32">
        <f>(1-recovery)*notional*C786*F786</f>
        <v>419.257296472073</v>
      </c>
      <c r="H786" s="14">
        <f t="shared" si="28"/>
        <v>1.03378511458867e-5</v>
      </c>
      <c r="I786" s="33"/>
    </row>
    <row r="787" spans="1:9">
      <c r="A787" s="4">
        <v>785</v>
      </c>
      <c r="B787" s="6">
        <f>'2_Discount_Factors'!B788</f>
        <v>2.15068493150685</v>
      </c>
      <c r="C787" s="6">
        <f>EXP(-r_free*(('2_Discount_Factors'!B787+'2_Discount_Factors'!B788)/2))</f>
        <v>0.937555378900677</v>
      </c>
      <c r="D787" s="6">
        <f>'3_Survival_Probs'!D787</f>
        <v>0.964107268073214</v>
      </c>
      <c r="E787" s="6">
        <f>'3_Survival_Probs'!D788</f>
        <v>0.964032749730974</v>
      </c>
      <c r="F787" s="8">
        <f t="shared" si="29"/>
        <v>7.45183422408147e-5</v>
      </c>
      <c r="G787" s="29">
        <f>(1-recovery)*notional*C787*F787</f>
        <v>419.190435567824</v>
      </c>
      <c r="H787" s="8">
        <f t="shared" si="28"/>
        <v>1.0527613678644e-5</v>
      </c>
      <c r="I787" s="30"/>
    </row>
    <row r="788" spans="1:9">
      <c r="A788" s="10">
        <v>786</v>
      </c>
      <c r="B788" s="12">
        <f>'2_Discount_Factors'!B789</f>
        <v>2.15342465753425</v>
      </c>
      <c r="C788" s="12">
        <f>EXP(-r_free*(('2_Discount_Factors'!B788+'2_Discount_Factors'!B789)/2))</f>
        <v>0.937478322721202</v>
      </c>
      <c r="D788" s="12">
        <f>'3_Survival_Probs'!D788</f>
        <v>0.964032749730974</v>
      </c>
      <c r="E788" s="12">
        <f>'3_Survival_Probs'!D789</f>
        <v>0.963958237148448</v>
      </c>
      <c r="F788" s="14">
        <f t="shared" si="29"/>
        <v>7.45125825255544e-5</v>
      </c>
      <c r="G788" s="32">
        <f>(1-recovery)*notional*C788*F788</f>
        <v>419.123585326091</v>
      </c>
      <c r="H788" s="14">
        <f t="shared" si="28"/>
        <v>1.07173154238635e-5</v>
      </c>
      <c r="I788" s="33"/>
    </row>
    <row r="789" spans="1:9">
      <c r="A789" s="4">
        <v>787</v>
      </c>
      <c r="B789" s="6">
        <f>'2_Discount_Factors'!B790</f>
        <v>2.15616438356164</v>
      </c>
      <c r="C789" s="6">
        <f>EXP(-r_free*(('2_Discount_Factors'!B789+'2_Discount_Factors'!B790)/2))</f>
        <v>0.937401272874851</v>
      </c>
      <c r="D789" s="6">
        <f>'3_Survival_Probs'!D789</f>
        <v>0.963958237148448</v>
      </c>
      <c r="E789" s="6">
        <f>'3_Survival_Probs'!D790</f>
        <v>0.963883730325193</v>
      </c>
      <c r="F789" s="8">
        <f t="shared" si="29"/>
        <v>7.45068232554935e-5</v>
      </c>
      <c r="G789" s="29">
        <f>(1-recovery)*notional*C789*F789</f>
        <v>419.056745745367</v>
      </c>
      <c r="H789" s="8">
        <f t="shared" si="28"/>
        <v>1.09069563961123e-5</v>
      </c>
      <c r="I789" s="30"/>
    </row>
    <row r="790" spans="1:9">
      <c r="A790" s="10">
        <v>788</v>
      </c>
      <c r="B790" s="12">
        <f>'2_Discount_Factors'!B791</f>
        <v>2.15890410958904</v>
      </c>
      <c r="C790" s="12">
        <f>EXP(-r_free*(('2_Discount_Factors'!B790+'2_Discount_Factors'!B791)/2))</f>
        <v>0.937324229361104</v>
      </c>
      <c r="D790" s="12">
        <f>'3_Survival_Probs'!D790</f>
        <v>0.963883730325193</v>
      </c>
      <c r="E790" s="12">
        <f>'3_Survival_Probs'!D791</f>
        <v>0.963809229260762</v>
      </c>
      <c r="F790" s="14">
        <f t="shared" si="29"/>
        <v>7.45010644306321e-5</v>
      </c>
      <c r="G790" s="32">
        <f>(1-recovery)*notional*C790*F790</f>
        <v>418.989916824145</v>
      </c>
      <c r="H790" s="14">
        <f t="shared" si="28"/>
        <v>1.10965366099545e-5</v>
      </c>
      <c r="I790" s="33"/>
    </row>
    <row r="791" spans="1:9">
      <c r="A791" s="4">
        <v>789</v>
      </c>
      <c r="B791" s="6">
        <f>'2_Discount_Factors'!B792</f>
        <v>2.16164383561644</v>
      </c>
      <c r="C791" s="6">
        <f>EXP(-r_free*(('2_Discount_Factors'!B791+'2_Discount_Factors'!B792)/2))</f>
        <v>0.93724719217944</v>
      </c>
      <c r="D791" s="6">
        <f>'3_Survival_Probs'!D791</f>
        <v>0.963809229260762</v>
      </c>
      <c r="E791" s="6">
        <f>'3_Survival_Probs'!D792</f>
        <v>0.963734733954711</v>
      </c>
      <c r="F791" s="8">
        <f t="shared" si="29"/>
        <v>7.44953060508591e-5</v>
      </c>
      <c r="G791" s="29">
        <f>(1-recovery)*notional*C791*F791</f>
        <v>418.923098560294</v>
      </c>
      <c r="H791" s="8">
        <f t="shared" si="28"/>
        <v>1.12860560799349e-5</v>
      </c>
      <c r="I791" s="30"/>
    </row>
    <row r="792" spans="1:9">
      <c r="A792" s="10">
        <v>790</v>
      </c>
      <c r="B792" s="12">
        <f>'2_Discount_Factors'!B793</f>
        <v>2.16438356164384</v>
      </c>
      <c r="C792" s="12">
        <f>EXP(-r_free*(('2_Discount_Factors'!B792+'2_Discount_Factors'!B793)/2))</f>
        <v>0.937170161329339</v>
      </c>
      <c r="D792" s="12">
        <f>'3_Survival_Probs'!D792</f>
        <v>0.963734733954711</v>
      </c>
      <c r="E792" s="12">
        <f>'3_Survival_Probs'!D793</f>
        <v>0.963660244406595</v>
      </c>
      <c r="F792" s="14">
        <f t="shared" si="29"/>
        <v>7.44895481160635e-5</v>
      </c>
      <c r="G792" s="32">
        <f>(1-recovery)*notional*C792*F792</f>
        <v>418.856290951685</v>
      </c>
      <c r="H792" s="14">
        <f t="shared" si="28"/>
        <v>1.14755148205941e-5</v>
      </c>
      <c r="I792" s="33"/>
    </row>
    <row r="793" spans="1:9">
      <c r="A793" s="4">
        <v>791</v>
      </c>
      <c r="B793" s="6">
        <f>'2_Discount_Factors'!B794</f>
        <v>2.16712328767123</v>
      </c>
      <c r="C793" s="6">
        <f>EXP(-r_free*(('2_Discount_Factors'!B793+'2_Discount_Factors'!B794)/2))</f>
        <v>0.937093136810281</v>
      </c>
      <c r="D793" s="6">
        <f>'3_Survival_Probs'!D793</f>
        <v>0.963660244406595</v>
      </c>
      <c r="E793" s="6">
        <f>'3_Survival_Probs'!D794</f>
        <v>0.963585760615969</v>
      </c>
      <c r="F793" s="8">
        <f t="shared" si="29"/>
        <v>7.44837906264673e-5</v>
      </c>
      <c r="G793" s="29">
        <f>(1-recovery)*notional*C793*F793</f>
        <v>418.789493998058</v>
      </c>
      <c r="H793" s="8">
        <f t="shared" si="28"/>
        <v>1.16649128465213e-5</v>
      </c>
      <c r="I793" s="30"/>
    </row>
    <row r="794" spans="1:9">
      <c r="A794" s="10">
        <v>792</v>
      </c>
      <c r="B794" s="12">
        <f>'2_Discount_Factors'!B795</f>
        <v>2.16986301369863</v>
      </c>
      <c r="C794" s="12">
        <f>EXP(-r_free*(('2_Discount_Factors'!B794+'2_Discount_Factors'!B795)/2))</f>
        <v>0.937016118621745</v>
      </c>
      <c r="D794" s="12">
        <f>'3_Survival_Probs'!D794</f>
        <v>0.963585760615969</v>
      </c>
      <c r="E794" s="12">
        <f>'3_Survival_Probs'!D795</f>
        <v>0.963511282582387</v>
      </c>
      <c r="F794" s="14">
        <f t="shared" si="29"/>
        <v>7.44780335817374e-5</v>
      </c>
      <c r="G794" s="32">
        <f>(1-recovery)*notional*C794*F794</f>
        <v>418.722707696038</v>
      </c>
      <c r="H794" s="14">
        <f t="shared" si="28"/>
        <v>1.18542501722166e-5</v>
      </c>
      <c r="I794" s="33"/>
    </row>
    <row r="795" spans="1:9">
      <c r="A795" s="4">
        <v>793</v>
      </c>
      <c r="B795" s="6">
        <f>'2_Discount_Factors'!B796</f>
        <v>2.17260273972603</v>
      </c>
      <c r="C795" s="6">
        <f>EXP(-r_free*(('2_Discount_Factors'!B795+'2_Discount_Factors'!B796)/2))</f>
        <v>0.936939106763211</v>
      </c>
      <c r="D795" s="6">
        <f>'3_Survival_Probs'!D795</f>
        <v>0.963511282582387</v>
      </c>
      <c r="E795" s="6">
        <f>'3_Survival_Probs'!D796</f>
        <v>0.963436810305405</v>
      </c>
      <c r="F795" s="8">
        <f t="shared" si="29"/>
        <v>7.4472276982096e-5</v>
      </c>
      <c r="G795" s="29">
        <f>(1-recovery)*notional*C795*F795</f>
        <v>418.655932045365</v>
      </c>
      <c r="H795" s="8">
        <f t="shared" si="28"/>
        <v>1.20435268122639e-5</v>
      </c>
      <c r="I795" s="30"/>
    </row>
    <row r="796" spans="1:9">
      <c r="A796" s="10">
        <v>794</v>
      </c>
      <c r="B796" s="12">
        <f>'2_Discount_Factors'!B797</f>
        <v>2.17534246575342</v>
      </c>
      <c r="C796" s="12">
        <f>EXP(-r_free*(('2_Discount_Factors'!B796+'2_Discount_Factors'!B797)/2))</f>
        <v>0.936862101234158</v>
      </c>
      <c r="D796" s="12">
        <f>'3_Survival_Probs'!D796</f>
        <v>0.963436810305405</v>
      </c>
      <c r="E796" s="12">
        <f>'3_Survival_Probs'!D797</f>
        <v>0.963362343784577</v>
      </c>
      <c r="F796" s="14">
        <f t="shared" si="29"/>
        <v>7.4466520827321e-5</v>
      </c>
      <c r="G796" s="32">
        <f>(1-recovery)*notional*C796*F796</f>
        <v>418.589167043287</v>
      </c>
      <c r="H796" s="14">
        <f t="shared" si="28"/>
        <v>1.22327427811737e-5</v>
      </c>
      <c r="I796" s="33"/>
    </row>
    <row r="797" spans="1:9">
      <c r="A797" s="4">
        <v>795</v>
      </c>
      <c r="B797" s="6">
        <f>'2_Discount_Factors'!B798</f>
        <v>2.17808219178082</v>
      </c>
      <c r="C797" s="6">
        <f>EXP(-r_free*(('2_Discount_Factors'!B797+'2_Discount_Factors'!B798)/2))</f>
        <v>0.936785102034068</v>
      </c>
      <c r="D797" s="6">
        <f>'3_Survival_Probs'!D797</f>
        <v>0.963362343784577</v>
      </c>
      <c r="E797" s="6">
        <f>'3_Survival_Probs'!D798</f>
        <v>0.96328788301946</v>
      </c>
      <c r="F797" s="8">
        <f t="shared" si="29"/>
        <v>7.44607651175233e-5</v>
      </c>
      <c r="G797" s="29">
        <f>(1-recovery)*notional*C797*F797</f>
        <v>418.522412688923</v>
      </c>
      <c r="H797" s="8">
        <f t="shared" ref="H797:H823" si="30">C797*(B797-2)*F797</f>
        <v>1.24218980935068e-5</v>
      </c>
      <c r="I797" s="30"/>
    </row>
    <row r="798" spans="1:9">
      <c r="A798" s="10">
        <v>796</v>
      </c>
      <c r="B798" s="12">
        <f>'2_Discount_Factors'!B799</f>
        <v>2.18082191780822</v>
      </c>
      <c r="C798" s="12">
        <f>EXP(-r_free*(('2_Discount_Factors'!B798+'2_Discount_Factors'!B799)/2))</f>
        <v>0.936708109162418</v>
      </c>
      <c r="D798" s="12">
        <f>'3_Survival_Probs'!D798</f>
        <v>0.96328788301946</v>
      </c>
      <c r="E798" s="12">
        <f>'3_Survival_Probs'!D799</f>
        <v>0.963213428009607</v>
      </c>
      <c r="F798" s="14">
        <f t="shared" si="29"/>
        <v>7.4455009852592e-5</v>
      </c>
      <c r="G798" s="32">
        <f>(1-recovery)*notional*C798*F798</f>
        <v>418.455668980144</v>
      </c>
      <c r="H798" s="14">
        <f t="shared" si="30"/>
        <v>1.26109927637852e-5</v>
      </c>
      <c r="I798" s="33"/>
    </row>
    <row r="799" spans="1:9">
      <c r="A799" s="4">
        <v>797</v>
      </c>
      <c r="B799" s="6">
        <f>'2_Discount_Factors'!B800</f>
        <v>2.18356164383562</v>
      </c>
      <c r="C799" s="6">
        <f>EXP(-r_free*(('2_Discount_Factors'!B799+'2_Discount_Factors'!B800)/2))</f>
        <v>0.936631122618689</v>
      </c>
      <c r="D799" s="6">
        <f>'3_Survival_Probs'!D799</f>
        <v>0.963213428009607</v>
      </c>
      <c r="E799" s="6">
        <f>'3_Survival_Probs'!D800</f>
        <v>0.963138978754575</v>
      </c>
      <c r="F799" s="8">
        <f t="shared" si="29"/>
        <v>7.44492550324161e-5</v>
      </c>
      <c r="G799" s="29">
        <f>(1-recovery)*notional*C799*F799</f>
        <v>418.388935914822</v>
      </c>
      <c r="H799" s="8">
        <f t="shared" si="30"/>
        <v>1.28000268065265e-5</v>
      </c>
      <c r="I799" s="30"/>
    </row>
    <row r="800" spans="1:9">
      <c r="A800" s="10">
        <v>798</v>
      </c>
      <c r="B800" s="12">
        <f>'2_Discount_Factors'!B801</f>
        <v>2.18630136986301</v>
      </c>
      <c r="C800" s="12">
        <f>EXP(-r_free*(('2_Discount_Factors'!B800+'2_Discount_Factors'!B801)/2))</f>
        <v>0.936554142402362</v>
      </c>
      <c r="D800" s="12">
        <f>'3_Survival_Probs'!D800</f>
        <v>0.963138978754575</v>
      </c>
      <c r="E800" s="12">
        <f>'3_Survival_Probs'!D801</f>
        <v>0.963064535253918</v>
      </c>
      <c r="F800" s="14">
        <f t="shared" si="29"/>
        <v>7.44435006571065e-5</v>
      </c>
      <c r="G800" s="32">
        <f>(1-recovery)*notional*C800*F800</f>
        <v>418.322213492076</v>
      </c>
      <c r="H800" s="14">
        <f t="shared" si="30"/>
        <v>1.29890002362837e-5</v>
      </c>
      <c r="I800" s="33"/>
    </row>
    <row r="801" spans="1:9">
      <c r="A801" s="4">
        <v>799</v>
      </c>
      <c r="B801" s="6">
        <f>'2_Discount_Factors'!B802</f>
        <v>2.18904109589041</v>
      </c>
      <c r="C801" s="6">
        <f>EXP(-r_free*(('2_Discount_Factors'!B801+'2_Discount_Factors'!B802)/2))</f>
        <v>0.936477168512916</v>
      </c>
      <c r="D801" s="6">
        <f>'3_Survival_Probs'!D801</f>
        <v>0.963064535253918</v>
      </c>
      <c r="E801" s="6">
        <f>'3_Survival_Probs'!D802</f>
        <v>0.962990097507191</v>
      </c>
      <c r="F801" s="8">
        <f t="shared" si="29"/>
        <v>7.44377467265522e-5</v>
      </c>
      <c r="G801" s="29">
        <f>(1-recovery)*notional*C801*F801</f>
        <v>418.255501709779</v>
      </c>
      <c r="H801" s="8">
        <f t="shared" si="30"/>
        <v>1.31779130675684e-5</v>
      </c>
      <c r="I801" s="30"/>
    </row>
    <row r="802" spans="1:9">
      <c r="A802" s="10">
        <v>800</v>
      </c>
      <c r="B802" s="12">
        <f>'2_Discount_Factors'!B803</f>
        <v>2.19178082191781</v>
      </c>
      <c r="C802" s="12">
        <f>EXP(-r_free*(('2_Discount_Factors'!B802+'2_Discount_Factors'!B803)/2))</f>
        <v>0.93640020094983</v>
      </c>
      <c r="D802" s="12">
        <f>'3_Survival_Probs'!D802</f>
        <v>0.962990097507191</v>
      </c>
      <c r="E802" s="12">
        <f>'3_Survival_Probs'!D803</f>
        <v>0.96291566551395</v>
      </c>
      <c r="F802" s="14">
        <f t="shared" si="29"/>
        <v>7.44319932407533e-5</v>
      </c>
      <c r="G802" s="32">
        <f>(1-recovery)*notional*C802*F802</f>
        <v>418.188800566427</v>
      </c>
      <c r="H802" s="14">
        <f t="shared" si="30"/>
        <v>1.33667653149086e-5</v>
      </c>
      <c r="I802" s="33"/>
    </row>
    <row r="803" spans="1:9">
      <c r="A803" s="4">
        <v>801</v>
      </c>
      <c r="B803" s="6">
        <f>'2_Discount_Factors'!B804</f>
        <v>2.19452054794521</v>
      </c>
      <c r="C803" s="6">
        <f>EXP(-r_free*(('2_Discount_Factors'!B803+'2_Discount_Factors'!B804)/2))</f>
        <v>0.936323239712586</v>
      </c>
      <c r="D803" s="6">
        <f>'3_Survival_Probs'!D803</f>
        <v>0.96291566551395</v>
      </c>
      <c r="E803" s="6">
        <f>'3_Survival_Probs'!D804</f>
        <v>0.962841239273751</v>
      </c>
      <c r="F803" s="8">
        <f t="shared" si="29"/>
        <v>7.44262401995988e-5</v>
      </c>
      <c r="G803" s="29">
        <f>(1-recovery)*notional*C803*F803</f>
        <v>418.122110059893</v>
      </c>
      <c r="H803" s="8">
        <f t="shared" si="30"/>
        <v>1.35555569928093e-5</v>
      </c>
      <c r="I803" s="30"/>
    </row>
    <row r="804" spans="1:9">
      <c r="A804" s="10">
        <v>802</v>
      </c>
      <c r="B804" s="12">
        <f>'2_Discount_Factors'!B805</f>
        <v>2.1972602739726</v>
      </c>
      <c r="C804" s="12">
        <f>EXP(-r_free*(('2_Discount_Factors'!B804+'2_Discount_Factors'!B805)/2))</f>
        <v>0.936246284800663</v>
      </c>
      <c r="D804" s="12">
        <f>'3_Survival_Probs'!D804</f>
        <v>0.962841239273751</v>
      </c>
      <c r="E804" s="12">
        <f>'3_Survival_Probs'!D805</f>
        <v>0.962766818786148</v>
      </c>
      <c r="F804" s="14">
        <f t="shared" si="29"/>
        <v>7.44204876031995e-5</v>
      </c>
      <c r="G804" s="32">
        <f>(1-recovery)*notional*C804*F804</f>
        <v>418.055430189296</v>
      </c>
      <c r="H804" s="14">
        <f t="shared" si="30"/>
        <v>1.37442881158125e-5</v>
      </c>
      <c r="I804" s="33"/>
    </row>
    <row r="805" spans="1:9">
      <c r="A805" s="4">
        <v>803</v>
      </c>
      <c r="B805" s="6">
        <f>'2_Discount_Factors'!B806</f>
        <v>2.2</v>
      </c>
      <c r="C805" s="6">
        <f>EXP(-r_free*(('2_Discount_Factors'!B805+'2_Discount_Factors'!B806)/2))</f>
        <v>0.936169336213542</v>
      </c>
      <c r="D805" s="6">
        <f>'3_Survival_Probs'!D805</f>
        <v>0.962766818786148</v>
      </c>
      <c r="E805" s="6">
        <f>'3_Survival_Probs'!D806</f>
        <v>0.962692404050696</v>
      </c>
      <c r="F805" s="8">
        <f t="shared" si="29"/>
        <v>7.44147354514446e-5</v>
      </c>
      <c r="G805" s="29">
        <f>(1-recovery)*notional*C805*F805</f>
        <v>417.988760952511</v>
      </c>
      <c r="H805" s="8">
        <f t="shared" si="30"/>
        <v>1.39329586984171e-5</v>
      </c>
      <c r="I805" s="30"/>
    </row>
    <row r="806" spans="1:9">
      <c r="A806" s="10">
        <v>804</v>
      </c>
      <c r="B806" s="12">
        <f>'2_Discount_Factors'!B807</f>
        <v>2.2027397260274</v>
      </c>
      <c r="C806" s="12">
        <f>EXP(-r_free*(('2_Discount_Factors'!B806+'2_Discount_Factors'!B807)/2))</f>
        <v>0.936092393950701</v>
      </c>
      <c r="D806" s="12">
        <f>'3_Survival_Probs'!D806</f>
        <v>0.962692404050696</v>
      </c>
      <c r="E806" s="12">
        <f>'3_Survival_Probs'!D807</f>
        <v>0.962617995066952</v>
      </c>
      <c r="F806" s="14">
        <f t="shared" si="29"/>
        <v>7.4408983744223e-5</v>
      </c>
      <c r="G806" s="32">
        <f>(1-recovery)*notional*C806*F806</f>
        <v>417.922102347411</v>
      </c>
      <c r="H806" s="14">
        <f t="shared" si="30"/>
        <v>1.4121568755118e-5</v>
      </c>
      <c r="I806" s="33"/>
    </row>
    <row r="807" spans="1:9">
      <c r="A807" s="4">
        <v>805</v>
      </c>
      <c r="B807" s="6">
        <f>'2_Discount_Factors'!B808</f>
        <v>2.20547945205479</v>
      </c>
      <c r="C807" s="6">
        <f>EXP(-r_free*(('2_Discount_Factors'!B807+'2_Discount_Factors'!B808)/2))</f>
        <v>0.936015458011623</v>
      </c>
      <c r="D807" s="6">
        <f>'3_Survival_Probs'!D807</f>
        <v>0.962617995066952</v>
      </c>
      <c r="E807" s="6">
        <f>'3_Survival_Probs'!D808</f>
        <v>0.96254359183447</v>
      </c>
      <c r="F807" s="8">
        <f t="shared" si="29"/>
        <v>7.44032324815347e-5</v>
      </c>
      <c r="G807" s="29">
        <f>(1-recovery)*notional*C807*F807</f>
        <v>417.855454372494</v>
      </c>
      <c r="H807" s="8">
        <f t="shared" si="30"/>
        <v>1.43101183004279e-5</v>
      </c>
      <c r="I807" s="30"/>
    </row>
    <row r="808" spans="1:9">
      <c r="A808" s="10">
        <v>806</v>
      </c>
      <c r="B808" s="12">
        <f>'2_Discount_Factors'!B809</f>
        <v>2.20821917808219</v>
      </c>
      <c r="C808" s="12">
        <f>EXP(-r_free*(('2_Discount_Factors'!B808+'2_Discount_Factors'!B809)/2))</f>
        <v>0.935938528395787</v>
      </c>
      <c r="D808" s="12">
        <f>'3_Survival_Probs'!D808</f>
        <v>0.96254359183447</v>
      </c>
      <c r="E808" s="12">
        <f>'3_Survival_Probs'!D809</f>
        <v>0.962469194352807</v>
      </c>
      <c r="F808" s="14">
        <f t="shared" si="29"/>
        <v>7.43974816633797e-5</v>
      </c>
      <c r="G808" s="32">
        <f>(1-recovery)*notional*C808*F808</f>
        <v>417.788817026257</v>
      </c>
      <c r="H808" s="14">
        <f t="shared" si="30"/>
        <v>1.44986073488564e-5</v>
      </c>
      <c r="I808" s="33"/>
    </row>
    <row r="809" spans="1:9">
      <c r="A809" s="4">
        <v>807</v>
      </c>
      <c r="B809" s="6">
        <f>'2_Discount_Factors'!B810</f>
        <v>2.21095890410959</v>
      </c>
      <c r="C809" s="6">
        <f>EXP(-r_free*(('2_Discount_Factors'!B809+'2_Discount_Factors'!B810)/2))</f>
        <v>0.935861605102672</v>
      </c>
      <c r="D809" s="6">
        <f>'3_Survival_Probs'!D809</f>
        <v>0.962469194352807</v>
      </c>
      <c r="E809" s="6">
        <f>'3_Survival_Probs'!D810</f>
        <v>0.962394802621517</v>
      </c>
      <c r="F809" s="8">
        <f t="shared" si="29"/>
        <v>7.4391731289758e-5</v>
      </c>
      <c r="G809" s="29">
        <f>(1-recovery)*notional*C809*F809</f>
        <v>417.722190307197</v>
      </c>
      <c r="H809" s="8">
        <f t="shared" si="30"/>
        <v>1.46870359149106e-5</v>
      </c>
      <c r="I809" s="30"/>
    </row>
    <row r="810" spans="1:9">
      <c r="A810" s="10">
        <v>808</v>
      </c>
      <c r="B810" s="12">
        <f>'2_Discount_Factors'!B811</f>
        <v>2.21369863013699</v>
      </c>
      <c r="C810" s="12">
        <f>EXP(-r_free*(('2_Discount_Factors'!B810+'2_Discount_Factors'!B811)/2))</f>
        <v>0.935784688131761</v>
      </c>
      <c r="D810" s="12">
        <f>'3_Survival_Probs'!D810</f>
        <v>0.962394802621517</v>
      </c>
      <c r="E810" s="12">
        <f>'3_Survival_Probs'!D811</f>
        <v>0.962320416640157</v>
      </c>
      <c r="F810" s="14">
        <f t="shared" si="29"/>
        <v>7.43859813606695e-5</v>
      </c>
      <c r="G810" s="32">
        <f>(1-recovery)*notional*C810*F810</f>
        <v>417.655574213815</v>
      </c>
      <c r="H810" s="14">
        <f t="shared" si="30"/>
        <v>1.48754040130948e-5</v>
      </c>
      <c r="I810" s="33"/>
    </row>
    <row r="811" spans="1:9">
      <c r="A811" s="4">
        <v>809</v>
      </c>
      <c r="B811" s="6">
        <f>'2_Discount_Factors'!B812</f>
        <v>2.21643835616438</v>
      </c>
      <c r="C811" s="6">
        <f>EXP(-r_free*(('2_Discount_Factors'!B811+'2_Discount_Factors'!B812)/2))</f>
        <v>0.935707777482532</v>
      </c>
      <c r="D811" s="6">
        <f>'3_Survival_Probs'!D811</f>
        <v>0.962320416640157</v>
      </c>
      <c r="E811" s="6">
        <f>'3_Survival_Probs'!D812</f>
        <v>0.962246036408281</v>
      </c>
      <c r="F811" s="8">
        <f t="shared" si="29"/>
        <v>7.43802318758924e-5</v>
      </c>
      <c r="G811" s="29">
        <f>(1-recovery)*notional*C811*F811</f>
        <v>417.58896874336</v>
      </c>
      <c r="H811" s="8">
        <f t="shared" si="30"/>
        <v>1.50637116578655e-5</v>
      </c>
      <c r="I811" s="30"/>
    </row>
    <row r="812" spans="1:9">
      <c r="A812" s="10">
        <v>810</v>
      </c>
      <c r="B812" s="12">
        <f>'2_Discount_Factors'!B813</f>
        <v>2.21917808219178</v>
      </c>
      <c r="C812" s="12">
        <f>EXP(-r_free*(('2_Discount_Factors'!B812+'2_Discount_Factors'!B813)/2))</f>
        <v>0.935630873154467</v>
      </c>
      <c r="D812" s="12">
        <f>'3_Survival_Probs'!D812</f>
        <v>0.962246036408281</v>
      </c>
      <c r="E812" s="12">
        <f>'3_Survival_Probs'!D813</f>
        <v>0.962171661925445</v>
      </c>
      <c r="F812" s="14">
        <f t="shared" si="29"/>
        <v>7.43744828355375e-5</v>
      </c>
      <c r="G812" s="32">
        <f>(1-recovery)*notional*C812*F812</f>
        <v>417.522373894955</v>
      </c>
      <c r="H812" s="14">
        <f t="shared" si="30"/>
        <v>1.52519588637427e-5</v>
      </c>
      <c r="I812" s="33"/>
    </row>
    <row r="813" spans="1:9">
      <c r="A813" s="4">
        <v>811</v>
      </c>
      <c r="B813" s="6">
        <f>'2_Discount_Factors'!B814</f>
        <v>2.22191780821918</v>
      </c>
      <c r="C813" s="6">
        <f>EXP(-r_free*(('2_Discount_Factors'!B813+'2_Discount_Factors'!B814)/2))</f>
        <v>0.935553975147046</v>
      </c>
      <c r="D813" s="6">
        <f>'3_Survival_Probs'!D813</f>
        <v>0.962171661925445</v>
      </c>
      <c r="E813" s="6">
        <f>'3_Survival_Probs'!D814</f>
        <v>0.962097293191206</v>
      </c>
      <c r="F813" s="8">
        <f t="shared" si="29"/>
        <v>7.43687342396049e-5</v>
      </c>
      <c r="G813" s="29">
        <f>(1-recovery)*notional*C813*F813</f>
        <v>417.4557896671</v>
      </c>
      <c r="H813" s="8">
        <f t="shared" si="30"/>
        <v>1.54401456452215e-5</v>
      </c>
      <c r="I813" s="30"/>
    </row>
    <row r="814" spans="1:9">
      <c r="A814" s="10">
        <v>812</v>
      </c>
      <c r="B814" s="12">
        <f>'2_Discount_Factors'!B815</f>
        <v>2.22465753424658</v>
      </c>
      <c r="C814" s="12">
        <f>EXP(-r_free*(('2_Discount_Factors'!B814+'2_Discount_Factors'!B815)/2))</f>
        <v>0.935477083459749</v>
      </c>
      <c r="D814" s="12">
        <f>'3_Survival_Probs'!D814</f>
        <v>0.962097293191206</v>
      </c>
      <c r="E814" s="12">
        <f>'3_Survival_Probs'!D815</f>
        <v>0.962022930205118</v>
      </c>
      <c r="F814" s="14">
        <f t="shared" si="29"/>
        <v>7.43629860879835e-5</v>
      </c>
      <c r="G814" s="32">
        <f>(1-recovery)*notional*C814*F814</f>
        <v>417.389216057669</v>
      </c>
      <c r="H814" s="14">
        <f t="shared" si="30"/>
        <v>1.56282720167712e-5</v>
      </c>
      <c r="I814" s="33"/>
    </row>
    <row r="815" spans="1:9">
      <c r="A815" s="4">
        <v>813</v>
      </c>
      <c r="B815" s="6">
        <f>'2_Discount_Factors'!B816</f>
        <v>2.22739726027397</v>
      </c>
      <c r="C815" s="6">
        <f>EXP(-r_free*(('2_Discount_Factors'!B815+'2_Discount_Factors'!B816)/2))</f>
        <v>0.935400198092058</v>
      </c>
      <c r="D815" s="6">
        <f>'3_Survival_Probs'!D815</f>
        <v>0.962022930205118</v>
      </c>
      <c r="E815" s="6">
        <f>'3_Survival_Probs'!D816</f>
        <v>0.961948572966737</v>
      </c>
      <c r="F815" s="8">
        <f t="shared" si="29"/>
        <v>7.43572383805624e-5</v>
      </c>
      <c r="G815" s="29">
        <f>(1-recovery)*notional*C815*F815</f>
        <v>417.322653064539</v>
      </c>
      <c r="H815" s="8">
        <f t="shared" si="30"/>
        <v>1.58163379928569e-5</v>
      </c>
      <c r="I815" s="30"/>
    </row>
    <row r="816" spans="1:9">
      <c r="A816" s="10">
        <v>814</v>
      </c>
      <c r="B816" s="12">
        <f>'2_Discount_Factors'!B817</f>
        <v>2.23013698630137</v>
      </c>
      <c r="C816" s="12">
        <f>EXP(-r_free*(('2_Discount_Factors'!B816+'2_Discount_Factors'!B817)/2))</f>
        <v>0.935323319043452</v>
      </c>
      <c r="D816" s="12">
        <f>'3_Survival_Probs'!D816</f>
        <v>0.961948572966737</v>
      </c>
      <c r="E816" s="12">
        <f>'3_Survival_Probs'!D817</f>
        <v>0.96187422147562</v>
      </c>
      <c r="F816" s="14">
        <f t="shared" si="29"/>
        <v>7.43514911174525e-5</v>
      </c>
      <c r="G816" s="32">
        <f>(1-recovery)*notional*C816*F816</f>
        <v>417.256100686832</v>
      </c>
      <c r="H816" s="14">
        <f t="shared" si="30"/>
        <v>1.60043435879881e-5</v>
      </c>
      <c r="I816" s="33"/>
    </row>
    <row r="817" spans="1:9">
      <c r="A817" s="4">
        <v>815</v>
      </c>
      <c r="B817" s="6">
        <f>'2_Discount_Factors'!B818</f>
        <v>2.23287671232877</v>
      </c>
      <c r="C817" s="6">
        <f>EXP(-r_free*(('2_Discount_Factors'!B817+'2_Discount_Factors'!B818)/2))</f>
        <v>0.935246446313412</v>
      </c>
      <c r="D817" s="6">
        <f>'3_Survival_Probs'!D817</f>
        <v>0.96187422147562</v>
      </c>
      <c r="E817" s="6">
        <f>'3_Survival_Probs'!D818</f>
        <v>0.961799875731321</v>
      </c>
      <c r="F817" s="8">
        <f t="shared" si="29"/>
        <v>7.43457442985429e-5</v>
      </c>
      <c r="G817" s="29">
        <f>(1-recovery)*notional*C817*F817</f>
        <v>417.189558922427</v>
      </c>
      <c r="H817" s="8">
        <f t="shared" si="30"/>
        <v>1.61922888166239e-5</v>
      </c>
      <c r="I817" s="30"/>
    </row>
    <row r="818" spans="1:9">
      <c r="A818" s="10">
        <v>816</v>
      </c>
      <c r="B818" s="12">
        <f>'2_Discount_Factors'!B819</f>
        <v>2.23561643835616</v>
      </c>
      <c r="C818" s="12">
        <f>EXP(-r_free*(('2_Discount_Factors'!B818+'2_Discount_Factors'!B819)/2))</f>
        <v>0.935169579901419</v>
      </c>
      <c r="D818" s="12">
        <f>'3_Survival_Probs'!D818</f>
        <v>0.961799875731321</v>
      </c>
      <c r="E818" s="12">
        <f>'3_Survival_Probs'!D819</f>
        <v>0.961725535733397</v>
      </c>
      <c r="F818" s="14">
        <f t="shared" si="29"/>
        <v>7.43399979238335e-5</v>
      </c>
      <c r="G818" s="32">
        <f>(1-recovery)*notional*C818*F818</f>
        <v>417.123027769822</v>
      </c>
      <c r="H818" s="14">
        <f t="shared" si="30"/>
        <v>1.63801736932442e-5</v>
      </c>
      <c r="I818" s="33"/>
    </row>
    <row r="819" spans="1:9">
      <c r="A819" s="4">
        <v>817</v>
      </c>
      <c r="B819" s="6">
        <f>'2_Discount_Factors'!B820</f>
        <v>2.23835616438356</v>
      </c>
      <c r="C819" s="6">
        <f>EXP(-r_free*(('2_Discount_Factors'!B819+'2_Discount_Factors'!B820)/2))</f>
        <v>0.935092719806953</v>
      </c>
      <c r="D819" s="6">
        <f>'3_Survival_Probs'!D819</f>
        <v>0.961725535733397</v>
      </c>
      <c r="E819" s="6">
        <f>'3_Survival_Probs'!D820</f>
        <v>0.961651201481404</v>
      </c>
      <c r="F819" s="8">
        <f t="shared" si="29"/>
        <v>7.43342519933243e-5</v>
      </c>
      <c r="G819" s="29">
        <f>(1-recovery)*notional*C819*F819</f>
        <v>417.056507227519</v>
      </c>
      <c r="H819" s="8">
        <f t="shared" si="30"/>
        <v>1.65679982323261e-5</v>
      </c>
      <c r="I819" s="30"/>
    </row>
    <row r="820" spans="1:9">
      <c r="A820" s="10">
        <v>818</v>
      </c>
      <c r="B820" s="12">
        <f>'2_Discount_Factors'!B821</f>
        <v>2.24109589041096</v>
      </c>
      <c r="C820" s="12">
        <f>EXP(-r_free*(('2_Discount_Factors'!B820+'2_Discount_Factors'!B821)/2))</f>
        <v>0.935015866029497</v>
      </c>
      <c r="D820" s="12">
        <f>'3_Survival_Probs'!D820</f>
        <v>0.961651201481404</v>
      </c>
      <c r="E820" s="12">
        <f>'3_Survival_Probs'!D821</f>
        <v>0.961576872974897</v>
      </c>
      <c r="F820" s="14">
        <f t="shared" si="29"/>
        <v>7.43285065069044e-5</v>
      </c>
      <c r="G820" s="32">
        <f>(1-recovery)*notional*C820*F820</f>
        <v>416.989997293394</v>
      </c>
      <c r="H820" s="14">
        <f t="shared" si="30"/>
        <v>1.6755762448319e-5</v>
      </c>
      <c r="I820" s="33"/>
    </row>
    <row r="821" spans="1:9">
      <c r="A821" s="4">
        <v>819</v>
      </c>
      <c r="B821" s="6">
        <f>'2_Discount_Factors'!B822</f>
        <v>2.24383561643836</v>
      </c>
      <c r="C821" s="6">
        <f>EXP(-r_free*(('2_Discount_Factors'!B821+'2_Discount_Factors'!B822)/2))</f>
        <v>0.934939018568529</v>
      </c>
      <c r="D821" s="6">
        <f>'3_Survival_Probs'!D821</f>
        <v>0.961576872974897</v>
      </c>
      <c r="E821" s="6">
        <f>'3_Survival_Probs'!D822</f>
        <v>0.961502550213432</v>
      </c>
      <c r="F821" s="8">
        <f t="shared" si="29"/>
        <v>7.43227614645736e-5</v>
      </c>
      <c r="G821" s="29">
        <f>(1-recovery)*notional*C821*F821</f>
        <v>416.923497965948</v>
      </c>
      <c r="H821" s="8">
        <f t="shared" si="30"/>
        <v>1.69434663556938e-5</v>
      </c>
      <c r="I821" s="30"/>
    </row>
    <row r="822" spans="1:9">
      <c r="A822" s="10">
        <v>820</v>
      </c>
      <c r="B822" s="12">
        <f>'2_Discount_Factors'!B823</f>
        <v>2.24657534246575</v>
      </c>
      <c r="C822" s="12">
        <f>EXP(-r_free*(('2_Discount_Factors'!B822+'2_Discount_Factors'!B823)/2))</f>
        <v>0.934862177423532</v>
      </c>
      <c r="D822" s="12">
        <f>'3_Survival_Probs'!D822</f>
        <v>0.961502550213432</v>
      </c>
      <c r="E822" s="12">
        <f>'3_Survival_Probs'!D823</f>
        <v>0.961428233196566</v>
      </c>
      <c r="F822" s="14">
        <f t="shared" si="29"/>
        <v>7.43170168662211e-5</v>
      </c>
      <c r="G822" s="32">
        <f>(1-recovery)*notional*C822*F822</f>
        <v>416.85700924306</v>
      </c>
      <c r="H822" s="14">
        <f t="shared" si="30"/>
        <v>1.71311099688929e-5</v>
      </c>
      <c r="I822" s="33"/>
    </row>
    <row r="823" spans="1:9">
      <c r="A823" s="34">
        <v>821</v>
      </c>
      <c r="B823" s="35">
        <f>'2_Discount_Factors'!B824</f>
        <v>2.24931506849315</v>
      </c>
      <c r="C823" s="35">
        <f>EXP(-r_free*(('2_Discount_Factors'!B823+'2_Discount_Factors'!B824)/2))</f>
        <v>0.934785342593985</v>
      </c>
      <c r="D823" s="35">
        <f>'3_Survival_Probs'!D823</f>
        <v>0.961428233196566</v>
      </c>
      <c r="E823" s="35">
        <f>'3_Survival_Probs'!D824</f>
        <v>0.961353921923854</v>
      </c>
      <c r="F823" s="36">
        <f t="shared" si="29"/>
        <v>7.43112727119577e-5</v>
      </c>
      <c r="G823" s="37">
        <f>(1-recovery)*notional*C823*F823</f>
        <v>416.790531123855</v>
      </c>
      <c r="H823" s="36">
        <f t="shared" si="30"/>
        <v>1.73186933024068e-5</v>
      </c>
      <c r="I823" s="38" t="s">
        <v>71</v>
      </c>
    </row>
    <row r="824" spans="1:9">
      <c r="A824" s="10">
        <v>822</v>
      </c>
      <c r="B824" s="12">
        <f>'2_Discount_Factors'!B825</f>
        <v>2.25205479452055</v>
      </c>
      <c r="C824" s="12">
        <f>EXP(-r_free*(('2_Discount_Factors'!B824+'2_Discount_Factors'!B825)/2))</f>
        <v>0.93470851407937</v>
      </c>
      <c r="D824" s="12">
        <f>'3_Survival_Probs'!D824</f>
        <v>0.961353921923854</v>
      </c>
      <c r="E824" s="12">
        <f>'3_Survival_Probs'!D825</f>
        <v>0.961279616394853</v>
      </c>
      <c r="F824" s="14">
        <f t="shared" si="29"/>
        <v>7.43055290016725e-5</v>
      </c>
      <c r="G824" s="32">
        <f>(1-recovery)*notional*C824*F824</f>
        <v>416.724063606209</v>
      </c>
      <c r="H824" s="14">
        <f t="shared" ref="H824:H887" si="31">C824*(B824-2.24931506849315)*F824</f>
        <v>1.90284960550818e-7</v>
      </c>
      <c r="I824" s="33"/>
    </row>
    <row r="825" spans="1:9">
      <c r="A825" s="4">
        <v>823</v>
      </c>
      <c r="B825" s="6">
        <f>'2_Discount_Factors'!B826</f>
        <v>2.25479452054795</v>
      </c>
      <c r="C825" s="6">
        <f>EXP(-r_free*(('2_Discount_Factors'!B825+'2_Discount_Factors'!B826)/2))</f>
        <v>0.934631691879169</v>
      </c>
      <c r="D825" s="6">
        <f>'3_Survival_Probs'!D825</f>
        <v>0.961279616394853</v>
      </c>
      <c r="E825" s="6">
        <f>'3_Survival_Probs'!D826</f>
        <v>0.961205316609117</v>
      </c>
      <c r="F825" s="8">
        <f t="shared" si="29"/>
        <v>7.42997857352545e-5</v>
      </c>
      <c r="G825" s="29">
        <f>(1-recovery)*notional*C825*F825</f>
        <v>416.657606688004</v>
      </c>
      <c r="H825" s="8">
        <f t="shared" si="31"/>
        <v>3.80509229852103e-7</v>
      </c>
      <c r="I825" s="30"/>
    </row>
    <row r="826" spans="1:9">
      <c r="A826" s="10">
        <v>824</v>
      </c>
      <c r="B826" s="12">
        <f>'2_Discount_Factors'!B827</f>
        <v>2.25753424657534</v>
      </c>
      <c r="C826" s="12">
        <f>EXP(-r_free*(('2_Discount_Factors'!B826+'2_Discount_Factors'!B827)/2))</f>
        <v>0.934554875992861</v>
      </c>
      <c r="D826" s="12">
        <f>'3_Survival_Probs'!D826</f>
        <v>0.961205316609117</v>
      </c>
      <c r="E826" s="12">
        <f>'3_Survival_Probs'!D827</f>
        <v>0.961131022566205</v>
      </c>
      <c r="F826" s="14">
        <f t="shared" si="29"/>
        <v>7.42940429128147e-5</v>
      </c>
      <c r="G826" s="32">
        <f>(1-recovery)*notional*C826*F826</f>
        <v>416.591160368363</v>
      </c>
      <c r="H826" s="14">
        <f t="shared" si="31"/>
        <v>5.70672822422467e-7</v>
      </c>
      <c r="I826" s="33"/>
    </row>
    <row r="827" spans="1:9">
      <c r="A827" s="4">
        <v>825</v>
      </c>
      <c r="B827" s="6">
        <f>'2_Discount_Factors'!B828</f>
        <v>2.26027397260274</v>
      </c>
      <c r="C827" s="6">
        <f>EXP(-r_free*(('2_Discount_Factors'!B827+'2_Discount_Factors'!B828)/2))</f>
        <v>0.934478066419928</v>
      </c>
      <c r="D827" s="6">
        <f>'3_Survival_Probs'!D827</f>
        <v>0.961131022566205</v>
      </c>
      <c r="E827" s="6">
        <f>'3_Survival_Probs'!D828</f>
        <v>0.96105673426567</v>
      </c>
      <c r="F827" s="8">
        <f t="shared" si="29"/>
        <v>7.42883005342421e-5</v>
      </c>
      <c r="G827" s="29">
        <f>(1-recovery)*notional*C827*F827</f>
        <v>416.524724645166</v>
      </c>
      <c r="H827" s="8">
        <f t="shared" si="31"/>
        <v>7.60775752776618e-7</v>
      </c>
      <c r="I827" s="30"/>
    </row>
    <row r="828" spans="1:9">
      <c r="A828" s="10">
        <v>826</v>
      </c>
      <c r="B828" s="12">
        <f>'2_Discount_Factors'!B829</f>
        <v>2.26301369863014</v>
      </c>
      <c r="C828" s="12">
        <f>EXP(-r_free*(('2_Discount_Factors'!B828+'2_Discount_Factors'!B829)/2))</f>
        <v>0.934401263159852</v>
      </c>
      <c r="D828" s="12">
        <f>'3_Survival_Probs'!D828</f>
        <v>0.96105673426567</v>
      </c>
      <c r="E828" s="12">
        <f>'3_Survival_Probs'!D829</f>
        <v>0.960982451707071</v>
      </c>
      <c r="F828" s="14">
        <f t="shared" si="29"/>
        <v>7.42825585995366e-5</v>
      </c>
      <c r="G828" s="32">
        <f>(1-recovery)*notional*C828*F828</f>
        <v>416.458299516916</v>
      </c>
      <c r="H828" s="14">
        <f t="shared" si="31"/>
        <v>9.50818035426784e-7</v>
      </c>
      <c r="I828" s="33"/>
    </row>
    <row r="829" spans="1:9">
      <c r="A829" s="4">
        <v>827</v>
      </c>
      <c r="B829" s="6">
        <f>'2_Discount_Factors'!B830</f>
        <v>2.26575342465753</v>
      </c>
      <c r="C829" s="6">
        <f>EXP(-r_free*(('2_Discount_Factors'!B829+'2_Discount_Factors'!B830)/2))</f>
        <v>0.934324466212113</v>
      </c>
      <c r="D829" s="6">
        <f>'3_Survival_Probs'!D829</f>
        <v>0.960982451707071</v>
      </c>
      <c r="E829" s="6">
        <f>'3_Survival_Probs'!D830</f>
        <v>0.960908174889962</v>
      </c>
      <c r="F829" s="8">
        <f t="shared" si="29"/>
        <v>7.42768171085872e-5</v>
      </c>
      <c r="G829" s="29">
        <f>(1-recovery)*notional*C829*F829</f>
        <v>416.391884981493</v>
      </c>
      <c r="H829" s="8">
        <f t="shared" si="31"/>
        <v>1.14079968488084e-6</v>
      </c>
      <c r="I829" s="30"/>
    </row>
    <row r="830" spans="1:9">
      <c r="A830" s="10">
        <v>828</v>
      </c>
      <c r="B830" s="12">
        <f>'2_Discount_Factors'!B831</f>
        <v>2.26849315068493</v>
      </c>
      <c r="C830" s="12">
        <f>EXP(-r_free*(('2_Discount_Factors'!B830+'2_Discount_Factors'!B831)/2))</f>
        <v>0.934247675576192</v>
      </c>
      <c r="D830" s="12">
        <f>'3_Survival_Probs'!D830</f>
        <v>0.960908174889962</v>
      </c>
      <c r="E830" s="12">
        <f>'3_Survival_Probs'!D831</f>
        <v>0.960833903813901</v>
      </c>
      <c r="F830" s="14">
        <f t="shared" si="29"/>
        <v>7.42710760615051e-5</v>
      </c>
      <c r="G830" s="32">
        <f>(1-recovery)*notional*C830*F830</f>
        <v>416.325481038022</v>
      </c>
      <c r="H830" s="14">
        <f t="shared" si="31"/>
        <v>1.33072071564669e-6</v>
      </c>
      <c r="I830" s="33"/>
    </row>
    <row r="831" spans="1:9">
      <c r="A831" s="4">
        <v>829</v>
      </c>
      <c r="B831" s="6">
        <f>'2_Discount_Factors'!B832</f>
        <v>2.27123287671233</v>
      </c>
      <c r="C831" s="6">
        <f>EXP(-r_free*(('2_Discount_Factors'!B831+'2_Discount_Factors'!B832)/2))</f>
        <v>0.934170891251571</v>
      </c>
      <c r="D831" s="6">
        <f>'3_Survival_Probs'!D831</f>
        <v>0.960833903813901</v>
      </c>
      <c r="E831" s="6">
        <f>'3_Survival_Probs'!D832</f>
        <v>0.960759638478443</v>
      </c>
      <c r="F831" s="8">
        <f t="shared" si="29"/>
        <v>7.4265335458068e-5</v>
      </c>
      <c r="G831" s="29">
        <f>(1-recovery)*notional*C831*F831</f>
        <v>416.259087683762</v>
      </c>
      <c r="H831" s="8">
        <f t="shared" si="31"/>
        <v>1.52058114222384e-6</v>
      </c>
      <c r="I831" s="30"/>
    </row>
    <row r="832" spans="1:9">
      <c r="A832" s="10">
        <v>830</v>
      </c>
      <c r="B832" s="12">
        <f>'2_Discount_Factors'!B833</f>
        <v>2.27397260273973</v>
      </c>
      <c r="C832" s="12">
        <f>EXP(-r_free*(('2_Discount_Factors'!B832+'2_Discount_Factors'!B833)/2))</f>
        <v>0.934094113237731</v>
      </c>
      <c r="D832" s="12">
        <f>'3_Survival_Probs'!D832</f>
        <v>0.960759638478443</v>
      </c>
      <c r="E832" s="12">
        <f>'3_Survival_Probs'!D833</f>
        <v>0.960685378883144</v>
      </c>
      <c r="F832" s="14">
        <f t="shared" si="29"/>
        <v>7.42595952983871e-5</v>
      </c>
      <c r="G832" s="32">
        <f>(1-recovery)*notional*C832*F832</f>
        <v>416.192704917838</v>
      </c>
      <c r="H832" s="14">
        <f t="shared" si="31"/>
        <v>1.71038097911447e-6</v>
      </c>
      <c r="I832" s="33"/>
    </row>
    <row r="833" spans="1:9">
      <c r="A833" s="4">
        <v>831</v>
      </c>
      <c r="B833" s="6">
        <f>'2_Discount_Factors'!B834</f>
        <v>2.27671232876712</v>
      </c>
      <c r="C833" s="6">
        <f>EXP(-r_free*(('2_Discount_Factors'!B833+'2_Discount_Factors'!B834)/2))</f>
        <v>0.934017341534154</v>
      </c>
      <c r="D833" s="6">
        <f>'3_Survival_Probs'!D833</f>
        <v>0.960685378883144</v>
      </c>
      <c r="E833" s="6">
        <f>'3_Survival_Probs'!D834</f>
        <v>0.960611125027562</v>
      </c>
      <c r="F833" s="8">
        <f t="shared" si="29"/>
        <v>7.42538555823513e-5</v>
      </c>
      <c r="G833" s="29">
        <f>(1-recovery)*notional*C833*F833</f>
        <v>416.126332738133</v>
      </c>
      <c r="H833" s="8">
        <f t="shared" si="31"/>
        <v>1.90012024081343e-6</v>
      </c>
      <c r="I833" s="30"/>
    </row>
    <row r="834" spans="1:9">
      <c r="A834" s="10">
        <v>832</v>
      </c>
      <c r="B834" s="12">
        <f>'2_Discount_Factors'!B835</f>
        <v>2.27945205479452</v>
      </c>
      <c r="C834" s="12">
        <f>EXP(-r_free*(('2_Discount_Factors'!B834+'2_Discount_Factors'!B835)/2))</f>
        <v>0.93394057614032</v>
      </c>
      <c r="D834" s="12">
        <f>'3_Survival_Probs'!D834</f>
        <v>0.960611125027562</v>
      </c>
      <c r="E834" s="12">
        <f>'3_Survival_Probs'!D835</f>
        <v>0.960536876911252</v>
      </c>
      <c r="F834" s="14">
        <f t="shared" si="29"/>
        <v>7.42481163099606e-5</v>
      </c>
      <c r="G834" s="32">
        <f>(1-recovery)*notional*C834*F834</f>
        <v>416.059971143149</v>
      </c>
      <c r="H834" s="14">
        <f t="shared" si="31"/>
        <v>2.08979894181495e-6</v>
      </c>
      <c r="I834" s="33"/>
    </row>
    <row r="835" spans="1:9">
      <c r="A835" s="4">
        <v>833</v>
      </c>
      <c r="B835" s="6">
        <f>'2_Discount_Factors'!B836</f>
        <v>2.28219178082192</v>
      </c>
      <c r="C835" s="6">
        <f>EXP(-r_free*(('2_Discount_Factors'!B835+'2_Discount_Factors'!B836)/2))</f>
        <v>0.933863817055711</v>
      </c>
      <c r="D835" s="6">
        <f>'3_Survival_Probs'!D835</f>
        <v>0.960536876911252</v>
      </c>
      <c r="E835" s="6">
        <f>'3_Survival_Probs'!D836</f>
        <v>0.960462634533771</v>
      </c>
      <c r="F835" s="8">
        <f t="shared" ref="F835:F898" si="32">D835-E835</f>
        <v>7.42423774812151e-5</v>
      </c>
      <c r="G835" s="29">
        <f>(1-recovery)*notional*C835*F835</f>
        <v>415.993620131391</v>
      </c>
      <c r="H835" s="8">
        <f t="shared" si="31"/>
        <v>2.27941709661041e-6</v>
      </c>
      <c r="I835" s="30"/>
    </row>
    <row r="836" spans="1:9">
      <c r="A836" s="10">
        <v>834</v>
      </c>
      <c r="B836" s="12">
        <f>'2_Discount_Factors'!B837</f>
        <v>2.28493150684932</v>
      </c>
      <c r="C836" s="12">
        <f>EXP(-r_free*(('2_Discount_Factors'!B836+'2_Discount_Factors'!B837)/2))</f>
        <v>0.933787064279809</v>
      </c>
      <c r="D836" s="12">
        <f>'3_Survival_Probs'!D836</f>
        <v>0.960462634533771</v>
      </c>
      <c r="E836" s="12">
        <f>'3_Survival_Probs'!D837</f>
        <v>0.960388397894675</v>
      </c>
      <c r="F836" s="14">
        <f t="shared" si="32"/>
        <v>7.42366390958926e-5</v>
      </c>
      <c r="G836" s="32">
        <f>(1-recovery)*notional*C836*F836</f>
        <v>415.92727970012</v>
      </c>
      <c r="H836" s="14">
        <f t="shared" si="31"/>
        <v>2.46897471968114e-6</v>
      </c>
      <c r="I836" s="33"/>
    </row>
    <row r="837" spans="1:9">
      <c r="A837" s="4">
        <v>835</v>
      </c>
      <c r="B837" s="6">
        <f>'2_Discount_Factors'!B838</f>
        <v>2.28767123287671</v>
      </c>
      <c r="C837" s="6">
        <f>EXP(-r_free*(('2_Discount_Factors'!B837+'2_Discount_Factors'!B838)/2))</f>
        <v>0.933710317812095</v>
      </c>
      <c r="D837" s="6">
        <f>'3_Survival_Probs'!D837</f>
        <v>0.960388397894675</v>
      </c>
      <c r="E837" s="6">
        <f>'3_Survival_Probs'!D838</f>
        <v>0.960314166993521</v>
      </c>
      <c r="F837" s="8">
        <f t="shared" si="32"/>
        <v>7.42309011542153e-5</v>
      </c>
      <c r="G837" s="29">
        <f>(1-recovery)*notional*C837*F837</f>
        <v>415.860949849083</v>
      </c>
      <c r="H837" s="8">
        <f t="shared" si="31"/>
        <v>2.65847182551929e-6</v>
      </c>
      <c r="I837" s="30"/>
    </row>
    <row r="838" spans="1:9">
      <c r="A838" s="10">
        <v>836</v>
      </c>
      <c r="B838" s="12">
        <f>'2_Discount_Factors'!B839</f>
        <v>2.29041095890411</v>
      </c>
      <c r="C838" s="12">
        <f>EXP(-r_free*(('2_Discount_Factors'!B838+'2_Discount_Factors'!B839)/2))</f>
        <v>0.933633577652051</v>
      </c>
      <c r="D838" s="12">
        <f>'3_Survival_Probs'!D838</f>
        <v>0.960314166993521</v>
      </c>
      <c r="E838" s="12">
        <f>'3_Survival_Probs'!D839</f>
        <v>0.960239941829864</v>
      </c>
      <c r="F838" s="14">
        <f t="shared" si="32"/>
        <v>7.4225163656072e-5</v>
      </c>
      <c r="G838" s="32">
        <f>(1-recovery)*notional*C838*F838</f>
        <v>415.794630576165</v>
      </c>
      <c r="H838" s="14">
        <f t="shared" si="31"/>
        <v>2.84790842860391e-6</v>
      </c>
      <c r="I838" s="33"/>
    </row>
    <row r="839" spans="1:9">
      <c r="A839" s="4">
        <v>837</v>
      </c>
      <c r="B839" s="6">
        <f>'2_Discount_Factors'!B840</f>
        <v>2.29315068493151</v>
      </c>
      <c r="C839" s="6">
        <f>EXP(-r_free*(('2_Discount_Factors'!B839+'2_Discount_Factors'!B840)/2))</f>
        <v>0.933556843799158</v>
      </c>
      <c r="D839" s="6">
        <f>'3_Survival_Probs'!D839</f>
        <v>0.960239941829864</v>
      </c>
      <c r="E839" s="6">
        <f>'3_Survival_Probs'!D840</f>
        <v>0.960165722403263</v>
      </c>
      <c r="F839" s="8">
        <f t="shared" si="32"/>
        <v>7.42194266013518e-5</v>
      </c>
      <c r="G839" s="29">
        <f>(1-recovery)*notional*C839*F839</f>
        <v>415.728321879248</v>
      </c>
      <c r="H839" s="8">
        <f t="shared" si="31"/>
        <v>3.03728454341008e-6</v>
      </c>
      <c r="I839" s="30"/>
    </row>
    <row r="840" spans="1:9">
      <c r="A840" s="10">
        <v>838</v>
      </c>
      <c r="B840" s="12">
        <f>'2_Discount_Factors'!B841</f>
        <v>2.2958904109589</v>
      </c>
      <c r="C840" s="12">
        <f>EXP(-r_free*(('2_Discount_Factors'!B840+'2_Discount_Factors'!B841)/2))</f>
        <v>0.933480116252897</v>
      </c>
      <c r="D840" s="12">
        <f>'3_Survival_Probs'!D840</f>
        <v>0.960165722403263</v>
      </c>
      <c r="E840" s="12">
        <f>'3_Survival_Probs'!D841</f>
        <v>0.960091508713273</v>
      </c>
      <c r="F840" s="14">
        <f t="shared" si="32"/>
        <v>7.42136899900547e-5</v>
      </c>
      <c r="G840" s="32">
        <f>(1-recovery)*notional*C840*F840</f>
        <v>415.662023756837</v>
      </c>
      <c r="H840" s="14">
        <f t="shared" si="31"/>
        <v>3.22660018441386e-6</v>
      </c>
      <c r="I840" s="33"/>
    </row>
    <row r="841" spans="1:9">
      <c r="A841" s="4">
        <v>839</v>
      </c>
      <c r="B841" s="6">
        <f>'2_Discount_Factors'!B842</f>
        <v>2.2986301369863</v>
      </c>
      <c r="C841" s="6">
        <f>EXP(-r_free*(('2_Discount_Factors'!B841+'2_Discount_Factors'!B842)/2))</f>
        <v>0.933403395012751</v>
      </c>
      <c r="D841" s="6">
        <f>'3_Survival_Probs'!D841</f>
        <v>0.960091508713273</v>
      </c>
      <c r="E841" s="6">
        <f>'3_Survival_Probs'!D842</f>
        <v>0.960017300759451</v>
      </c>
      <c r="F841" s="8">
        <f t="shared" si="32"/>
        <v>7.42079538221807e-5</v>
      </c>
      <c r="G841" s="29">
        <f>(1-recovery)*notional*C841*F841</f>
        <v>415.595736207438</v>
      </c>
      <c r="H841" s="8">
        <f t="shared" si="31"/>
        <v>3.41585536608859e-6</v>
      </c>
      <c r="I841" s="30"/>
    </row>
    <row r="842" spans="1:9">
      <c r="A842" s="10">
        <v>840</v>
      </c>
      <c r="B842" s="12">
        <f>'2_Discount_Factors'!B843</f>
        <v>2.3013698630137</v>
      </c>
      <c r="C842" s="12">
        <f>EXP(-r_free*(('2_Discount_Factors'!B842+'2_Discount_Factors'!B843)/2))</f>
        <v>0.933326680078202</v>
      </c>
      <c r="D842" s="12">
        <f>'3_Survival_Probs'!D842</f>
        <v>0.960017300759451</v>
      </c>
      <c r="E842" s="12">
        <f>'3_Survival_Probs'!D843</f>
        <v>0.959943098541353</v>
      </c>
      <c r="F842" s="14">
        <f t="shared" si="32"/>
        <v>7.42022180977298e-5</v>
      </c>
      <c r="G842" s="32">
        <f>(1-recovery)*notional*C842*F842</f>
        <v>415.529459229557</v>
      </c>
      <c r="H842" s="14">
        <f t="shared" si="31"/>
        <v>3.60505010290487e-6</v>
      </c>
      <c r="I842" s="33"/>
    </row>
    <row r="843" spans="1:9">
      <c r="A843" s="4">
        <v>841</v>
      </c>
      <c r="B843" s="6">
        <f>'2_Discount_Factors'!B844</f>
        <v>2.3041095890411</v>
      </c>
      <c r="C843" s="6">
        <f>EXP(-r_free*(('2_Discount_Factors'!B843+'2_Discount_Factors'!B844)/2))</f>
        <v>0.93324997144873</v>
      </c>
      <c r="D843" s="6">
        <f>'3_Survival_Probs'!D843</f>
        <v>0.959943098541353</v>
      </c>
      <c r="E843" s="6">
        <f>'3_Survival_Probs'!D844</f>
        <v>0.959868902058537</v>
      </c>
      <c r="F843" s="8">
        <f t="shared" si="32"/>
        <v>7.41964828164798e-5</v>
      </c>
      <c r="G843" s="29">
        <f>(1-recovery)*notional*C843*F843</f>
        <v>415.463192820456</v>
      </c>
      <c r="H843" s="8">
        <f t="shared" si="31"/>
        <v>3.79418440931928e-6</v>
      </c>
      <c r="I843" s="30"/>
    </row>
    <row r="844" spans="1:9">
      <c r="A844" s="10">
        <v>842</v>
      </c>
      <c r="B844" s="12">
        <f>'2_Discount_Factors'!B845</f>
        <v>2.30684931506849</v>
      </c>
      <c r="C844" s="12">
        <f>EXP(-r_free*(('2_Discount_Factors'!B844+'2_Discount_Factors'!B845)/2))</f>
        <v>0.933173269123818</v>
      </c>
      <c r="D844" s="12">
        <f>'3_Survival_Probs'!D844</f>
        <v>0.959868902058537</v>
      </c>
      <c r="E844" s="12">
        <f>'3_Survival_Probs'!D845</f>
        <v>0.959794711310558</v>
      </c>
      <c r="F844" s="14">
        <f t="shared" si="32"/>
        <v>7.4190747978542e-5</v>
      </c>
      <c r="G844" s="32">
        <f>(1-recovery)*notional*C844*F844</f>
        <v>415.396936979264</v>
      </c>
      <c r="H844" s="14">
        <f t="shared" si="31"/>
        <v>3.98325829980122e-6</v>
      </c>
      <c r="I844" s="33"/>
    </row>
    <row r="845" spans="1:9">
      <c r="A845" s="4">
        <v>843</v>
      </c>
      <c r="B845" s="6">
        <f>'2_Discount_Factors'!B846</f>
        <v>2.30958904109589</v>
      </c>
      <c r="C845" s="6">
        <f>EXP(-r_free*(('2_Discount_Factors'!B845+'2_Discount_Factors'!B846)/2))</f>
        <v>0.933096573102948</v>
      </c>
      <c r="D845" s="6">
        <f>'3_Survival_Probs'!D845</f>
        <v>0.959794711310558</v>
      </c>
      <c r="E845" s="6">
        <f>'3_Survival_Probs'!D846</f>
        <v>0.959720526296974</v>
      </c>
      <c r="F845" s="8">
        <f t="shared" si="32"/>
        <v>7.41850135839162e-5</v>
      </c>
      <c r="G845" s="29">
        <f>(1-recovery)*notional*C845*F845</f>
        <v>415.330691704487</v>
      </c>
      <c r="H845" s="8">
        <f t="shared" si="31"/>
        <v>4.17227178881226e-6</v>
      </c>
      <c r="I845" s="30"/>
    </row>
    <row r="846" spans="1:9">
      <c r="A846" s="10">
        <v>844</v>
      </c>
      <c r="B846" s="12">
        <f>'2_Discount_Factors'!B847</f>
        <v>2.31232876712329</v>
      </c>
      <c r="C846" s="12">
        <f>EXP(-r_free*(('2_Discount_Factors'!B846+'2_Discount_Factors'!B847)/2))</f>
        <v>0.933019883385601</v>
      </c>
      <c r="D846" s="12">
        <f>'3_Survival_Probs'!D846</f>
        <v>0.959720526296974</v>
      </c>
      <c r="E846" s="12">
        <f>'3_Survival_Probs'!D847</f>
        <v>0.959646347017342</v>
      </c>
      <c r="F846" s="14">
        <f t="shared" si="32"/>
        <v>7.41792796324914e-5</v>
      </c>
      <c r="G846" s="32">
        <f>(1-recovery)*notional*C846*F846</f>
        <v>415.26445699401</v>
      </c>
      <c r="H846" s="14">
        <f t="shared" si="31"/>
        <v>4.36122489080471e-6</v>
      </c>
      <c r="I846" s="33"/>
    </row>
    <row r="847" spans="1:9">
      <c r="A847" s="4">
        <v>845</v>
      </c>
      <c r="B847" s="6">
        <f>'2_Discount_Factors'!B848</f>
        <v>2.31506849315068</v>
      </c>
      <c r="C847" s="6">
        <f>EXP(-r_free*(('2_Discount_Factors'!B847+'2_Discount_Factors'!B848)/2))</f>
        <v>0.93294319997126</v>
      </c>
      <c r="D847" s="6">
        <f>'3_Survival_Probs'!D847</f>
        <v>0.959646347017342</v>
      </c>
      <c r="E847" s="6">
        <f>'3_Survival_Probs'!D848</f>
        <v>0.959572173471217</v>
      </c>
      <c r="F847" s="8">
        <f t="shared" si="32"/>
        <v>7.41735461242676e-5</v>
      </c>
      <c r="G847" s="29">
        <f>(1-recovery)*notional*C847*F847</f>
        <v>415.198232846341</v>
      </c>
      <c r="H847" s="8">
        <f t="shared" si="31"/>
        <v>4.55011762023391e-6</v>
      </c>
      <c r="I847" s="30"/>
    </row>
    <row r="848" spans="1:9">
      <c r="A848" s="10">
        <v>846</v>
      </c>
      <c r="B848" s="12">
        <f>'2_Discount_Factors'!B849</f>
        <v>2.31780821917808</v>
      </c>
      <c r="C848" s="12">
        <f>EXP(-r_free*(('2_Discount_Factors'!B848+'2_Discount_Factors'!B849)/2))</f>
        <v>0.932866522859406</v>
      </c>
      <c r="D848" s="12">
        <f>'3_Survival_Probs'!D848</f>
        <v>0.959572173471217</v>
      </c>
      <c r="E848" s="12">
        <f>'3_Survival_Probs'!D849</f>
        <v>0.959498005658158</v>
      </c>
      <c r="F848" s="14">
        <f t="shared" si="32"/>
        <v>7.41678130592449e-5</v>
      </c>
      <c r="G848" s="32">
        <f>(1-recovery)*notional*C848*F848</f>
        <v>415.132019259985</v>
      </c>
      <c r="H848" s="14">
        <f t="shared" si="31"/>
        <v>4.7389499915524e-6</v>
      </c>
      <c r="I848" s="33"/>
    </row>
    <row r="849" spans="1:9">
      <c r="A849" s="4">
        <v>847</v>
      </c>
      <c r="B849" s="6">
        <f>'2_Discount_Factors'!B850</f>
        <v>2.32054794520548</v>
      </c>
      <c r="C849" s="6">
        <f>EXP(-r_free*(('2_Discount_Factors'!B849+'2_Discount_Factors'!B850)/2))</f>
        <v>0.932789852049521</v>
      </c>
      <c r="D849" s="6">
        <f>'3_Survival_Probs'!D849</f>
        <v>0.959498005658158</v>
      </c>
      <c r="E849" s="6">
        <f>'3_Survival_Probs'!D850</f>
        <v>0.959423843577721</v>
      </c>
      <c r="F849" s="8">
        <f t="shared" si="32"/>
        <v>7.41620804373122e-5</v>
      </c>
      <c r="G849" s="29">
        <f>(1-recovery)*notional*C849*F849</f>
        <v>415.065816232831</v>
      </c>
      <c r="H849" s="8">
        <f t="shared" si="31"/>
        <v>4.92772201920262e-6</v>
      </c>
      <c r="I849" s="30"/>
    </row>
    <row r="850" spans="1:9">
      <c r="A850" s="10">
        <v>848</v>
      </c>
      <c r="B850" s="12">
        <f>'2_Discount_Factors'!B851</f>
        <v>2.32328767123288</v>
      </c>
      <c r="C850" s="12">
        <f>EXP(-r_free*(('2_Discount_Factors'!B850+'2_Discount_Factors'!B851)/2))</f>
        <v>0.932713187541088</v>
      </c>
      <c r="D850" s="12">
        <f>'3_Survival_Probs'!D850</f>
        <v>0.959423843577721</v>
      </c>
      <c r="E850" s="12">
        <f>'3_Survival_Probs'!D851</f>
        <v>0.959349687229462</v>
      </c>
      <c r="F850" s="14">
        <f t="shared" si="32"/>
        <v>7.41563482584695e-5</v>
      </c>
      <c r="G850" s="32">
        <f>(1-recovery)*notional*C850*F850</f>
        <v>414.999623763385</v>
      </c>
      <c r="H850" s="14">
        <f t="shared" si="31"/>
        <v>5.1164337176308e-6</v>
      </c>
      <c r="I850" s="33"/>
    </row>
    <row r="851" spans="1:9">
      <c r="A851" s="4">
        <v>849</v>
      </c>
      <c r="B851" s="6">
        <f>'2_Discount_Factors'!B852</f>
        <v>2.32602739726027</v>
      </c>
      <c r="C851" s="6">
        <f>EXP(-r_free*(('2_Discount_Factors'!B851+'2_Discount_Factors'!B852)/2))</f>
        <v>0.932636529333589</v>
      </c>
      <c r="D851" s="6">
        <f>'3_Survival_Probs'!D851</f>
        <v>0.959349687229462</v>
      </c>
      <c r="E851" s="6">
        <f>'3_Survival_Probs'!D852</f>
        <v>0.95927553661294</v>
      </c>
      <c r="F851" s="8">
        <f t="shared" si="32"/>
        <v>7.41506165227168e-5</v>
      </c>
      <c r="G851" s="29">
        <f>(1-recovery)*notional*C851*F851</f>
        <v>414.933441850155</v>
      </c>
      <c r="H851" s="8">
        <f t="shared" si="31"/>
        <v>5.30508510128056e-6</v>
      </c>
      <c r="I851" s="30"/>
    </row>
    <row r="852" spans="1:9">
      <c r="A852" s="10">
        <v>850</v>
      </c>
      <c r="B852" s="12">
        <f>'2_Discount_Factors'!B853</f>
        <v>2.32876712328767</v>
      </c>
      <c r="C852" s="12">
        <f>EXP(-r_free*(('2_Discount_Factors'!B852+'2_Discount_Factors'!B853)/2))</f>
        <v>0.932559877426505</v>
      </c>
      <c r="D852" s="12">
        <f>'3_Survival_Probs'!D852</f>
        <v>0.95927553661294</v>
      </c>
      <c r="E852" s="12">
        <f>'3_Survival_Probs'!D853</f>
        <v>0.95920139172771</v>
      </c>
      <c r="F852" s="14">
        <f t="shared" si="32"/>
        <v>7.41448852299431e-5</v>
      </c>
      <c r="G852" s="32">
        <f>(1-recovery)*notional*C852*F852</f>
        <v>414.867270491028</v>
      </c>
      <c r="H852" s="14">
        <f t="shared" si="31"/>
        <v>5.49367618458444e-6</v>
      </c>
      <c r="I852" s="33"/>
    </row>
    <row r="853" spans="1:9">
      <c r="A853" s="4">
        <v>851</v>
      </c>
      <c r="B853" s="6">
        <f>'2_Discount_Factors'!B854</f>
        <v>2.33150684931507</v>
      </c>
      <c r="C853" s="6">
        <f>EXP(-r_free*(('2_Discount_Factors'!B853+'2_Discount_Factors'!B854)/2))</f>
        <v>0.932483231819319</v>
      </c>
      <c r="D853" s="6">
        <f>'3_Survival_Probs'!D853</f>
        <v>0.95920139172771</v>
      </c>
      <c r="E853" s="6">
        <f>'3_Survival_Probs'!D854</f>
        <v>0.95912725257333</v>
      </c>
      <c r="F853" s="8">
        <f t="shared" si="32"/>
        <v>7.41391543801484e-5</v>
      </c>
      <c r="G853" s="29">
        <f>(1-recovery)*notional*C853*F853</f>
        <v>414.801109684513</v>
      </c>
      <c r="H853" s="8">
        <f t="shared" si="31"/>
        <v>5.68220698197968e-6</v>
      </c>
      <c r="I853" s="30"/>
    </row>
    <row r="854" spans="1:9">
      <c r="A854" s="10">
        <v>852</v>
      </c>
      <c r="B854" s="12">
        <f>'2_Discount_Factors'!B855</f>
        <v>2.33424657534247</v>
      </c>
      <c r="C854" s="12">
        <f>EXP(-r_free*(('2_Discount_Factors'!B854+'2_Discount_Factors'!B855)/2))</f>
        <v>0.932406592511512</v>
      </c>
      <c r="D854" s="12">
        <f>'3_Survival_Probs'!D854</f>
        <v>0.95912725257333</v>
      </c>
      <c r="E854" s="12">
        <f>'3_Survival_Probs'!D855</f>
        <v>0.959053119149356</v>
      </c>
      <c r="F854" s="14">
        <f t="shared" si="32"/>
        <v>7.41334239732216e-5</v>
      </c>
      <c r="G854" s="32">
        <f>(1-recovery)*notional*C854*F854</f>
        <v>414.734959428497</v>
      </c>
      <c r="H854" s="14">
        <f t="shared" si="31"/>
        <v>5.87067750789203e-6</v>
      </c>
      <c r="I854" s="33"/>
    </row>
    <row r="855" spans="1:9">
      <c r="A855" s="4">
        <v>853</v>
      </c>
      <c r="B855" s="6">
        <f>'2_Discount_Factors'!B856</f>
        <v>2.33698630136986</v>
      </c>
      <c r="C855" s="6">
        <f>EXP(-r_free*(('2_Discount_Factors'!B855+'2_Discount_Factors'!B856)/2))</f>
        <v>0.932329959502569</v>
      </c>
      <c r="D855" s="6">
        <f>'3_Survival_Probs'!D855</f>
        <v>0.959053119149356</v>
      </c>
      <c r="E855" s="6">
        <f>'3_Survival_Probs'!D856</f>
        <v>0.958978991455347</v>
      </c>
      <c r="F855" s="8">
        <f t="shared" si="32"/>
        <v>7.41276940093849e-5</v>
      </c>
      <c r="G855" s="29">
        <f>(1-recovery)*notional*C855*F855</f>
        <v>414.668819722732</v>
      </c>
      <c r="H855" s="8">
        <f t="shared" si="31"/>
        <v>6.05908777677055e-6</v>
      </c>
      <c r="I855" s="30"/>
    </row>
    <row r="856" spans="1:9">
      <c r="A856" s="10">
        <v>854</v>
      </c>
      <c r="B856" s="12">
        <f>'2_Discount_Factors'!B857</f>
        <v>2.33972602739726</v>
      </c>
      <c r="C856" s="12">
        <f>EXP(-r_free*(('2_Discount_Factors'!B856+'2_Discount_Factors'!B857)/2))</f>
        <v>0.93225333279197</v>
      </c>
      <c r="D856" s="12">
        <f>'3_Survival_Probs'!D856</f>
        <v>0.958978991455347</v>
      </c>
      <c r="E856" s="12">
        <f>'3_Survival_Probs'!D857</f>
        <v>0.958904869490859</v>
      </c>
      <c r="F856" s="14">
        <f t="shared" si="32"/>
        <v>7.41219644883051e-5</v>
      </c>
      <c r="G856" s="32">
        <f>(1-recovery)*notional*C856*F856</f>
        <v>414.602690563863</v>
      </c>
      <c r="H856" s="14">
        <f t="shared" si="31"/>
        <v>6.24743780301715e-6</v>
      </c>
      <c r="I856" s="33"/>
    </row>
    <row r="857" spans="1:9">
      <c r="A857" s="4">
        <v>855</v>
      </c>
      <c r="B857" s="6">
        <f>'2_Discount_Factors'!B858</f>
        <v>2.34246575342466</v>
      </c>
      <c r="C857" s="6">
        <f>EXP(-r_free*(('2_Discount_Factors'!B857+'2_Discount_Factors'!B858)/2))</f>
        <v>0.932176712379198</v>
      </c>
      <c r="D857" s="6">
        <f>'3_Survival_Probs'!D857</f>
        <v>0.958904869490859</v>
      </c>
      <c r="E857" s="6">
        <f>'3_Survival_Probs'!D858</f>
        <v>0.958830753255449</v>
      </c>
      <c r="F857" s="8">
        <f t="shared" si="32"/>
        <v>7.41162354100933e-5</v>
      </c>
      <c r="G857" s="29">
        <f>(1-recovery)*notional*C857*F857</f>
        <v>414.53657195102</v>
      </c>
      <c r="H857" s="8">
        <f t="shared" si="31"/>
        <v>6.43572760106612e-6</v>
      </c>
      <c r="I857" s="30"/>
    </row>
    <row r="858" spans="1:9">
      <c r="A858" s="10">
        <v>856</v>
      </c>
      <c r="B858" s="12">
        <f>'2_Discount_Factors'!B859</f>
        <v>2.34520547945205</v>
      </c>
      <c r="C858" s="12">
        <f>EXP(-r_free*(('2_Discount_Factors'!B858+'2_Discount_Factors'!B859)/2))</f>
        <v>0.932100098263735</v>
      </c>
      <c r="D858" s="12">
        <f>'3_Survival_Probs'!D858</f>
        <v>0.958830753255449</v>
      </c>
      <c r="E858" s="12">
        <f>'3_Survival_Probs'!D859</f>
        <v>0.958756642748674</v>
      </c>
      <c r="F858" s="14">
        <f t="shared" si="32"/>
        <v>7.41105067747494e-5</v>
      </c>
      <c r="G858" s="32">
        <f>(1-recovery)*notional*C858*F858</f>
        <v>414.470463882715</v>
      </c>
      <c r="H858" s="14">
        <f t="shared" si="31"/>
        <v>6.62395718534025e-6</v>
      </c>
      <c r="I858" s="33"/>
    </row>
    <row r="859" spans="1:9">
      <c r="A859" s="4">
        <v>857</v>
      </c>
      <c r="B859" s="6">
        <f>'2_Discount_Factors'!B860</f>
        <v>2.34794520547945</v>
      </c>
      <c r="C859" s="6">
        <f>EXP(-r_free*(('2_Discount_Factors'!B859+'2_Discount_Factors'!B860)/2))</f>
        <v>0.932023490445064</v>
      </c>
      <c r="D859" s="6">
        <f>'3_Survival_Probs'!D859</f>
        <v>0.958756642748674</v>
      </c>
      <c r="E859" s="6">
        <f>'3_Survival_Probs'!D860</f>
        <v>0.958682537970092</v>
      </c>
      <c r="F859" s="8">
        <f t="shared" si="32"/>
        <v>7.41047785821625e-5</v>
      </c>
      <c r="G859" s="29">
        <f>(1-recovery)*notional*C859*F859</f>
        <v>414.404366356834</v>
      </c>
      <c r="H859" s="8">
        <f t="shared" si="31"/>
        <v>6.81212657024936e-6</v>
      </c>
      <c r="I859" s="30"/>
    </row>
    <row r="860" spans="1:9">
      <c r="A860" s="10">
        <v>858</v>
      </c>
      <c r="B860" s="12">
        <f>'2_Discount_Factors'!B861</f>
        <v>2.35068493150685</v>
      </c>
      <c r="C860" s="12">
        <f>EXP(-r_free*(('2_Discount_Factors'!B860+'2_Discount_Factors'!B861)/2))</f>
        <v>0.931946888922667</v>
      </c>
      <c r="D860" s="12">
        <f>'3_Survival_Probs'!D860</f>
        <v>0.958682537970092</v>
      </c>
      <c r="E860" s="12">
        <f>'3_Survival_Probs'!D861</f>
        <v>0.958608438919259</v>
      </c>
      <c r="F860" s="14">
        <f t="shared" si="32"/>
        <v>7.40990508323325e-5</v>
      </c>
      <c r="G860" s="32">
        <f>(1-recovery)*notional*C860*F860</f>
        <v>414.338279371889</v>
      </c>
      <c r="H860" s="14">
        <f t="shared" si="31"/>
        <v>7.00023577021004e-6</v>
      </c>
      <c r="I860" s="33"/>
    </row>
    <row r="861" spans="1:9">
      <c r="A861" s="4">
        <v>859</v>
      </c>
      <c r="B861" s="6">
        <f>'2_Discount_Factors'!B862</f>
        <v>2.35342465753425</v>
      </c>
      <c r="C861" s="6">
        <f>EXP(-r_free*(('2_Discount_Factors'!B861+'2_Discount_Factors'!B862)/2))</f>
        <v>0.931870293696027</v>
      </c>
      <c r="D861" s="6">
        <f>'3_Survival_Probs'!D861</f>
        <v>0.958608438919259</v>
      </c>
      <c r="E861" s="6">
        <f>'3_Survival_Probs'!D862</f>
        <v>0.958534345595734</v>
      </c>
      <c r="F861" s="8">
        <f t="shared" si="32"/>
        <v>7.40933235251484e-5</v>
      </c>
      <c r="G861" s="29">
        <f>(1-recovery)*notional*C861*F861</f>
        <v>414.272202925769</v>
      </c>
      <c r="H861" s="8">
        <f t="shared" si="31"/>
        <v>7.18828479962526e-6</v>
      </c>
      <c r="I861" s="30"/>
    </row>
    <row r="862" spans="1:9">
      <c r="A862" s="10">
        <v>860</v>
      </c>
      <c r="B862" s="12">
        <f>'2_Discount_Factors'!B863</f>
        <v>2.35616438356164</v>
      </c>
      <c r="C862" s="12">
        <f>EXP(-r_free*(('2_Discount_Factors'!B862+'2_Discount_Factors'!B863)/2))</f>
        <v>0.931793704764627</v>
      </c>
      <c r="D862" s="12">
        <f>'3_Survival_Probs'!D862</f>
        <v>0.958534345595734</v>
      </c>
      <c r="E862" s="12">
        <f>'3_Survival_Probs'!D863</f>
        <v>0.958460257999074</v>
      </c>
      <c r="F862" s="14">
        <f t="shared" si="32"/>
        <v>7.40875966607213e-5</v>
      </c>
      <c r="G862" s="32">
        <f>(1-recovery)*notional*C862*F862</f>
        <v>414.206137017605</v>
      </c>
      <c r="H862" s="14">
        <f t="shared" si="31"/>
        <v>7.37627367291631e-6</v>
      </c>
      <c r="I862" s="33"/>
    </row>
    <row r="863" spans="1:9">
      <c r="A863" s="4">
        <v>861</v>
      </c>
      <c r="B863" s="6">
        <f>'2_Discount_Factors'!B864</f>
        <v>2.35890410958904</v>
      </c>
      <c r="C863" s="6">
        <f>EXP(-r_free*(('2_Discount_Factors'!B863+'2_Discount_Factors'!B864)/2))</f>
        <v>0.931717122127948</v>
      </c>
      <c r="D863" s="6">
        <f>'3_Survival_Probs'!D863</f>
        <v>0.958460257999074</v>
      </c>
      <c r="E863" s="6">
        <f>'3_Survival_Probs'!D864</f>
        <v>0.958386176128835</v>
      </c>
      <c r="F863" s="8">
        <f t="shared" si="32"/>
        <v>7.40818702389401e-5</v>
      </c>
      <c r="G863" s="29">
        <f>(1-recovery)*notional*C863*F863</f>
        <v>414.140081645288</v>
      </c>
      <c r="H863" s="8">
        <f t="shared" si="31"/>
        <v>7.56420240448021e-6</v>
      </c>
      <c r="I863" s="30"/>
    </row>
    <row r="864" spans="1:9">
      <c r="A864" s="10">
        <v>862</v>
      </c>
      <c r="B864" s="12">
        <f>'2_Discount_Factors'!B865</f>
        <v>2.36164383561644</v>
      </c>
      <c r="C864" s="12">
        <f>EXP(-r_free*(('2_Discount_Factors'!B864+'2_Discount_Factors'!B865)/2))</f>
        <v>0.931640545785475</v>
      </c>
      <c r="D864" s="12">
        <f>'3_Survival_Probs'!D864</f>
        <v>0.958386176128835</v>
      </c>
      <c r="E864" s="12">
        <f>'3_Survival_Probs'!D865</f>
        <v>0.958312099984575</v>
      </c>
      <c r="F864" s="14">
        <f t="shared" si="32"/>
        <v>7.40761442596938e-5</v>
      </c>
      <c r="G864" s="32">
        <f>(1-recovery)*notional*C864*F864</f>
        <v>414.074036806708</v>
      </c>
      <c r="H864" s="14">
        <f t="shared" si="31"/>
        <v>7.75207100871009e-6</v>
      </c>
      <c r="I864" s="33"/>
    </row>
    <row r="865" spans="1:9">
      <c r="A865" s="4">
        <v>863</v>
      </c>
      <c r="B865" s="6">
        <f>'2_Discount_Factors'!B866</f>
        <v>2.36438356164384</v>
      </c>
      <c r="C865" s="6">
        <f>EXP(-r_free*(('2_Discount_Factors'!B865+'2_Discount_Factors'!B866)/2))</f>
        <v>0.931563975736688</v>
      </c>
      <c r="D865" s="6">
        <f>'3_Survival_Probs'!D865</f>
        <v>0.958312099984575</v>
      </c>
      <c r="E865" s="6">
        <f>'3_Survival_Probs'!D866</f>
        <v>0.958238029565852</v>
      </c>
      <c r="F865" s="8">
        <f t="shared" si="32"/>
        <v>7.40704187230934e-5</v>
      </c>
      <c r="G865" s="29">
        <f>(1-recovery)*notional*C865*F865</f>
        <v>414.008002500997</v>
      </c>
      <c r="H865" s="8">
        <f t="shared" si="31"/>
        <v>7.93987950001916e-6</v>
      </c>
      <c r="I865" s="30"/>
    </row>
    <row r="866" spans="1:9">
      <c r="A866" s="10">
        <v>864</v>
      </c>
      <c r="B866" s="12">
        <f>'2_Discount_Factors'!B867</f>
        <v>2.36712328767123</v>
      </c>
      <c r="C866" s="12">
        <f>EXP(-r_free*(('2_Discount_Factors'!B866+'2_Discount_Factors'!B867)/2))</f>
        <v>0.931487411981071</v>
      </c>
      <c r="D866" s="12">
        <f>'3_Survival_Probs'!D866</f>
        <v>0.958238029565852</v>
      </c>
      <c r="E866" s="12">
        <f>'3_Survival_Probs'!D867</f>
        <v>0.958163964872223</v>
      </c>
      <c r="F866" s="14">
        <f t="shared" si="32"/>
        <v>7.40646936290279e-5</v>
      </c>
      <c r="G866" s="32">
        <f>(1-recovery)*notional*C866*F866</f>
        <v>413.941978726045</v>
      </c>
      <c r="H866" s="14">
        <f t="shared" si="31"/>
        <v>8.12762789279454e-6</v>
      </c>
      <c r="I866" s="33"/>
    </row>
    <row r="867" spans="1:9">
      <c r="A867" s="4">
        <v>865</v>
      </c>
      <c r="B867" s="6">
        <f>'2_Discount_Factors'!B868</f>
        <v>2.36986301369863</v>
      </c>
      <c r="C867" s="6">
        <f>EXP(-r_free*(('2_Discount_Factors'!B867+'2_Discount_Factors'!B868)/2))</f>
        <v>0.931410854518108</v>
      </c>
      <c r="D867" s="6">
        <f>'3_Survival_Probs'!D867</f>
        <v>0.958163964872223</v>
      </c>
      <c r="E867" s="6">
        <f>'3_Survival_Probs'!D868</f>
        <v>0.958089905903245</v>
      </c>
      <c r="F867" s="8">
        <f t="shared" si="32"/>
        <v>7.40589689774973e-5</v>
      </c>
      <c r="G867" s="29">
        <f>(1-recovery)*notional*C867*F867</f>
        <v>413.875965480365</v>
      </c>
      <c r="H867" s="8">
        <f t="shared" si="31"/>
        <v>8.31531620143204e-6</v>
      </c>
      <c r="I867" s="30"/>
    </row>
    <row r="868" spans="1:9">
      <c r="A868" s="10">
        <v>866</v>
      </c>
      <c r="B868" s="12">
        <f>'2_Discount_Factors'!B869</f>
        <v>2.37260273972603</v>
      </c>
      <c r="C868" s="12">
        <f>EXP(-r_free*(('2_Discount_Factors'!B868+'2_Discount_Factors'!B869)/2))</f>
        <v>0.93133430334728</v>
      </c>
      <c r="D868" s="12">
        <f>'3_Survival_Probs'!D868</f>
        <v>0.958089905903245</v>
      </c>
      <c r="E868" s="12">
        <f>'3_Survival_Probs'!D869</f>
        <v>0.958015852658477</v>
      </c>
      <c r="F868" s="14">
        <f t="shared" si="32"/>
        <v>7.40532447683906e-5</v>
      </c>
      <c r="G868" s="32">
        <f>(1-recovery)*notional*C868*F868</f>
        <v>413.809962761848</v>
      </c>
      <c r="H868" s="14">
        <f t="shared" si="31"/>
        <v>8.50294444031197e-6</v>
      </c>
      <c r="I868" s="33"/>
    </row>
    <row r="869" spans="1:9">
      <c r="A869" s="4">
        <v>867</v>
      </c>
      <c r="B869" s="6">
        <f>'2_Discount_Factors'!B870</f>
        <v>2.37534246575342</v>
      </c>
      <c r="C869" s="6">
        <f>EXP(-r_free*(('2_Discount_Factors'!B869+'2_Discount_Factors'!B870)/2))</f>
        <v>0.93125775846807</v>
      </c>
      <c r="D869" s="6">
        <f>'3_Survival_Probs'!D869</f>
        <v>0.958015852658477</v>
      </c>
      <c r="E869" s="6">
        <f>'3_Survival_Probs'!D870</f>
        <v>0.957941805137475</v>
      </c>
      <c r="F869" s="8">
        <f t="shared" si="32"/>
        <v>7.40475210017077e-5</v>
      </c>
      <c r="G869" s="29">
        <f>(1-recovery)*notional*C869*F869</f>
        <v>413.743970569006</v>
      </c>
      <c r="H869" s="8">
        <f t="shared" si="31"/>
        <v>8.69051262382391e-6</v>
      </c>
      <c r="I869" s="30"/>
    </row>
    <row r="870" spans="1:9">
      <c r="A870" s="10">
        <v>868</v>
      </c>
      <c r="B870" s="12">
        <f>'2_Discount_Factors'!B871</f>
        <v>2.37808219178082</v>
      </c>
      <c r="C870" s="12">
        <f>EXP(-r_free*(('2_Discount_Factors'!B870+'2_Discount_Factors'!B871)/2))</f>
        <v>0.931181219879962</v>
      </c>
      <c r="D870" s="12">
        <f>'3_Survival_Probs'!D870</f>
        <v>0.957941805137475</v>
      </c>
      <c r="E870" s="12">
        <f>'3_Survival_Probs'!D871</f>
        <v>0.957867763339798</v>
      </c>
      <c r="F870" s="14">
        <f t="shared" si="32"/>
        <v>7.40417976774488e-5</v>
      </c>
      <c r="G870" s="32">
        <f>(1-recovery)*notional*C870*F870</f>
        <v>413.677988900353</v>
      </c>
      <c r="H870" s="14">
        <f t="shared" si="31"/>
        <v>8.87802076635464e-6</v>
      </c>
      <c r="I870" s="33"/>
    </row>
    <row r="871" spans="1:9">
      <c r="A871" s="4">
        <v>869</v>
      </c>
      <c r="B871" s="6">
        <f>'2_Discount_Factors'!B872</f>
        <v>2.38082191780822</v>
      </c>
      <c r="C871" s="6">
        <f>EXP(-r_free*(('2_Discount_Factors'!B871+'2_Discount_Factors'!B872)/2))</f>
        <v>0.931104687582438</v>
      </c>
      <c r="D871" s="6">
        <f>'3_Survival_Probs'!D871</f>
        <v>0.957867763339798</v>
      </c>
      <c r="E871" s="6">
        <f>'3_Survival_Probs'!D872</f>
        <v>0.957793727265002</v>
      </c>
      <c r="F871" s="8">
        <f t="shared" si="32"/>
        <v>7.40360747956137e-5</v>
      </c>
      <c r="G871" s="29">
        <f>(1-recovery)*notional*C871*F871</f>
        <v>413.612017754399</v>
      </c>
      <c r="H871" s="8">
        <f t="shared" si="31"/>
        <v>9.06546888228826e-6</v>
      </c>
      <c r="I871" s="30"/>
    </row>
    <row r="872" spans="1:9">
      <c r="A872" s="10">
        <v>870</v>
      </c>
      <c r="B872" s="12">
        <f>'2_Discount_Factors'!B873</f>
        <v>2.38356164383562</v>
      </c>
      <c r="C872" s="12">
        <f>EXP(-r_free*(('2_Discount_Factors'!B872+'2_Discount_Factors'!B873)/2))</f>
        <v>0.931028161574981</v>
      </c>
      <c r="D872" s="12">
        <f>'3_Survival_Probs'!D872</f>
        <v>0.957793727265002</v>
      </c>
      <c r="E872" s="12">
        <f>'3_Survival_Probs'!D873</f>
        <v>0.957719696912646</v>
      </c>
      <c r="F872" s="14">
        <f t="shared" si="32"/>
        <v>7.40303523559804e-5</v>
      </c>
      <c r="G872" s="32">
        <f>(1-recovery)*notional*C872*F872</f>
        <v>413.546057128419</v>
      </c>
      <c r="H872" s="14">
        <f t="shared" si="31"/>
        <v>9.25285698597839e-6</v>
      </c>
      <c r="I872" s="33"/>
    </row>
    <row r="873" spans="1:9">
      <c r="A873" s="4">
        <v>871</v>
      </c>
      <c r="B873" s="6">
        <f>'2_Discount_Factors'!B874</f>
        <v>2.38630136986301</v>
      </c>
      <c r="C873" s="6">
        <f>EXP(-r_free*(('2_Discount_Factors'!B873+'2_Discount_Factors'!B874)/2))</f>
        <v>0.930951641857075</v>
      </c>
      <c r="D873" s="6">
        <f>'3_Survival_Probs'!D873</f>
        <v>0.957719696912646</v>
      </c>
      <c r="E873" s="6">
        <f>'3_Survival_Probs'!D874</f>
        <v>0.957645672282287</v>
      </c>
      <c r="F873" s="8">
        <f t="shared" si="32"/>
        <v>7.4024630358771e-5</v>
      </c>
      <c r="G873" s="29">
        <f>(1-recovery)*notional*C873*F873</f>
        <v>413.480107022166</v>
      </c>
      <c r="H873" s="8">
        <f t="shared" si="31"/>
        <v>9.44018509183031e-6</v>
      </c>
      <c r="I873" s="30"/>
    </row>
    <row r="874" spans="1:9">
      <c r="A874" s="10">
        <v>872</v>
      </c>
      <c r="B874" s="12">
        <f>'2_Discount_Factors'!B875</f>
        <v>2.38904109589041</v>
      </c>
      <c r="C874" s="12">
        <f>EXP(-r_free*(('2_Discount_Factors'!B874+'2_Discount_Factors'!B875)/2))</f>
        <v>0.930875128428203</v>
      </c>
      <c r="D874" s="12">
        <f>'3_Survival_Probs'!D874</f>
        <v>0.957645672282287</v>
      </c>
      <c r="E874" s="12">
        <f>'3_Survival_Probs'!D875</f>
        <v>0.957571653373484</v>
      </c>
      <c r="F874" s="14">
        <f t="shared" si="32"/>
        <v>7.40189088037635e-5</v>
      </c>
      <c r="G874" s="32">
        <f>(1-recovery)*notional*C874*F874</f>
        <v>413.414167432913</v>
      </c>
      <c r="H874" s="14">
        <f t="shared" si="31"/>
        <v>9.62745321419116e-6</v>
      </c>
      <c r="I874" s="33"/>
    </row>
    <row r="875" spans="1:9">
      <c r="A875" s="4">
        <v>873</v>
      </c>
      <c r="B875" s="6">
        <f>'2_Discount_Factors'!B876</f>
        <v>2.39178082191781</v>
      </c>
      <c r="C875" s="6">
        <f>EXP(-r_free*(('2_Discount_Factors'!B875+'2_Discount_Factors'!B876)/2))</f>
        <v>0.930798621287846</v>
      </c>
      <c r="D875" s="6">
        <f>'3_Survival_Probs'!D875</f>
        <v>0.957571653373484</v>
      </c>
      <c r="E875" s="6">
        <f>'3_Survival_Probs'!D876</f>
        <v>0.957497640185793</v>
      </c>
      <c r="F875" s="8">
        <f t="shared" si="32"/>
        <v>7.40131876910688e-5</v>
      </c>
      <c r="G875" s="29">
        <f>(1-recovery)*notional*C875*F875</f>
        <v>413.348238359793</v>
      </c>
      <c r="H875" s="8">
        <f t="shared" si="31"/>
        <v>9.81466136744718e-6</v>
      </c>
      <c r="I875" s="30"/>
    </row>
    <row r="876" spans="1:9">
      <c r="A876" s="10">
        <v>874</v>
      </c>
      <c r="B876" s="12">
        <f>'2_Discount_Factors'!B877</f>
        <v>2.39452054794521</v>
      </c>
      <c r="C876" s="12">
        <f>EXP(-r_free*(('2_Discount_Factors'!B876+'2_Discount_Factors'!B877)/2))</f>
        <v>0.93072212043549</v>
      </c>
      <c r="D876" s="12">
        <f>'3_Survival_Probs'!D876</f>
        <v>0.957497640185793</v>
      </c>
      <c r="E876" s="12">
        <f>'3_Survival_Probs'!D877</f>
        <v>0.957423632718772</v>
      </c>
      <c r="F876" s="14">
        <f t="shared" si="32"/>
        <v>7.40074670204649e-5</v>
      </c>
      <c r="G876" s="32">
        <f>(1-recovery)*notional*C876*F876</f>
        <v>413.28231980008</v>
      </c>
      <c r="H876" s="14">
        <f t="shared" si="31"/>
        <v>1.00018095659381e-5</v>
      </c>
      <c r="I876" s="33"/>
    </row>
    <row r="877" spans="1:9">
      <c r="A877" s="4">
        <v>875</v>
      </c>
      <c r="B877" s="6">
        <f>'2_Discount_Factors'!B878</f>
        <v>2.3972602739726</v>
      </c>
      <c r="C877" s="6">
        <f>EXP(-r_free*(('2_Discount_Factors'!B877+'2_Discount_Factors'!B878)/2))</f>
        <v>0.930645625870616</v>
      </c>
      <c r="D877" s="6">
        <f>'3_Survival_Probs'!D877</f>
        <v>0.957423632718772</v>
      </c>
      <c r="E877" s="6">
        <f>'3_Survival_Probs'!D878</f>
        <v>0.95734963097198</v>
      </c>
      <c r="F877" s="8">
        <f t="shared" si="32"/>
        <v>7.40017467921739e-5</v>
      </c>
      <c r="G877" s="29">
        <f>(1-recovery)*notional*C877*F877</f>
        <v>413.216411753529</v>
      </c>
      <c r="H877" s="8">
        <f t="shared" si="31"/>
        <v>1.01888978240597e-5</v>
      </c>
      <c r="I877" s="30"/>
    </row>
    <row r="878" spans="1:9">
      <c r="A878" s="10">
        <v>876</v>
      </c>
      <c r="B878" s="12">
        <f>'2_Discount_Factors'!B879</f>
        <v>2.4</v>
      </c>
      <c r="C878" s="12">
        <f>EXP(-r_free*(('2_Discount_Factors'!B878+'2_Discount_Factors'!B879)/2))</f>
        <v>0.930569137592709</v>
      </c>
      <c r="D878" s="12">
        <f>'3_Survival_Probs'!D878</f>
        <v>0.95734963097198</v>
      </c>
      <c r="E878" s="12">
        <f>'3_Survival_Probs'!D879</f>
        <v>0.957275634944974</v>
      </c>
      <c r="F878" s="14">
        <f t="shared" si="32"/>
        <v>7.39960270058626e-5</v>
      </c>
      <c r="G878" s="32">
        <f>(1-recovery)*notional*C878*F878</f>
        <v>413.150514216794</v>
      </c>
      <c r="H878" s="14">
        <f t="shared" si="31"/>
        <v>1.03759261561296e-5</v>
      </c>
      <c r="I878" s="33"/>
    </row>
    <row r="879" spans="1:9">
      <c r="A879" s="4">
        <v>877</v>
      </c>
      <c r="B879" s="6">
        <f>'2_Discount_Factors'!B880</f>
        <v>2.4027397260274</v>
      </c>
      <c r="C879" s="6">
        <f>EXP(-r_free*(('2_Discount_Factors'!B879+'2_Discount_Factors'!B880)/2))</f>
        <v>0.930492655601251</v>
      </c>
      <c r="D879" s="6">
        <f>'3_Survival_Probs'!D879</f>
        <v>0.957275634944974</v>
      </c>
      <c r="E879" s="6">
        <f>'3_Survival_Probs'!D880</f>
        <v>0.957201644637312</v>
      </c>
      <c r="F879" s="8">
        <f t="shared" si="32"/>
        <v>7.39903076617532e-5</v>
      </c>
      <c r="G879" s="29">
        <f>(1-recovery)*notional*C879*F879</f>
        <v>413.08462718963</v>
      </c>
      <c r="H879" s="8">
        <f t="shared" si="31"/>
        <v>1.05628945765385e-5</v>
      </c>
      <c r="I879" s="30"/>
    </row>
    <row r="880" spans="1:9">
      <c r="A880" s="10">
        <v>878</v>
      </c>
      <c r="B880" s="12">
        <f>'2_Discount_Factors'!B881</f>
        <v>2.40547945205479</v>
      </c>
      <c r="C880" s="12">
        <f>EXP(-r_free*(('2_Discount_Factors'!B880+'2_Discount_Factors'!B881)/2))</f>
        <v>0.930416179895725</v>
      </c>
      <c r="D880" s="12">
        <f>'3_Survival_Probs'!D880</f>
        <v>0.957201644637312</v>
      </c>
      <c r="E880" s="12">
        <f>'3_Survival_Probs'!D881</f>
        <v>0.957127660048553</v>
      </c>
      <c r="F880" s="14">
        <f t="shared" si="32"/>
        <v>7.39845887596235e-5</v>
      </c>
      <c r="G880" s="32">
        <f>(1-recovery)*notional*C880*F880</f>
        <v>413.018750669311</v>
      </c>
      <c r="H880" s="14">
        <f t="shared" si="31"/>
        <v>1.07498030996123e-5</v>
      </c>
      <c r="I880" s="33"/>
    </row>
    <row r="881" spans="1:9">
      <c r="A881" s="4">
        <v>879</v>
      </c>
      <c r="B881" s="6">
        <f>'2_Discount_Factors'!B882</f>
        <v>2.40821917808219</v>
      </c>
      <c r="C881" s="6">
        <f>EXP(-r_free*(('2_Discount_Factors'!B881+'2_Discount_Factors'!B882)/2))</f>
        <v>0.930339710475616</v>
      </c>
      <c r="D881" s="6">
        <f>'3_Survival_Probs'!D881</f>
        <v>0.957127660048553</v>
      </c>
      <c r="E881" s="6">
        <f>'3_Survival_Probs'!D882</f>
        <v>0.957053681178253</v>
      </c>
      <c r="F881" s="8">
        <f t="shared" si="32"/>
        <v>7.39788702995847e-5</v>
      </c>
      <c r="G881" s="29">
        <f>(1-recovery)*notional*C881*F881</f>
        <v>412.952884654973</v>
      </c>
      <c r="H881" s="8">
        <f t="shared" si="31"/>
        <v>1.09366517397208e-5</v>
      </c>
      <c r="I881" s="30"/>
    </row>
    <row r="882" spans="1:9">
      <c r="A882" s="10">
        <v>880</v>
      </c>
      <c r="B882" s="12">
        <f>'2_Discount_Factors'!B883</f>
        <v>2.41095890410959</v>
      </c>
      <c r="C882" s="12">
        <f>EXP(-r_free*(('2_Discount_Factors'!B882+'2_Discount_Factors'!B883)/2))</f>
        <v>0.930263247340406</v>
      </c>
      <c r="D882" s="12">
        <f>'3_Survival_Probs'!D882</f>
        <v>0.957053681178253</v>
      </c>
      <c r="E882" s="12">
        <f>'3_Survival_Probs'!D883</f>
        <v>0.956979708025972</v>
      </c>
      <c r="F882" s="14">
        <f t="shared" si="32"/>
        <v>7.39731522815257e-5</v>
      </c>
      <c r="G882" s="32">
        <f>(1-recovery)*notional*C882*F882</f>
        <v>412.887029144511</v>
      </c>
      <c r="H882" s="14">
        <f t="shared" si="31"/>
        <v>1.11234405111992e-5</v>
      </c>
      <c r="I882" s="33"/>
    </row>
    <row r="883" spans="1:9">
      <c r="A883" s="4">
        <v>881</v>
      </c>
      <c r="B883" s="6">
        <f>'2_Discount_Factors'!B884</f>
        <v>2.41369863013699</v>
      </c>
      <c r="C883" s="6">
        <f>EXP(-r_free*(('2_Discount_Factors'!B883+'2_Discount_Factors'!B884)/2))</f>
        <v>0.93018679048958</v>
      </c>
      <c r="D883" s="6">
        <f>'3_Survival_Probs'!D883</f>
        <v>0.956979708025972</v>
      </c>
      <c r="E883" s="6">
        <f>'3_Survival_Probs'!D884</f>
        <v>0.956905740591266</v>
      </c>
      <c r="F883" s="8">
        <f t="shared" si="32"/>
        <v>7.39674347054464e-5</v>
      </c>
      <c r="G883" s="29">
        <f>(1-recovery)*notional*C883*F883</f>
        <v>412.821184136441</v>
      </c>
      <c r="H883" s="8">
        <f t="shared" si="31"/>
        <v>1.13101694283957e-5</v>
      </c>
      <c r="I883" s="30"/>
    </row>
    <row r="884" spans="1:9">
      <c r="A884" s="10">
        <v>882</v>
      </c>
      <c r="B884" s="12">
        <f>'2_Discount_Factors'!B885</f>
        <v>2.41643835616438</v>
      </c>
      <c r="C884" s="12">
        <f>EXP(-r_free*(('2_Discount_Factors'!B884+'2_Discount_Factors'!B885)/2))</f>
        <v>0.930110339922619</v>
      </c>
      <c r="D884" s="12">
        <f>'3_Survival_Probs'!D884</f>
        <v>0.956905740591266</v>
      </c>
      <c r="E884" s="12">
        <f>'3_Survival_Probs'!D885</f>
        <v>0.956831778873695</v>
      </c>
      <c r="F884" s="14">
        <f t="shared" si="32"/>
        <v>7.39617175712359e-5</v>
      </c>
      <c r="G884" s="32">
        <f>(1-recovery)*notional*C884*F884</f>
        <v>412.755349628658</v>
      </c>
      <c r="H884" s="14">
        <f t="shared" si="31"/>
        <v>1.14968385056385e-5</v>
      </c>
      <c r="I884" s="33"/>
    </row>
    <row r="885" spans="1:9">
      <c r="A885" s="4">
        <v>883</v>
      </c>
      <c r="B885" s="6">
        <f>'2_Discount_Factors'!B886</f>
        <v>2.41917808219178</v>
      </c>
      <c r="C885" s="6">
        <f>EXP(-r_free*(('2_Discount_Factors'!B885+'2_Discount_Factors'!B886)/2))</f>
        <v>0.930033895639009</v>
      </c>
      <c r="D885" s="6">
        <f>'3_Survival_Probs'!D885</f>
        <v>0.956831778873695</v>
      </c>
      <c r="E885" s="6">
        <f>'3_Survival_Probs'!D886</f>
        <v>0.956757822872816</v>
      </c>
      <c r="F885" s="8">
        <f t="shared" si="32"/>
        <v>7.39560008790052e-5</v>
      </c>
      <c r="G885" s="29">
        <f>(1-recovery)*notional*C885*F885</f>
        <v>412.689525620299</v>
      </c>
      <c r="H885" s="8">
        <f t="shared" si="31"/>
        <v>1.16834477572871e-5</v>
      </c>
      <c r="I885" s="30"/>
    </row>
    <row r="886" spans="1:9">
      <c r="A886" s="10">
        <v>884</v>
      </c>
      <c r="B886" s="12">
        <f>'2_Discount_Factors'!B887</f>
        <v>2.42191780821918</v>
      </c>
      <c r="C886" s="12">
        <f>EXP(-r_free*(('2_Discount_Factors'!B886+'2_Discount_Factors'!B887)/2))</f>
        <v>0.929957457638233</v>
      </c>
      <c r="D886" s="12">
        <f>'3_Survival_Probs'!D886</f>
        <v>0.956757822872816</v>
      </c>
      <c r="E886" s="12">
        <f>'3_Survival_Probs'!D887</f>
        <v>0.956683872588187</v>
      </c>
      <c r="F886" s="14">
        <f t="shared" si="32"/>
        <v>7.39502846285323e-5</v>
      </c>
      <c r="G886" s="32">
        <f>(1-recovery)*notional*C886*F886</f>
        <v>412.623712108641</v>
      </c>
      <c r="H886" s="14">
        <f t="shared" si="31"/>
        <v>1.18699971976459e-5</v>
      </c>
      <c r="I886" s="33"/>
    </row>
    <row r="887" spans="1:9">
      <c r="A887" s="4">
        <v>885</v>
      </c>
      <c r="B887" s="6">
        <f>'2_Discount_Factors'!B888</f>
        <v>2.42465753424658</v>
      </c>
      <c r="C887" s="6">
        <f>EXP(-r_free*(('2_Discount_Factors'!B887+'2_Discount_Factors'!B888)/2))</f>
        <v>0.929881025919773</v>
      </c>
      <c r="D887" s="6">
        <f>'3_Survival_Probs'!D887</f>
        <v>0.956683872588187</v>
      </c>
      <c r="E887" s="6">
        <f>'3_Survival_Probs'!D888</f>
        <v>0.956609928019367</v>
      </c>
      <c r="F887" s="8">
        <f t="shared" si="32"/>
        <v>7.39445688199281e-5</v>
      </c>
      <c r="G887" s="29">
        <f>(1-recovery)*notional*C887*F887</f>
        <v>412.55790909282</v>
      </c>
      <c r="H887" s="8">
        <f t="shared" si="31"/>
        <v>1.20564868410688e-5</v>
      </c>
      <c r="I887" s="30"/>
    </row>
    <row r="888" spans="1:9">
      <c r="A888" s="10">
        <v>886</v>
      </c>
      <c r="B888" s="12">
        <f>'2_Discount_Factors'!B889</f>
        <v>2.42739726027397</v>
      </c>
      <c r="C888" s="12">
        <f>EXP(-r_free*(('2_Discount_Factors'!B888+'2_Discount_Factors'!B889)/2))</f>
        <v>0.929804600483115</v>
      </c>
      <c r="D888" s="12">
        <f>'3_Survival_Probs'!D888</f>
        <v>0.956609928019367</v>
      </c>
      <c r="E888" s="12">
        <f>'3_Survival_Probs'!D889</f>
        <v>0.956535989165914</v>
      </c>
      <c r="F888" s="14">
        <f t="shared" si="32"/>
        <v>7.39388534530816e-5</v>
      </c>
      <c r="G888" s="32">
        <f>(1-recovery)*notional*C888*F888</f>
        <v>412.492116570733</v>
      </c>
      <c r="H888" s="14">
        <f t="shared" ref="H888:H914" si="33">C888*(B888-2.24931506849315)*F888</f>
        <v>1.22429167018711e-5</v>
      </c>
      <c r="I888" s="33"/>
    </row>
    <row r="889" spans="1:9">
      <c r="A889" s="4">
        <v>887</v>
      </c>
      <c r="B889" s="6">
        <f>'2_Discount_Factors'!B890</f>
        <v>2.43013698630137</v>
      </c>
      <c r="C889" s="6">
        <f>EXP(-r_free*(('2_Discount_Factors'!B889+'2_Discount_Factors'!B890)/2))</f>
        <v>0.929728181327741</v>
      </c>
      <c r="D889" s="6">
        <f>'3_Survival_Probs'!D889</f>
        <v>0.956535989165914</v>
      </c>
      <c r="E889" s="6">
        <f>'3_Survival_Probs'!D890</f>
        <v>0.956462056027386</v>
      </c>
      <c r="F889" s="8">
        <f t="shared" si="32"/>
        <v>7.39331385279929e-5</v>
      </c>
      <c r="G889" s="29">
        <f>(1-recovery)*notional*C889*F889</f>
        <v>412.426334540897</v>
      </c>
      <c r="H889" s="8">
        <f t="shared" si="33"/>
        <v>1.24292867943832e-5</v>
      </c>
      <c r="I889" s="30"/>
    </row>
    <row r="890" spans="1:9">
      <c r="A890" s="10">
        <v>888</v>
      </c>
      <c r="B890" s="12">
        <f>'2_Discount_Factors'!B891</f>
        <v>2.43287671232877</v>
      </c>
      <c r="C890" s="12">
        <f>EXP(-r_free*(('2_Discount_Factors'!B890+'2_Discount_Factors'!B891)/2))</f>
        <v>0.929651768453136</v>
      </c>
      <c r="D890" s="12">
        <f>'3_Survival_Probs'!D890</f>
        <v>0.956462056027386</v>
      </c>
      <c r="E890" s="12">
        <f>'3_Survival_Probs'!D891</f>
        <v>0.956388128603342</v>
      </c>
      <c r="F890" s="14">
        <f t="shared" si="32"/>
        <v>7.39274240446619e-5</v>
      </c>
      <c r="G890" s="32">
        <f>(1-recovery)*notional*C890*F890</f>
        <v>412.360563001829</v>
      </c>
      <c r="H890" s="14">
        <f t="shared" si="33"/>
        <v>1.26155971329327e-5</v>
      </c>
      <c r="I890" s="33"/>
    </row>
    <row r="891" spans="1:9">
      <c r="A891" s="4">
        <v>889</v>
      </c>
      <c r="B891" s="6">
        <f>'2_Discount_Factors'!B892</f>
        <v>2.43561643835616</v>
      </c>
      <c r="C891" s="6">
        <f>EXP(-r_free*(('2_Discount_Factors'!B891+'2_Discount_Factors'!B892)/2))</f>
        <v>0.929575361858782</v>
      </c>
      <c r="D891" s="6">
        <f>'3_Survival_Probs'!D891</f>
        <v>0.956388128603342</v>
      </c>
      <c r="E891" s="6">
        <f>'3_Survival_Probs'!D892</f>
        <v>0.956314206893339</v>
      </c>
      <c r="F891" s="8">
        <f t="shared" si="32"/>
        <v>7.39217100030887e-5</v>
      </c>
      <c r="G891" s="29">
        <f>(1-recovery)*notional*C891*F891</f>
        <v>412.294801952047</v>
      </c>
      <c r="H891" s="8">
        <f t="shared" si="33"/>
        <v>1.28018477318444e-5</v>
      </c>
      <c r="I891" s="30"/>
    </row>
    <row r="892" spans="1:9">
      <c r="A892" s="10">
        <v>890</v>
      </c>
      <c r="B892" s="12">
        <f>'2_Discount_Factors'!B893</f>
        <v>2.43835616438356</v>
      </c>
      <c r="C892" s="12">
        <f>EXP(-r_free*(('2_Discount_Factors'!B892+'2_Discount_Factors'!B893)/2))</f>
        <v>0.929498961544165</v>
      </c>
      <c r="D892" s="12">
        <f>'3_Survival_Probs'!D892</f>
        <v>0.956314206893339</v>
      </c>
      <c r="E892" s="12">
        <f>'3_Survival_Probs'!D893</f>
        <v>0.956240290896936</v>
      </c>
      <c r="F892" s="14">
        <f t="shared" si="32"/>
        <v>7.39159964030511e-5</v>
      </c>
      <c r="G892" s="32">
        <f>(1-recovery)*notional*C892*F892</f>
        <v>412.229051388829</v>
      </c>
      <c r="H892" s="14">
        <f t="shared" si="33"/>
        <v>1.29880386054015e-5</v>
      </c>
      <c r="I892" s="33"/>
    </row>
    <row r="893" spans="1:9">
      <c r="A893" s="4">
        <v>891</v>
      </c>
      <c r="B893" s="6">
        <f>'2_Discount_Factors'!B894</f>
        <v>2.44109589041096</v>
      </c>
      <c r="C893" s="6">
        <f>EXP(-r_free*(('2_Discount_Factors'!B893+'2_Discount_Factors'!B894)/2))</f>
        <v>0.929422567508767</v>
      </c>
      <c r="D893" s="6">
        <f>'3_Survival_Probs'!D893</f>
        <v>0.956240290896936</v>
      </c>
      <c r="E893" s="6">
        <f>'3_Survival_Probs'!D894</f>
        <v>0.956166380613691</v>
      </c>
      <c r="F893" s="8">
        <f t="shared" si="32"/>
        <v>7.39102832446603e-5</v>
      </c>
      <c r="G893" s="29">
        <f>(1-recovery)*notional*C893*F893</f>
        <v>412.163311311314</v>
      </c>
      <c r="H893" s="8">
        <f t="shared" si="33"/>
        <v>1.31741697679416e-5</v>
      </c>
      <c r="I893" s="30"/>
    </row>
    <row r="894" spans="1:9">
      <c r="A894" s="10">
        <v>892</v>
      </c>
      <c r="B894" s="12">
        <f>'2_Discount_Factors'!B895</f>
        <v>2.44383561643836</v>
      </c>
      <c r="C894" s="12">
        <f>EXP(-r_free*(('2_Discount_Factors'!B894+'2_Discount_Factors'!B895)/2))</f>
        <v>0.929346179752074</v>
      </c>
      <c r="D894" s="12">
        <f>'3_Survival_Probs'!D894</f>
        <v>0.956166380613691</v>
      </c>
      <c r="E894" s="12">
        <f>'3_Survival_Probs'!D895</f>
        <v>0.956092476043163</v>
      </c>
      <c r="F894" s="14">
        <f t="shared" si="32"/>
        <v>7.39045705279162e-5</v>
      </c>
      <c r="G894" s="32">
        <f>(1-recovery)*notional*C894*F894</f>
        <v>412.09758171802</v>
      </c>
      <c r="H894" s="14">
        <f t="shared" si="33"/>
        <v>1.33602412337806e-5</v>
      </c>
      <c r="I894" s="33"/>
    </row>
    <row r="895" spans="1:9">
      <c r="A895" s="4">
        <v>893</v>
      </c>
      <c r="B895" s="6">
        <f>'2_Discount_Factors'!B896</f>
        <v>2.44657534246575</v>
      </c>
      <c r="C895" s="6">
        <f>EXP(-r_free*(('2_Discount_Factors'!B895+'2_Discount_Factors'!B896)/2))</f>
        <v>0.929269798273568</v>
      </c>
      <c r="D895" s="6">
        <f>'3_Survival_Probs'!D895</f>
        <v>0.956092476043163</v>
      </c>
      <c r="E895" s="6">
        <f>'3_Survival_Probs'!D896</f>
        <v>0.95601857718491</v>
      </c>
      <c r="F895" s="8">
        <f t="shared" si="32"/>
        <v>7.38988582525968e-5</v>
      </c>
      <c r="G895" s="29">
        <f>(1-recovery)*notional*C895*F895</f>
        <v>412.031862606226</v>
      </c>
      <c r="H895" s="8">
        <f t="shared" si="33"/>
        <v>1.3546253017191e-5</v>
      </c>
      <c r="I895" s="30"/>
    </row>
    <row r="896" spans="1:9">
      <c r="A896" s="10">
        <v>894</v>
      </c>
      <c r="B896" s="12">
        <f>'2_Discount_Factors'!B897</f>
        <v>2.44931506849315</v>
      </c>
      <c r="C896" s="12">
        <f>EXP(-r_free*(('2_Discount_Factors'!B896+'2_Discount_Factors'!B897)/2))</f>
        <v>0.929193423072733</v>
      </c>
      <c r="D896" s="12">
        <f>'3_Survival_Probs'!D896</f>
        <v>0.95601857718491</v>
      </c>
      <c r="E896" s="12">
        <f>'3_Survival_Probs'!D897</f>
        <v>0.955944684038491</v>
      </c>
      <c r="F896" s="14">
        <f t="shared" si="32"/>
        <v>7.38931464189241e-5</v>
      </c>
      <c r="G896" s="32">
        <f>(1-recovery)*notional*C896*F896</f>
        <v>411.966153975689</v>
      </c>
      <c r="H896" s="14">
        <f t="shared" si="33"/>
        <v>1.3732205132523e-5</v>
      </c>
      <c r="I896" s="33"/>
    </row>
    <row r="897" spans="1:9">
      <c r="A897" s="4">
        <v>895</v>
      </c>
      <c r="B897" s="6">
        <f>'2_Discount_Factors'!B898</f>
        <v>2.45205479452055</v>
      </c>
      <c r="C897" s="6">
        <f>EXP(-r_free*(('2_Discount_Factors'!B897+'2_Discount_Factors'!B898)/2))</f>
        <v>0.929117054149055</v>
      </c>
      <c r="D897" s="6">
        <f>'3_Survival_Probs'!D897</f>
        <v>0.955944684038491</v>
      </c>
      <c r="E897" s="6">
        <f>'3_Survival_Probs'!D898</f>
        <v>0.955870796603465</v>
      </c>
      <c r="F897" s="8">
        <f t="shared" si="32"/>
        <v>7.38874350266761e-5</v>
      </c>
      <c r="G897" s="29">
        <f>(1-recovery)*notional*C897*F897</f>
        <v>411.90045582369</v>
      </c>
      <c r="H897" s="8">
        <f t="shared" si="33"/>
        <v>1.39180975940425e-5</v>
      </c>
      <c r="I897" s="30"/>
    </row>
    <row r="898" spans="1:9">
      <c r="A898" s="10">
        <v>896</v>
      </c>
      <c r="B898" s="12">
        <f>'2_Discount_Factors'!B899</f>
        <v>2.45479452054795</v>
      </c>
      <c r="C898" s="12">
        <f>EXP(-r_free*(('2_Discount_Factors'!B898+'2_Discount_Factors'!B899)/2))</f>
        <v>0.929040691502016</v>
      </c>
      <c r="D898" s="12">
        <f>'3_Survival_Probs'!D898</f>
        <v>0.955870796603465</v>
      </c>
      <c r="E898" s="12">
        <f>'3_Survival_Probs'!D899</f>
        <v>0.955796914879389</v>
      </c>
      <c r="F898" s="14">
        <f t="shared" si="32"/>
        <v>7.38817240758527e-5</v>
      </c>
      <c r="G898" s="32">
        <f>(1-recovery)*notional*C898*F898</f>
        <v>411.834768148748</v>
      </c>
      <c r="H898" s="14">
        <f t="shared" si="33"/>
        <v>1.41039304160531e-5</v>
      </c>
      <c r="I898" s="33"/>
    </row>
    <row r="899" spans="1:9">
      <c r="A899" s="4">
        <v>897</v>
      </c>
      <c r="B899" s="6">
        <f>'2_Discount_Factors'!B900</f>
        <v>2.45753424657534</v>
      </c>
      <c r="C899" s="6">
        <f>EXP(-r_free*(('2_Discount_Factors'!B899+'2_Discount_Factors'!B900)/2))</f>
        <v>0.928964335131102</v>
      </c>
      <c r="D899" s="6">
        <f>'3_Survival_Probs'!D899</f>
        <v>0.955796914879389</v>
      </c>
      <c r="E899" s="6">
        <f>'3_Survival_Probs'!D900</f>
        <v>0.955723038865822</v>
      </c>
      <c r="F899" s="8">
        <f t="shared" ref="F899:F962" si="34">D899-E899</f>
        <v>7.3876013566454e-5</v>
      </c>
      <c r="G899" s="29">
        <f>(1-recovery)*notional*C899*F899</f>
        <v>411.769090949383</v>
      </c>
      <c r="H899" s="8">
        <f t="shared" si="33"/>
        <v>1.42897036128553e-5</v>
      </c>
      <c r="I899" s="30"/>
    </row>
    <row r="900" spans="1:9">
      <c r="A900" s="10">
        <v>898</v>
      </c>
      <c r="B900" s="12">
        <f>'2_Discount_Factors'!B901</f>
        <v>2.46027397260274</v>
      </c>
      <c r="C900" s="12">
        <f>EXP(-r_free*(('2_Discount_Factors'!B900+'2_Discount_Factors'!B901)/2))</f>
        <v>0.928887985035795</v>
      </c>
      <c r="D900" s="12">
        <f>'3_Survival_Probs'!D900</f>
        <v>0.955723038865822</v>
      </c>
      <c r="E900" s="12">
        <f>'3_Survival_Probs'!D901</f>
        <v>0.955649168562324</v>
      </c>
      <c r="F900" s="14">
        <f t="shared" si="34"/>
        <v>7.387030349848e-5</v>
      </c>
      <c r="G900" s="32">
        <f>(1-recovery)*notional*C900*F900</f>
        <v>411.703424224115</v>
      </c>
      <c r="H900" s="14">
        <f t="shared" si="33"/>
        <v>1.44754171987474e-5</v>
      </c>
      <c r="I900" s="33"/>
    </row>
    <row r="901" spans="1:9">
      <c r="A901" s="4">
        <v>899</v>
      </c>
      <c r="B901" s="6">
        <f>'2_Discount_Factors'!B902</f>
        <v>2.46301369863014</v>
      </c>
      <c r="C901" s="6">
        <f>EXP(-r_free*(('2_Discount_Factors'!B901+'2_Discount_Factors'!B902)/2))</f>
        <v>0.928811641215581</v>
      </c>
      <c r="D901" s="6">
        <f>'3_Survival_Probs'!D901</f>
        <v>0.955649168562324</v>
      </c>
      <c r="E901" s="6">
        <f>'3_Survival_Probs'!D902</f>
        <v>0.955575303968452</v>
      </c>
      <c r="F901" s="8">
        <f t="shared" si="34"/>
        <v>7.38645938718197e-5</v>
      </c>
      <c r="G901" s="29">
        <f>(1-recovery)*notional*C901*F901</f>
        <v>411.637767970843</v>
      </c>
      <c r="H901" s="8">
        <f t="shared" si="33"/>
        <v>1.46610711880027e-5</v>
      </c>
      <c r="I901" s="30"/>
    </row>
    <row r="902" spans="1:9">
      <c r="A902" s="10">
        <v>900</v>
      </c>
      <c r="B902" s="12">
        <f>'2_Discount_Factors'!B903</f>
        <v>2.46575342465753</v>
      </c>
      <c r="C902" s="12">
        <f>EXP(-r_free*(('2_Discount_Factors'!B902+'2_Discount_Factors'!B903)/2))</f>
        <v>0.928735303669944</v>
      </c>
      <c r="D902" s="12">
        <f>'3_Survival_Probs'!D902</f>
        <v>0.955575303968452</v>
      </c>
      <c r="E902" s="12">
        <f>'3_Survival_Probs'!D903</f>
        <v>0.955501445083766</v>
      </c>
      <c r="F902" s="14">
        <f t="shared" si="34"/>
        <v>7.38588846864729e-5</v>
      </c>
      <c r="G902" s="32">
        <f>(1-recovery)*notional*C902*F902</f>
        <v>411.572122188089</v>
      </c>
      <c r="H902" s="14">
        <f t="shared" si="33"/>
        <v>1.48466655949129e-5</v>
      </c>
      <c r="I902" s="33"/>
    </row>
    <row r="903" spans="1:9">
      <c r="A903" s="4">
        <v>901</v>
      </c>
      <c r="B903" s="6">
        <f>'2_Discount_Factors'!B904</f>
        <v>2.46849315068493</v>
      </c>
      <c r="C903" s="6">
        <f>EXP(-r_free*(('2_Discount_Factors'!B903+'2_Discount_Factors'!B904)/2))</f>
        <v>0.928658972398368</v>
      </c>
      <c r="D903" s="6">
        <f>'3_Survival_Probs'!D903</f>
        <v>0.955501445083766</v>
      </c>
      <c r="E903" s="6">
        <f>'3_Survival_Probs'!D904</f>
        <v>0.955427591907823</v>
      </c>
      <c r="F903" s="8">
        <f t="shared" si="34"/>
        <v>7.38531759424399e-5</v>
      </c>
      <c r="G903" s="29">
        <f>(1-recovery)*notional*C903*F903</f>
        <v>411.506486874373</v>
      </c>
      <c r="H903" s="8">
        <f t="shared" si="33"/>
        <v>1.50322004337671e-5</v>
      </c>
      <c r="I903" s="30"/>
    </row>
    <row r="904" spans="1:9">
      <c r="A904" s="10">
        <v>902</v>
      </c>
      <c r="B904" s="12">
        <f>'2_Discount_Factors'!B905</f>
        <v>2.47123287671233</v>
      </c>
      <c r="C904" s="12">
        <f>EXP(-r_free*(('2_Discount_Factors'!B904+'2_Discount_Factors'!B905)/2))</f>
        <v>0.928582647400337</v>
      </c>
      <c r="D904" s="12">
        <f>'3_Survival_Probs'!D904</f>
        <v>0.955427591907823</v>
      </c>
      <c r="E904" s="12">
        <f>'3_Survival_Probs'!D905</f>
        <v>0.955353744440184</v>
      </c>
      <c r="F904" s="14">
        <f t="shared" si="34"/>
        <v>7.38474676396095e-5</v>
      </c>
      <c r="G904" s="32">
        <f>(1-recovery)*notional*C904*F904</f>
        <v>411.440862027596</v>
      </c>
      <c r="H904" s="14">
        <f t="shared" si="33"/>
        <v>1.52176757188289e-5</v>
      </c>
      <c r="I904" s="33"/>
    </row>
    <row r="905" spans="1:9">
      <c r="A905" s="4">
        <v>903</v>
      </c>
      <c r="B905" s="6">
        <f>'2_Discount_Factors'!B906</f>
        <v>2.47397260273973</v>
      </c>
      <c r="C905" s="6">
        <f>EXP(-r_free*(('2_Discount_Factors'!B905+'2_Discount_Factors'!B906)/2))</f>
        <v>0.928506328675336</v>
      </c>
      <c r="D905" s="6">
        <f>'3_Survival_Probs'!D905</f>
        <v>0.955353744440184</v>
      </c>
      <c r="E905" s="6">
        <f>'3_Survival_Probs'!D906</f>
        <v>0.955279902680406</v>
      </c>
      <c r="F905" s="8">
        <f t="shared" si="34"/>
        <v>7.38417597779817e-5</v>
      </c>
      <c r="G905" s="29">
        <f>(1-recovery)*notional*C905*F905</f>
        <v>411.375247646279</v>
      </c>
      <c r="H905" s="8">
        <f t="shared" si="33"/>
        <v>1.54030914643813e-5</v>
      </c>
      <c r="I905" s="30"/>
    </row>
    <row r="906" spans="1:9">
      <c r="A906" s="10">
        <v>904</v>
      </c>
      <c r="B906" s="12">
        <f>'2_Discount_Factors'!B907</f>
        <v>2.47671232876712</v>
      </c>
      <c r="C906" s="12">
        <f>EXP(-r_free*(('2_Discount_Factors'!B906+'2_Discount_Factors'!B907)/2))</f>
        <v>0.928430016222849</v>
      </c>
      <c r="D906" s="12">
        <f>'3_Survival_Probs'!D906</f>
        <v>0.955279902680406</v>
      </c>
      <c r="E906" s="12">
        <f>'3_Survival_Probs'!D907</f>
        <v>0.955206066628048</v>
      </c>
      <c r="F906" s="14">
        <f t="shared" si="34"/>
        <v>7.38360523575565e-5</v>
      </c>
      <c r="G906" s="32">
        <f>(1-recovery)*notional*C906*F906</f>
        <v>411.309643728944</v>
      </c>
      <c r="H906" s="14">
        <f t="shared" si="33"/>
        <v>1.55884476847043e-5</v>
      </c>
      <c r="I906" s="33"/>
    </row>
    <row r="907" spans="1:9">
      <c r="A907" s="4">
        <v>905</v>
      </c>
      <c r="B907" s="6">
        <f>'2_Discount_Factors'!B908</f>
        <v>2.47945205479452</v>
      </c>
      <c r="C907" s="6">
        <f>EXP(-r_free*(('2_Discount_Factors'!B907+'2_Discount_Factors'!B908)/2))</f>
        <v>0.92835371004236</v>
      </c>
      <c r="D907" s="6">
        <f>'3_Survival_Probs'!D907</f>
        <v>0.955206066628048</v>
      </c>
      <c r="E907" s="6">
        <f>'3_Survival_Probs'!D908</f>
        <v>0.95513223628267</v>
      </c>
      <c r="F907" s="8">
        <f t="shared" si="34"/>
        <v>7.3830345378223e-5</v>
      </c>
      <c r="G907" s="29">
        <f>(1-recovery)*notional*C907*F907</f>
        <v>411.244050273493</v>
      </c>
      <c r="H907" s="8">
        <f t="shared" si="33"/>
        <v>1.57737443940518e-5</v>
      </c>
      <c r="I907" s="30"/>
    </row>
    <row r="908" spans="1:9">
      <c r="A908" s="10">
        <v>906</v>
      </c>
      <c r="B908" s="12">
        <f>'2_Discount_Factors'!B909</f>
        <v>2.48219178082192</v>
      </c>
      <c r="C908" s="12">
        <f>EXP(-r_free*(('2_Discount_Factors'!B908+'2_Discount_Factors'!B909)/2))</f>
        <v>0.928277410133355</v>
      </c>
      <c r="D908" s="12">
        <f>'3_Survival_Probs'!D908</f>
        <v>0.95513223628267</v>
      </c>
      <c r="E908" s="12">
        <f>'3_Survival_Probs'!D909</f>
        <v>0.95505841164383</v>
      </c>
      <c r="F908" s="14">
        <f t="shared" si="34"/>
        <v>7.3824638840092e-5</v>
      </c>
      <c r="G908" s="32">
        <f>(1-recovery)*notional*C908*F908</f>
        <v>411.178467279066</v>
      </c>
      <c r="H908" s="14">
        <f t="shared" si="33"/>
        <v>1.59589816067218e-5</v>
      </c>
      <c r="I908" s="33"/>
    </row>
    <row r="909" spans="1:9">
      <c r="A909" s="4">
        <v>907</v>
      </c>
      <c r="B909" s="6">
        <f>'2_Discount_Factors'!B910</f>
        <v>2.48493150684931</v>
      </c>
      <c r="C909" s="6">
        <f>EXP(-r_free*(('2_Discount_Factors'!B909+'2_Discount_Factors'!B910)/2))</f>
        <v>0.928201116495317</v>
      </c>
      <c r="D909" s="6">
        <f>'3_Survival_Probs'!D909</f>
        <v>0.95505841164383</v>
      </c>
      <c r="E909" s="6">
        <f>'3_Survival_Probs'!D910</f>
        <v>0.954984592711087</v>
      </c>
      <c r="F909" s="8">
        <f t="shared" si="34"/>
        <v>7.38189327429417e-5</v>
      </c>
      <c r="G909" s="29">
        <f>(1-recovery)*notional*C909*F909</f>
        <v>411.112894742947</v>
      </c>
      <c r="H909" s="8">
        <f t="shared" si="33"/>
        <v>1.61441593369377e-5</v>
      </c>
      <c r="I909" s="30"/>
    </row>
    <row r="910" spans="1:9">
      <c r="A910" s="10">
        <v>908</v>
      </c>
      <c r="B910" s="12">
        <f>'2_Discount_Factors'!B911</f>
        <v>2.48767123287671</v>
      </c>
      <c r="C910" s="12">
        <f>EXP(-r_free*(('2_Discount_Factors'!B910+'2_Discount_Factors'!B911)/2))</f>
        <v>0.928124829127732</v>
      </c>
      <c r="D910" s="12">
        <f>'3_Survival_Probs'!D910</f>
        <v>0.954984592711087</v>
      </c>
      <c r="E910" s="12">
        <f>'3_Survival_Probs'!D911</f>
        <v>0.954910779484</v>
      </c>
      <c r="F910" s="14">
        <f t="shared" si="34"/>
        <v>7.3813227086883e-5</v>
      </c>
      <c r="G910" s="32">
        <f>(1-recovery)*notional*C910*F910</f>
        <v>411.047332664278</v>
      </c>
      <c r="H910" s="14">
        <f t="shared" si="33"/>
        <v>1.63292775989919e-5</v>
      </c>
      <c r="I910" s="33"/>
    </row>
    <row r="911" spans="1:9">
      <c r="A911" s="4">
        <v>909</v>
      </c>
      <c r="B911" s="6">
        <f>'2_Discount_Factors'!B912</f>
        <v>2.49041095890411</v>
      </c>
      <c r="C911" s="6">
        <f>EXP(-r_free*(('2_Discount_Factors'!B911+'2_Discount_Factors'!B912)/2))</f>
        <v>0.928048548030083</v>
      </c>
      <c r="D911" s="6">
        <f>'3_Survival_Probs'!D911</f>
        <v>0.954910779484</v>
      </c>
      <c r="E911" s="6">
        <f>'3_Survival_Probs'!D912</f>
        <v>0.954836971962128</v>
      </c>
      <c r="F911" s="8">
        <f t="shared" si="34"/>
        <v>7.38075218718048e-5</v>
      </c>
      <c r="G911" s="29">
        <f>(1-recovery)*notional*C911*F911</f>
        <v>410.981781040963</v>
      </c>
      <c r="H911" s="8">
        <f t="shared" si="33"/>
        <v>1.65143364071255e-5</v>
      </c>
      <c r="I911" s="30"/>
    </row>
    <row r="912" spans="1:9">
      <c r="A912" s="10">
        <v>910</v>
      </c>
      <c r="B912" s="12">
        <f>'2_Discount_Factors'!B913</f>
        <v>2.49315068493151</v>
      </c>
      <c r="C912" s="12">
        <f>EXP(-r_free*(('2_Discount_Factors'!B912+'2_Discount_Factors'!B913)/2))</f>
        <v>0.927972273201856</v>
      </c>
      <c r="D912" s="12">
        <f>'3_Survival_Probs'!D912</f>
        <v>0.954836971962128</v>
      </c>
      <c r="E912" s="12">
        <f>'3_Survival_Probs'!D913</f>
        <v>0.95476317014503</v>
      </c>
      <c r="F912" s="14">
        <f t="shared" si="34"/>
        <v>7.38018170977073e-5</v>
      </c>
      <c r="G912" s="32">
        <f>(1-recovery)*notional*C912*F912</f>
        <v>410.916239871522</v>
      </c>
      <c r="H912" s="14">
        <f t="shared" si="33"/>
        <v>1.66993357756007e-5</v>
      </c>
      <c r="I912" s="33"/>
    </row>
    <row r="913" spans="1:9">
      <c r="A913" s="4">
        <v>911</v>
      </c>
      <c r="B913" s="6">
        <f>'2_Discount_Factors'!B914</f>
        <v>2.4958904109589</v>
      </c>
      <c r="C913" s="6">
        <f>EXP(-r_free*(('2_Discount_Factors'!B913+'2_Discount_Factors'!B914)/2))</f>
        <v>0.927896004642536</v>
      </c>
      <c r="D913" s="6">
        <f>'3_Survival_Probs'!D913</f>
        <v>0.95476317014503</v>
      </c>
      <c r="E913" s="6">
        <f>'3_Survival_Probs'!D914</f>
        <v>0.954689374032266</v>
      </c>
      <c r="F913" s="8">
        <f t="shared" si="34"/>
        <v>7.37961127644793e-5</v>
      </c>
      <c r="G913" s="29">
        <f>(1-recovery)*notional*C913*F913</f>
        <v>410.850709153862</v>
      </c>
      <c r="H913" s="8">
        <f t="shared" si="33"/>
        <v>1.68842757186519e-5</v>
      </c>
      <c r="I913" s="30"/>
    </row>
    <row r="914" spans="1:9">
      <c r="A914" s="34">
        <v>912</v>
      </c>
      <c r="B914" s="35">
        <f>'2_Discount_Factors'!B915</f>
        <v>2.4986301369863</v>
      </c>
      <c r="C914" s="35">
        <f>EXP(-r_free*(('2_Discount_Factors'!B914+'2_Discount_Factors'!B915)/2))</f>
        <v>0.927819742351606</v>
      </c>
      <c r="D914" s="35">
        <f>'3_Survival_Probs'!D914</f>
        <v>0.954689374032266</v>
      </c>
      <c r="E914" s="35">
        <f>'3_Survival_Probs'!D915</f>
        <v>0.954615583623394</v>
      </c>
      <c r="F914" s="36">
        <f t="shared" si="34"/>
        <v>7.37904088722319e-5</v>
      </c>
      <c r="G914" s="37">
        <f>(1-recovery)*notional*C914*F914</f>
        <v>410.785188887123</v>
      </c>
      <c r="H914" s="36">
        <f t="shared" si="33"/>
        <v>1.70691562505609e-5</v>
      </c>
      <c r="I914" s="38" t="s">
        <v>71</v>
      </c>
    </row>
    <row r="915" spans="1:9">
      <c r="A915" s="4">
        <v>913</v>
      </c>
      <c r="B915" s="6">
        <f>'2_Discount_Factors'!B916</f>
        <v>2.5013698630137</v>
      </c>
      <c r="C915" s="6">
        <f>EXP(-r_free*(('2_Discount_Factors'!B915+'2_Discount_Factors'!B916)/2))</f>
        <v>0.927743486328553</v>
      </c>
      <c r="D915" s="6">
        <f>'3_Survival_Probs'!D915</f>
        <v>0.954615583623394</v>
      </c>
      <c r="E915" s="6">
        <f>'3_Survival_Probs'!D916</f>
        <v>0.954541798917973</v>
      </c>
      <c r="F915" s="8">
        <f t="shared" si="34"/>
        <v>7.3784705420854e-5</v>
      </c>
      <c r="G915" s="29">
        <f>(1-recovery)*notional*C915*F915</f>
        <v>410.71967906921</v>
      </c>
      <c r="H915" s="8">
        <f t="shared" ref="H915:H978" si="35">C915*(B915-2.4986301369863)*F915</f>
        <v>1.87543232451792e-7</v>
      </c>
      <c r="I915" s="30"/>
    </row>
    <row r="916" spans="1:9">
      <c r="A916" s="10">
        <v>914</v>
      </c>
      <c r="B916" s="12">
        <f>'2_Discount_Factors'!B917</f>
        <v>2.5041095890411</v>
      </c>
      <c r="C916" s="12">
        <f>EXP(-r_free*(('2_Discount_Factors'!B916+'2_Discount_Factors'!B917)/2))</f>
        <v>0.92766723657286</v>
      </c>
      <c r="D916" s="12">
        <f>'3_Survival_Probs'!D916</f>
        <v>0.954541798917973</v>
      </c>
      <c r="E916" s="12">
        <f>'3_Survival_Probs'!D917</f>
        <v>0.954468019915563</v>
      </c>
      <c r="F916" s="14">
        <f t="shared" si="34"/>
        <v>7.37790024103457e-5</v>
      </c>
      <c r="G916" s="32">
        <f>(1-recovery)*notional*C916*F916</f>
        <v>410.654179698647</v>
      </c>
      <c r="H916" s="14">
        <f t="shared" si="35"/>
        <v>3.75026648126723e-7</v>
      </c>
      <c r="I916" s="33"/>
    </row>
    <row r="917" spans="1:9">
      <c r="A917" s="4">
        <v>915</v>
      </c>
      <c r="B917" s="6">
        <f>'2_Discount_Factors'!B918</f>
        <v>2.50684931506849</v>
      </c>
      <c r="C917" s="6">
        <f>EXP(-r_free*(('2_Discount_Factors'!B917+'2_Discount_Factors'!B918)/2))</f>
        <v>0.927590993084013</v>
      </c>
      <c r="D917" s="6">
        <f>'3_Survival_Probs'!D917</f>
        <v>0.954468019915563</v>
      </c>
      <c r="E917" s="6">
        <f>'3_Survival_Probs'!D918</f>
        <v>0.954394246615722</v>
      </c>
      <c r="F917" s="8">
        <f t="shared" si="34"/>
        <v>7.3773299840596e-5</v>
      </c>
      <c r="G917" s="29">
        <f>(1-recovery)*notional*C917*F917</f>
        <v>410.588690773339</v>
      </c>
      <c r="H917" s="8">
        <f t="shared" si="35"/>
        <v>5.62450261333422e-7</v>
      </c>
      <c r="I917" s="30"/>
    </row>
    <row r="918" spans="1:9">
      <c r="A918" s="10">
        <v>916</v>
      </c>
      <c r="B918" s="12">
        <f>'2_Discount_Factors'!B919</f>
        <v>2.50958904109589</v>
      </c>
      <c r="C918" s="12">
        <f>EXP(-r_free*(('2_Discount_Factors'!B918+'2_Discount_Factors'!B919)/2))</f>
        <v>0.927514755861497</v>
      </c>
      <c r="D918" s="12">
        <f>'3_Survival_Probs'!D918</f>
        <v>0.954394246615722</v>
      </c>
      <c r="E918" s="12">
        <f>'3_Survival_Probs'!D919</f>
        <v>0.95432047901801</v>
      </c>
      <c r="F918" s="14">
        <f t="shared" si="34"/>
        <v>7.37675977114938e-5</v>
      </c>
      <c r="G918" s="32">
        <f>(1-recovery)*notional*C918*F918</f>
        <v>410.523212291191</v>
      </c>
      <c r="H918" s="14">
        <f t="shared" si="35"/>
        <v>7.49814086376694e-7</v>
      </c>
      <c r="I918" s="33"/>
    </row>
    <row r="919" spans="1:9">
      <c r="A919" s="4">
        <v>917</v>
      </c>
      <c r="B919" s="6">
        <f>'2_Discount_Factors'!B920</f>
        <v>2.51232876712329</v>
      </c>
      <c r="C919" s="6">
        <f>EXP(-r_free*(('2_Discount_Factors'!B919+'2_Discount_Factors'!B920)/2))</f>
        <v>0.927438524904796</v>
      </c>
      <c r="D919" s="6">
        <f>'3_Survival_Probs'!D919</f>
        <v>0.95432047901801</v>
      </c>
      <c r="E919" s="6">
        <f>'3_Survival_Probs'!D920</f>
        <v>0.954246717121987</v>
      </c>
      <c r="F919" s="8">
        <f t="shared" si="34"/>
        <v>7.37618960232611e-5</v>
      </c>
      <c r="G919" s="29">
        <f>(1-recovery)*notional*C919*F919</f>
        <v>410.457744251965</v>
      </c>
      <c r="H919" s="8">
        <f t="shared" si="35"/>
        <v>9.37118137561659e-7</v>
      </c>
      <c r="I919" s="30"/>
    </row>
    <row r="920" spans="1:9">
      <c r="A920" s="10">
        <v>918</v>
      </c>
      <c r="B920" s="12">
        <f>'2_Discount_Factors'!B921</f>
        <v>2.51506849315068</v>
      </c>
      <c r="C920" s="12">
        <f>EXP(-r_free*(('2_Discount_Factors'!B920+'2_Discount_Factors'!B921)/2))</f>
        <v>0.927362300213395</v>
      </c>
      <c r="D920" s="12">
        <f>'3_Survival_Probs'!D920</f>
        <v>0.954246717121987</v>
      </c>
      <c r="E920" s="12">
        <f>'3_Survival_Probs'!D921</f>
        <v>0.954172960927211</v>
      </c>
      <c r="F920" s="14">
        <f t="shared" si="34"/>
        <v>7.3756194775676e-5</v>
      </c>
      <c r="G920" s="32">
        <f>(1-recovery)*notional*C920*F920</f>
        <v>410.392286652948</v>
      </c>
      <c r="H920" s="14">
        <f t="shared" si="35"/>
        <v>1.12436242918626e-6</v>
      </c>
      <c r="I920" s="33"/>
    </row>
    <row r="921" spans="1:9">
      <c r="A921" s="4">
        <v>919</v>
      </c>
      <c r="B921" s="6">
        <f>'2_Discount_Factors'!B922</f>
        <v>2.51780821917808</v>
      </c>
      <c r="C921" s="6">
        <f>EXP(-r_free*(('2_Discount_Factors'!B921+'2_Discount_Factors'!B922)/2))</f>
        <v>0.927286081786781</v>
      </c>
      <c r="D921" s="6">
        <f>'3_Survival_Probs'!D921</f>
        <v>0.954172960927211</v>
      </c>
      <c r="E921" s="6">
        <f>'3_Survival_Probs'!D922</f>
        <v>0.954099210433243</v>
      </c>
      <c r="F921" s="8">
        <f t="shared" si="34"/>
        <v>7.37504939688494e-5</v>
      </c>
      <c r="G921" s="29">
        <f>(1-recovery)*notional*C921*F921</f>
        <v>410.326839493284</v>
      </c>
      <c r="H921" s="8">
        <f t="shared" si="35"/>
        <v>1.31154697554942e-6</v>
      </c>
      <c r="I921" s="30"/>
    </row>
    <row r="922" spans="1:9">
      <c r="A922" s="10">
        <v>920</v>
      </c>
      <c r="B922" s="12">
        <f>'2_Discount_Factors'!B923</f>
        <v>2.52054794520548</v>
      </c>
      <c r="C922" s="12">
        <f>EXP(-r_free*(('2_Discount_Factors'!B922+'2_Discount_Factors'!B923)/2))</f>
        <v>0.927209869624437</v>
      </c>
      <c r="D922" s="12">
        <f>'3_Survival_Probs'!D922</f>
        <v>0.954099210433243</v>
      </c>
      <c r="E922" s="12">
        <f>'3_Survival_Probs'!D923</f>
        <v>0.95402546563964</v>
      </c>
      <c r="F922" s="14">
        <f t="shared" si="34"/>
        <v>7.37447936025593e-5</v>
      </c>
      <c r="G922" s="32">
        <f>(1-recovery)*notional*C922*F922</f>
        <v>410.26140277026</v>
      </c>
      <c r="H922" s="14">
        <f t="shared" si="35"/>
        <v>1.49867179094167e-6</v>
      </c>
      <c r="I922" s="33"/>
    </row>
    <row r="923" spans="1:9">
      <c r="A923" s="4">
        <v>921</v>
      </c>
      <c r="B923" s="6">
        <f>'2_Discount_Factors'!B924</f>
        <v>2.52328767123288</v>
      </c>
      <c r="C923" s="6">
        <f>EXP(-r_free*(('2_Discount_Factors'!B923+'2_Discount_Factors'!B924)/2))</f>
        <v>0.927133663725849</v>
      </c>
      <c r="D923" s="6">
        <f>'3_Survival_Probs'!D923</f>
        <v>0.95402546563964</v>
      </c>
      <c r="E923" s="6">
        <f>'3_Survival_Probs'!D924</f>
        <v>0.953951726545963</v>
      </c>
      <c r="F923" s="8">
        <f t="shared" si="34"/>
        <v>7.37390936769167e-5</v>
      </c>
      <c r="G923" s="29">
        <f>(1-recovery)*notional*C923*F923</f>
        <v>410.19597648302</v>
      </c>
      <c r="H923" s="8">
        <f t="shared" si="35"/>
        <v>1.68573688965634e-6</v>
      </c>
      <c r="I923" s="30"/>
    </row>
    <row r="924" spans="1:9">
      <c r="A924" s="10">
        <v>922</v>
      </c>
      <c r="B924" s="12">
        <f>'2_Discount_Factors'!B925</f>
        <v>2.52602739726027</v>
      </c>
      <c r="C924" s="12">
        <f>EXP(-r_free*(('2_Discount_Factors'!B924+'2_Discount_Factors'!B925)/2))</f>
        <v>0.927057464090502</v>
      </c>
      <c r="D924" s="12">
        <f>'3_Survival_Probs'!D924</f>
        <v>0.953951726545963</v>
      </c>
      <c r="E924" s="12">
        <f>'3_Survival_Probs'!D925</f>
        <v>0.953877993151771</v>
      </c>
      <c r="F924" s="14">
        <f t="shared" si="34"/>
        <v>7.37333941918106e-5</v>
      </c>
      <c r="G924" s="32">
        <f>(1-recovery)*notional*C924*F924</f>
        <v>410.130560629472</v>
      </c>
      <c r="H924" s="14">
        <f t="shared" si="35"/>
        <v>1.87274228597942e-6</v>
      </c>
      <c r="I924" s="33"/>
    </row>
    <row r="925" spans="1:9">
      <c r="A925" s="4">
        <v>923</v>
      </c>
      <c r="B925" s="6">
        <f>'2_Discount_Factors'!B926</f>
        <v>2.52876712328767</v>
      </c>
      <c r="C925" s="6">
        <f>EXP(-r_free*(('2_Discount_Factors'!B925+'2_Discount_Factors'!B926)/2))</f>
        <v>0.926981270717882</v>
      </c>
      <c r="D925" s="6">
        <f>'3_Survival_Probs'!D925</f>
        <v>0.953877993151771</v>
      </c>
      <c r="E925" s="6">
        <f>'3_Survival_Probs'!D926</f>
        <v>0.953804265456624</v>
      </c>
      <c r="F925" s="8">
        <f t="shared" si="34"/>
        <v>7.3727695147241e-5</v>
      </c>
      <c r="G925" s="29">
        <f>(1-recovery)*notional*C925*F925</f>
        <v>410.06515520814</v>
      </c>
      <c r="H925" s="8">
        <f t="shared" si="35"/>
        <v>2.05968799419624e-6</v>
      </c>
      <c r="I925" s="30"/>
    </row>
    <row r="926" spans="1:9">
      <c r="A926" s="10">
        <v>924</v>
      </c>
      <c r="B926" s="12">
        <f>'2_Discount_Factors'!B927</f>
        <v>2.53150684931507</v>
      </c>
      <c r="C926" s="12">
        <f>EXP(-r_free*(('2_Discount_Factors'!B926+'2_Discount_Factors'!B927)/2))</f>
        <v>0.926905083607473</v>
      </c>
      <c r="D926" s="12">
        <f>'3_Survival_Probs'!D926</f>
        <v>0.953804265456624</v>
      </c>
      <c r="E926" s="12">
        <f>'3_Survival_Probs'!D927</f>
        <v>0.953730543460081</v>
      </c>
      <c r="F926" s="14">
        <f t="shared" si="34"/>
        <v>7.37219965430969e-5</v>
      </c>
      <c r="G926" s="32">
        <f>(1-recovery)*notional*C926*F926</f>
        <v>409.999760216934</v>
      </c>
      <c r="H926" s="14">
        <f t="shared" si="35"/>
        <v>2.24657402858602e-6</v>
      </c>
      <c r="I926" s="33"/>
    </row>
    <row r="927" spans="1:9">
      <c r="A927" s="4">
        <v>925</v>
      </c>
      <c r="B927" s="6">
        <f>'2_Discount_Factors'!B928</f>
        <v>2.53424657534247</v>
      </c>
      <c r="C927" s="6">
        <f>EXP(-r_free*(('2_Discount_Factors'!B927+'2_Discount_Factors'!B928)/2))</f>
        <v>0.926828902758761</v>
      </c>
      <c r="D927" s="6">
        <f>'3_Survival_Probs'!D927</f>
        <v>0.953730543460081</v>
      </c>
      <c r="E927" s="6">
        <f>'3_Survival_Probs'!D928</f>
        <v>0.953656827161702</v>
      </c>
      <c r="F927" s="8">
        <f t="shared" si="34"/>
        <v>7.37162983794892e-5</v>
      </c>
      <c r="G927" s="29">
        <f>(1-recovery)*notional*C927*F927</f>
        <v>409.934375654997</v>
      </c>
      <c r="H927" s="8">
        <f t="shared" si="35"/>
        <v>2.43340040343158e-6</v>
      </c>
      <c r="I927" s="30"/>
    </row>
    <row r="928" spans="1:9">
      <c r="A928" s="10">
        <v>926</v>
      </c>
      <c r="B928" s="12">
        <f>'2_Discount_Factors'!B929</f>
        <v>2.53698630136986</v>
      </c>
      <c r="C928" s="12">
        <f>EXP(-r_free*(('2_Discount_Factors'!B928+'2_Discount_Factors'!B929)/2))</f>
        <v>0.926752728171231</v>
      </c>
      <c r="D928" s="12">
        <f>'3_Survival_Probs'!D928</f>
        <v>0.953656827161702</v>
      </c>
      <c r="E928" s="12">
        <f>'3_Survival_Probs'!D929</f>
        <v>0.953583116561045</v>
      </c>
      <c r="F928" s="14">
        <f t="shared" si="34"/>
        <v>7.37106006563071e-5</v>
      </c>
      <c r="G928" s="32">
        <f>(1-recovery)*notional*C928*F928</f>
        <v>409.869001520236</v>
      </c>
      <c r="H928" s="14">
        <f t="shared" si="35"/>
        <v>2.62016713300617e-6</v>
      </c>
      <c r="I928" s="33"/>
    </row>
    <row r="929" spans="1:9">
      <c r="A929" s="4">
        <v>927</v>
      </c>
      <c r="B929" s="6">
        <f>'2_Discount_Factors'!B930</f>
        <v>2.53972602739726</v>
      </c>
      <c r="C929" s="6">
        <f>EXP(-r_free*(('2_Discount_Factors'!B929+'2_Discount_Factors'!B930)/2))</f>
        <v>0.926676559844369</v>
      </c>
      <c r="D929" s="6">
        <f>'3_Survival_Probs'!D929</f>
        <v>0.953583116561045</v>
      </c>
      <c r="E929" s="6">
        <f>'3_Survival_Probs'!D930</f>
        <v>0.953509411657672</v>
      </c>
      <c r="F929" s="8">
        <f t="shared" si="34"/>
        <v>7.37049033734394e-5</v>
      </c>
      <c r="G929" s="29">
        <f>(1-recovery)*notional*C929*F929</f>
        <v>409.803637810563</v>
      </c>
      <c r="H929" s="8">
        <f t="shared" si="35"/>
        <v>2.8068742315793e-6</v>
      </c>
      <c r="I929" s="30"/>
    </row>
    <row r="930" spans="1:9">
      <c r="A930" s="10">
        <v>928</v>
      </c>
      <c r="B930" s="12">
        <f>'2_Discount_Factors'!B931</f>
        <v>2.54246575342466</v>
      </c>
      <c r="C930" s="12">
        <f>EXP(-r_free*(('2_Discount_Factors'!B930+'2_Discount_Factors'!B931)/2))</f>
        <v>0.926600397777661</v>
      </c>
      <c r="D930" s="12">
        <f>'3_Survival_Probs'!D930</f>
        <v>0.953509411657672</v>
      </c>
      <c r="E930" s="12">
        <f>'3_Survival_Probs'!D931</f>
        <v>0.953435712451141</v>
      </c>
      <c r="F930" s="14">
        <f t="shared" si="34"/>
        <v>7.36992065309972e-5</v>
      </c>
      <c r="G930" s="32">
        <f>(1-recovery)*notional*C930*F930</f>
        <v>409.73828452512</v>
      </c>
      <c r="H930" s="14">
        <f t="shared" si="35"/>
        <v>2.99352171342564e-6</v>
      </c>
      <c r="I930" s="33"/>
    </row>
    <row r="931" spans="1:9">
      <c r="A931" s="4">
        <v>929</v>
      </c>
      <c r="B931" s="6">
        <f>'2_Discount_Factors'!B932</f>
        <v>2.54520547945205</v>
      </c>
      <c r="C931" s="6">
        <f>EXP(-r_free*(('2_Discount_Factors'!B931+'2_Discount_Factors'!B932)/2))</f>
        <v>0.926524241970591</v>
      </c>
      <c r="D931" s="6">
        <f>'3_Survival_Probs'!D931</f>
        <v>0.953435712451141</v>
      </c>
      <c r="E931" s="6">
        <f>'3_Survival_Probs'!D932</f>
        <v>0.953362018941012</v>
      </c>
      <c r="F931" s="8">
        <f t="shared" si="34"/>
        <v>7.36935101288694e-5</v>
      </c>
      <c r="G931" s="29">
        <f>(1-recovery)*notional*C931*F931</f>
        <v>409.672941661816</v>
      </c>
      <c r="H931" s="8">
        <f t="shared" si="35"/>
        <v>3.18010959280871e-6</v>
      </c>
      <c r="I931" s="30"/>
    </row>
    <row r="932" spans="1:9">
      <c r="A932" s="10">
        <v>930</v>
      </c>
      <c r="B932" s="12">
        <f>'2_Discount_Factors'!B933</f>
        <v>2.54794520547945</v>
      </c>
      <c r="C932" s="12">
        <f>EXP(-r_free*(('2_Discount_Factors'!B932+'2_Discount_Factors'!B933)/2))</f>
        <v>0.926448092422645</v>
      </c>
      <c r="D932" s="12">
        <f>'3_Survival_Probs'!D932</f>
        <v>0.953362018941012</v>
      </c>
      <c r="E932" s="12">
        <f>'3_Survival_Probs'!D933</f>
        <v>0.953288331126845</v>
      </c>
      <c r="F932" s="14">
        <f t="shared" si="34"/>
        <v>7.36878141670561e-5</v>
      </c>
      <c r="G932" s="32">
        <f>(1-recovery)*notional*C932*F932</f>
        <v>409.607609219181</v>
      </c>
      <c r="H932" s="14">
        <f t="shared" si="35"/>
        <v>3.36663788399336e-6</v>
      </c>
      <c r="I932" s="33"/>
    </row>
    <row r="933" spans="1:9">
      <c r="A933" s="4">
        <v>931</v>
      </c>
      <c r="B933" s="6">
        <f>'2_Discount_Factors'!B934</f>
        <v>2.55068493150685</v>
      </c>
      <c r="C933" s="6">
        <f>EXP(-r_free*(('2_Discount_Factors'!B933+'2_Discount_Factors'!B934)/2))</f>
        <v>0.926371949133309</v>
      </c>
      <c r="D933" s="6">
        <f>'3_Survival_Probs'!D933</f>
        <v>0.953288331126845</v>
      </c>
      <c r="E933" s="6">
        <f>'3_Survival_Probs'!D934</f>
        <v>0.953214649008199</v>
      </c>
      <c r="F933" s="8">
        <f t="shared" si="34"/>
        <v>7.36821186454462e-5</v>
      </c>
      <c r="G933" s="29">
        <f>(1-recovery)*notional*C933*F933</f>
        <v>409.542287195122</v>
      </c>
      <c r="H933" s="8">
        <f t="shared" si="35"/>
        <v>3.55310660123632e-6</v>
      </c>
      <c r="I933" s="30"/>
    </row>
    <row r="934" spans="1:9">
      <c r="A934" s="10">
        <v>932</v>
      </c>
      <c r="B934" s="12">
        <f>'2_Discount_Factors'!B935</f>
        <v>2.55342465753425</v>
      </c>
      <c r="C934" s="12">
        <f>EXP(-r_free*(('2_Discount_Factors'!B934+'2_Discount_Factors'!B935)/2))</f>
        <v>0.926295812102068</v>
      </c>
      <c r="D934" s="12">
        <f>'3_Survival_Probs'!D934</f>
        <v>0.953214649008199</v>
      </c>
      <c r="E934" s="12">
        <f>'3_Survival_Probs'!D935</f>
        <v>0.953140972584635</v>
      </c>
      <c r="F934" s="14">
        <f t="shared" si="34"/>
        <v>7.36764235640397e-5</v>
      </c>
      <c r="G934" s="32">
        <f>(1-recovery)*notional*C934*F934</f>
        <v>409.476975588169</v>
      </c>
      <c r="H934" s="14">
        <f t="shared" si="35"/>
        <v>3.73951575879616e-6</v>
      </c>
      <c r="I934" s="33"/>
    </row>
    <row r="935" spans="1:9">
      <c r="A935" s="4">
        <v>933</v>
      </c>
      <c r="B935" s="6">
        <f>'2_Discount_Factors'!B936</f>
        <v>2.55616438356164</v>
      </c>
      <c r="C935" s="6">
        <f>EXP(-r_free*(('2_Discount_Factors'!B935+'2_Discount_Factors'!B936)/2))</f>
        <v>0.926219681328408</v>
      </c>
      <c r="D935" s="6">
        <f>'3_Survival_Probs'!D935</f>
        <v>0.953140972584635</v>
      </c>
      <c r="E935" s="6">
        <f>'3_Survival_Probs'!D936</f>
        <v>0.953067301855712</v>
      </c>
      <c r="F935" s="8">
        <f t="shared" si="34"/>
        <v>7.36707289229477e-5</v>
      </c>
      <c r="G935" s="29">
        <f>(1-recovery)*notional*C935*F935</f>
        <v>409.411674397465</v>
      </c>
      <c r="H935" s="8">
        <f t="shared" si="35"/>
        <v>3.92586537093468e-6</v>
      </c>
      <c r="I935" s="30"/>
    </row>
    <row r="936" spans="1:9">
      <c r="A936" s="10">
        <v>934</v>
      </c>
      <c r="B936" s="12">
        <f>'2_Discount_Factors'!B937</f>
        <v>2.55890410958904</v>
      </c>
      <c r="C936" s="12">
        <f>EXP(-r_free*(('2_Discount_Factors'!B936+'2_Discount_Factors'!B937)/2))</f>
        <v>0.926143556811815</v>
      </c>
      <c r="D936" s="12">
        <f>'3_Survival_Probs'!D936</f>
        <v>0.953067301855712</v>
      </c>
      <c r="E936" s="12">
        <f>'3_Survival_Probs'!D937</f>
        <v>0.95299363682099</v>
      </c>
      <c r="F936" s="14">
        <f t="shared" si="34"/>
        <v>7.36650347219481e-5</v>
      </c>
      <c r="G936" s="32">
        <f>(1-recovery)*notional*C936*F936</f>
        <v>409.346383620305</v>
      </c>
      <c r="H936" s="14">
        <f t="shared" si="35"/>
        <v>4.11215545189356e-6</v>
      </c>
      <c r="I936" s="33"/>
    </row>
    <row r="937" spans="1:9">
      <c r="A937" s="4">
        <v>935</v>
      </c>
      <c r="B937" s="6">
        <f>'2_Discount_Factors'!B938</f>
        <v>2.56164383561644</v>
      </c>
      <c r="C937" s="6">
        <f>EXP(-r_free*(('2_Discount_Factors'!B937+'2_Discount_Factors'!B938)/2))</f>
        <v>0.926067438551775</v>
      </c>
      <c r="D937" s="6">
        <f>'3_Survival_Probs'!D937</f>
        <v>0.95299363682099</v>
      </c>
      <c r="E937" s="6">
        <f>'3_Survival_Probs'!D938</f>
        <v>0.952919977480029</v>
      </c>
      <c r="F937" s="8">
        <f t="shared" si="34"/>
        <v>7.36593409610409e-5</v>
      </c>
      <c r="G937" s="29">
        <f>(1-recovery)*notional*C937*F937</f>
        <v>409.281103255218</v>
      </c>
      <c r="H937" s="8">
        <f t="shared" si="35"/>
        <v>4.29838601592247e-6</v>
      </c>
      <c r="I937" s="30"/>
    </row>
    <row r="938" spans="1:9">
      <c r="A938" s="10">
        <v>936</v>
      </c>
      <c r="B938" s="12">
        <f>'2_Discount_Factors'!B939</f>
        <v>2.56438356164384</v>
      </c>
      <c r="C938" s="12">
        <f>EXP(-r_free*(('2_Discount_Factors'!B938+'2_Discount_Factors'!B939)/2))</f>
        <v>0.925991326547772</v>
      </c>
      <c r="D938" s="12">
        <f>'3_Survival_Probs'!D938</f>
        <v>0.952919977480029</v>
      </c>
      <c r="E938" s="12">
        <f>'3_Survival_Probs'!D939</f>
        <v>0.952846323832389</v>
      </c>
      <c r="F938" s="14">
        <f t="shared" si="34"/>
        <v>7.36536476402261e-5</v>
      </c>
      <c r="G938" s="32">
        <f>(1-recovery)*notional*C938*F938</f>
        <v>409.215833300731</v>
      </c>
      <c r="H938" s="14">
        <f t="shared" si="35"/>
        <v>4.48455707726839e-6</v>
      </c>
      <c r="I938" s="33"/>
    </row>
    <row r="939" spans="1:9">
      <c r="A939" s="4">
        <v>937</v>
      </c>
      <c r="B939" s="6">
        <f>'2_Discount_Factors'!B940</f>
        <v>2.56712328767123</v>
      </c>
      <c r="C939" s="6">
        <f>EXP(-r_free*(('2_Discount_Factors'!B939+'2_Discount_Factors'!B940)/2))</f>
        <v>0.925915220799294</v>
      </c>
      <c r="D939" s="6">
        <f>'3_Survival_Probs'!D939</f>
        <v>0.952846323832389</v>
      </c>
      <c r="E939" s="6">
        <f>'3_Survival_Probs'!D940</f>
        <v>0.95277267587763</v>
      </c>
      <c r="F939" s="8">
        <f t="shared" si="34"/>
        <v>7.36479547593927e-5</v>
      </c>
      <c r="G939" s="29">
        <f>(1-recovery)*notional*C939*F939</f>
        <v>409.150573754757</v>
      </c>
      <c r="H939" s="8">
        <f t="shared" si="35"/>
        <v>4.67066865016854e-6</v>
      </c>
      <c r="I939" s="30"/>
    </row>
    <row r="940" spans="1:9">
      <c r="A940" s="10">
        <v>938</v>
      </c>
      <c r="B940" s="12">
        <f>'2_Discount_Factors'!B941</f>
        <v>2.56986301369863</v>
      </c>
      <c r="C940" s="12">
        <f>EXP(-r_free*(('2_Discount_Factors'!B940+'2_Discount_Factors'!B941)/2))</f>
        <v>0.925839121305826</v>
      </c>
      <c r="D940" s="12">
        <f>'3_Survival_Probs'!D940</f>
        <v>0.95277267587763</v>
      </c>
      <c r="E940" s="12">
        <f>'3_Survival_Probs'!D941</f>
        <v>0.952699033615311</v>
      </c>
      <c r="F940" s="14">
        <f t="shared" si="34"/>
        <v>7.36422623186517e-5</v>
      </c>
      <c r="G940" s="32">
        <f>(1-recovery)*notional*C940*F940</f>
        <v>409.085324616441</v>
      </c>
      <c r="H940" s="14">
        <f t="shared" si="35"/>
        <v>4.85672074887108e-6</v>
      </c>
      <c r="I940" s="33"/>
    </row>
    <row r="941" spans="1:9">
      <c r="A941" s="4">
        <v>939</v>
      </c>
      <c r="B941" s="6">
        <f>'2_Discount_Factors'!B942</f>
        <v>2.57260273972603</v>
      </c>
      <c r="C941" s="6">
        <f>EXP(-r_free*(('2_Discount_Factors'!B941+'2_Discount_Factors'!B942)/2))</f>
        <v>0.925763028066853</v>
      </c>
      <c r="D941" s="6">
        <f>'3_Survival_Probs'!D941</f>
        <v>0.952699033615311</v>
      </c>
      <c r="E941" s="6">
        <f>'3_Survival_Probs'!D942</f>
        <v>0.952625397044993</v>
      </c>
      <c r="F941" s="8">
        <f t="shared" si="34"/>
        <v>7.36365703178921e-5</v>
      </c>
      <c r="G941" s="29">
        <f>(1-recovery)*notional*C941*F941</f>
        <v>409.020085883697</v>
      </c>
      <c r="H941" s="8">
        <f t="shared" si="35"/>
        <v>5.04271338760732e-6</v>
      </c>
      <c r="I941" s="30"/>
    </row>
    <row r="942" spans="1:9">
      <c r="A942" s="10">
        <v>940</v>
      </c>
      <c r="B942" s="12">
        <f>'2_Discount_Factors'!B943</f>
        <v>2.57534246575342</v>
      </c>
      <c r="C942" s="12">
        <f>EXP(-r_free*(('2_Discount_Factors'!B942+'2_Discount_Factors'!B943)/2))</f>
        <v>0.925686941081862</v>
      </c>
      <c r="D942" s="12">
        <f>'3_Survival_Probs'!D942</f>
        <v>0.952625397044993</v>
      </c>
      <c r="E942" s="12">
        <f>'3_Survival_Probs'!D943</f>
        <v>0.952551766166236</v>
      </c>
      <c r="F942" s="14">
        <f t="shared" si="34"/>
        <v>7.36308787571138e-5</v>
      </c>
      <c r="G942" s="32">
        <f>(1-recovery)*notional*C942*F942</f>
        <v>408.954857555053</v>
      </c>
      <c r="H942" s="14">
        <f t="shared" si="35"/>
        <v>5.22864658061265e-6</v>
      </c>
      <c r="I942" s="33"/>
    </row>
    <row r="943" spans="1:9">
      <c r="A943" s="4">
        <v>941</v>
      </c>
      <c r="B943" s="6">
        <f>'2_Discount_Factors'!B944</f>
        <v>2.57808219178082</v>
      </c>
      <c r="C943" s="6">
        <f>EXP(-r_free*(('2_Discount_Factors'!B943+'2_Discount_Factors'!B944)/2))</f>
        <v>0.925610860350339</v>
      </c>
      <c r="D943" s="6">
        <f>'3_Survival_Probs'!D943</f>
        <v>0.952551766166236</v>
      </c>
      <c r="E943" s="6">
        <f>'3_Survival_Probs'!D944</f>
        <v>0.9524781409786</v>
      </c>
      <c r="F943" s="8">
        <f t="shared" si="34"/>
        <v>7.3625187636206e-5</v>
      </c>
      <c r="G943" s="29">
        <f>(1-recovery)*notional*C943*F943</f>
        <v>408.889639628423</v>
      </c>
      <c r="H943" s="8">
        <f t="shared" si="35"/>
        <v>5.41452034211164e-6</v>
      </c>
      <c r="I943" s="30"/>
    </row>
    <row r="944" spans="1:9">
      <c r="A944" s="10">
        <v>942</v>
      </c>
      <c r="B944" s="12">
        <f>'2_Discount_Factors'!B945</f>
        <v>2.58082191780822</v>
      </c>
      <c r="C944" s="12">
        <f>EXP(-r_free*(('2_Discount_Factors'!B944+'2_Discount_Factors'!B945)/2))</f>
        <v>0.92553478587177</v>
      </c>
      <c r="D944" s="12">
        <f>'3_Survival_Probs'!D944</f>
        <v>0.9524781409786</v>
      </c>
      <c r="E944" s="12">
        <f>'3_Survival_Probs'!D945</f>
        <v>0.952404521481645</v>
      </c>
      <c r="F944" s="14">
        <f t="shared" si="34"/>
        <v>7.36194969551685e-5</v>
      </c>
      <c r="G944" s="32">
        <f>(1-recovery)*notional*C944*F944</f>
        <v>408.824432102336</v>
      </c>
      <c r="H944" s="14">
        <f t="shared" si="35"/>
        <v>5.60033468633345e-6</v>
      </c>
      <c r="I944" s="33"/>
    </row>
    <row r="945" spans="1:9">
      <c r="A945" s="4">
        <v>943</v>
      </c>
      <c r="B945" s="6">
        <f>'2_Discount_Factors'!B946</f>
        <v>2.58356164383562</v>
      </c>
      <c r="C945" s="6">
        <f>EXP(-r_free*(('2_Discount_Factors'!B945+'2_Discount_Factors'!B946)/2))</f>
        <v>0.925458717645641</v>
      </c>
      <c r="D945" s="6">
        <f>'3_Survival_Probs'!D945</f>
        <v>0.952404521481645</v>
      </c>
      <c r="E945" s="6">
        <f>'3_Survival_Probs'!D946</f>
        <v>0.952330907674931</v>
      </c>
      <c r="F945" s="8">
        <f t="shared" si="34"/>
        <v>7.36138067140013e-5</v>
      </c>
      <c r="G945" s="29">
        <f>(1-recovery)*notional*C945*F945</f>
        <v>408.759234975323</v>
      </c>
      <c r="H945" s="8">
        <f t="shared" si="35"/>
        <v>5.78608962750465e-6</v>
      </c>
      <c r="I945" s="30"/>
    </row>
    <row r="946" spans="1:9">
      <c r="A946" s="10">
        <v>944</v>
      </c>
      <c r="B946" s="12">
        <f>'2_Discount_Factors'!B947</f>
        <v>2.58630136986301</v>
      </c>
      <c r="C946" s="12">
        <f>EXP(-r_free*(('2_Discount_Factors'!B946+'2_Discount_Factors'!B947)/2))</f>
        <v>0.925382655671438</v>
      </c>
      <c r="D946" s="12">
        <f>'3_Survival_Probs'!D946</f>
        <v>0.952330907674931</v>
      </c>
      <c r="E946" s="12">
        <f>'3_Survival_Probs'!D947</f>
        <v>0.952257299558018</v>
      </c>
      <c r="F946" s="14">
        <f t="shared" si="34"/>
        <v>7.36081169125935e-5</v>
      </c>
      <c r="G946" s="32">
        <f>(1-recovery)*notional*C946*F946</f>
        <v>408.694048245297</v>
      </c>
      <c r="H946" s="14">
        <f t="shared" si="35"/>
        <v>5.97178517984005e-6</v>
      </c>
      <c r="I946" s="33"/>
    </row>
    <row r="947" spans="1:9">
      <c r="A947" s="4">
        <v>945</v>
      </c>
      <c r="B947" s="6">
        <f>'2_Discount_Factors'!B948</f>
        <v>2.58904109589041</v>
      </c>
      <c r="C947" s="6">
        <f>EXP(-r_free*(('2_Discount_Factors'!B947+'2_Discount_Factors'!B948)/2))</f>
        <v>0.925306599948647</v>
      </c>
      <c r="D947" s="6">
        <f>'3_Survival_Probs'!D947</f>
        <v>0.952257299558018</v>
      </c>
      <c r="E947" s="6">
        <f>'3_Survival_Probs'!D948</f>
        <v>0.952183697130467</v>
      </c>
      <c r="F947" s="8">
        <f t="shared" si="34"/>
        <v>7.36024275510561e-5</v>
      </c>
      <c r="G947" s="29">
        <f>(1-recovery)*notional*C947*F947</f>
        <v>408.628871911406</v>
      </c>
      <c r="H947" s="8">
        <f t="shared" si="35"/>
        <v>6.15742135756923e-6</v>
      </c>
      <c r="I947" s="30"/>
    </row>
    <row r="948" spans="1:9">
      <c r="A948" s="10">
        <v>946</v>
      </c>
      <c r="B948" s="12">
        <f>'2_Discount_Factors'!B949</f>
        <v>2.59178082191781</v>
      </c>
      <c r="C948" s="12">
        <f>EXP(-r_free*(('2_Discount_Factors'!B948+'2_Discount_Factors'!B949)/2))</f>
        <v>0.925230550476755</v>
      </c>
      <c r="D948" s="12">
        <f>'3_Survival_Probs'!D948</f>
        <v>0.952183697130467</v>
      </c>
      <c r="E948" s="12">
        <f>'3_Survival_Probs'!D949</f>
        <v>0.952110100391838</v>
      </c>
      <c r="F948" s="14">
        <f t="shared" si="34"/>
        <v>7.3596738629278e-5</v>
      </c>
      <c r="G948" s="32">
        <f>(1-recovery)*notional*C948*F948</f>
        <v>408.563705971564</v>
      </c>
      <c r="H948" s="14">
        <f t="shared" si="35"/>
        <v>6.34299817490108e-6</v>
      </c>
      <c r="I948" s="33"/>
    </row>
    <row r="949" spans="1:9">
      <c r="A949" s="4">
        <v>947</v>
      </c>
      <c r="B949" s="6">
        <f>'2_Discount_Factors'!B950</f>
        <v>2.59452054794521</v>
      </c>
      <c r="C949" s="6">
        <f>EXP(-r_free*(('2_Discount_Factors'!B949+'2_Discount_Factors'!B950)/2))</f>
        <v>0.925154507255247</v>
      </c>
      <c r="D949" s="6">
        <f>'3_Survival_Probs'!D949</f>
        <v>0.952110100391838</v>
      </c>
      <c r="E949" s="6">
        <f>'3_Survival_Probs'!D950</f>
        <v>0.952036509341691</v>
      </c>
      <c r="F949" s="8">
        <f t="shared" si="34"/>
        <v>7.35910501471482e-5</v>
      </c>
      <c r="G949" s="29">
        <f>(1-recovery)*notional*C949*F949</f>
        <v>408.498550423686</v>
      </c>
      <c r="H949" s="8">
        <f t="shared" si="35"/>
        <v>6.52851564604073e-6</v>
      </c>
      <c r="I949" s="30"/>
    </row>
    <row r="950" spans="1:9">
      <c r="A950" s="10">
        <v>948</v>
      </c>
      <c r="B950" s="12">
        <f>'2_Discount_Factors'!B951</f>
        <v>2.5972602739726</v>
      </c>
      <c r="C950" s="12">
        <f>EXP(-r_free*(('2_Discount_Factors'!B950+'2_Discount_Factors'!B951)/2))</f>
        <v>0.92507847028361</v>
      </c>
      <c r="D950" s="12">
        <f>'3_Survival_Probs'!D950</f>
        <v>0.952036509341691</v>
      </c>
      <c r="E950" s="12">
        <f>'3_Survival_Probs'!D951</f>
        <v>0.951962923979586</v>
      </c>
      <c r="F950" s="14">
        <f t="shared" si="34"/>
        <v>7.35853621046667e-5</v>
      </c>
      <c r="G950" s="32">
        <f>(1-recovery)*notional*C950*F950</f>
        <v>408.433405266304</v>
      </c>
      <c r="H950" s="14">
        <f t="shared" si="35"/>
        <v>6.71397378519961e-6</v>
      </c>
      <c r="I950" s="33"/>
    </row>
    <row r="951" spans="1:9">
      <c r="A951" s="4">
        <v>949</v>
      </c>
      <c r="B951" s="6">
        <f>'2_Discount_Factors'!B952</f>
        <v>2.6</v>
      </c>
      <c r="C951" s="6">
        <f>EXP(-r_free*(('2_Discount_Factors'!B951+'2_Discount_Factors'!B952)/2))</f>
        <v>0.925002439561331</v>
      </c>
      <c r="D951" s="6">
        <f>'3_Survival_Probs'!D951</f>
        <v>0.951962923979586</v>
      </c>
      <c r="E951" s="6">
        <f>'3_Survival_Probs'!D952</f>
        <v>0.951889344305084</v>
      </c>
      <c r="F951" s="8">
        <f t="shared" si="34"/>
        <v>7.35796745018336e-5</v>
      </c>
      <c r="G951" s="29">
        <f>(1-recovery)*notional*C951*F951</f>
        <v>408.368270497948</v>
      </c>
      <c r="H951" s="8">
        <f t="shared" si="35"/>
        <v>6.89937260658644e-6</v>
      </c>
      <c r="I951" s="30"/>
    </row>
    <row r="952" spans="1:9">
      <c r="A952" s="10">
        <v>950</v>
      </c>
      <c r="B952" s="12">
        <f>'2_Discount_Factors'!B953</f>
        <v>2.6027397260274</v>
      </c>
      <c r="C952" s="12">
        <f>EXP(-r_free*(('2_Discount_Factors'!B952+'2_Discount_Factors'!B953)/2))</f>
        <v>0.924926415087895</v>
      </c>
      <c r="D952" s="12">
        <f>'3_Survival_Probs'!D952</f>
        <v>0.951889344305084</v>
      </c>
      <c r="E952" s="12">
        <f>'3_Survival_Probs'!D953</f>
        <v>0.951815770317746</v>
      </c>
      <c r="F952" s="14">
        <f t="shared" si="34"/>
        <v>7.35739873386487e-5</v>
      </c>
      <c r="G952" s="32">
        <f>(1-recovery)*notional*C952*F952</f>
        <v>408.303146117151</v>
      </c>
      <c r="H952" s="14">
        <f t="shared" si="35"/>
        <v>7.0847121244073e-6</v>
      </c>
      <c r="I952" s="33"/>
    </row>
    <row r="953" spans="1:9">
      <c r="A953" s="4">
        <v>951</v>
      </c>
      <c r="B953" s="6">
        <f>'2_Discount_Factors'!B954</f>
        <v>2.60547945205479</v>
      </c>
      <c r="C953" s="6">
        <f>EXP(-r_free*(('2_Discount_Factors'!B953+'2_Discount_Factors'!B954)/2))</f>
        <v>0.924850396862789</v>
      </c>
      <c r="D953" s="6">
        <f>'3_Survival_Probs'!D953</f>
        <v>0.951815770317746</v>
      </c>
      <c r="E953" s="6">
        <f>'3_Survival_Probs'!D954</f>
        <v>0.95174220201713</v>
      </c>
      <c r="F953" s="8">
        <f t="shared" si="34"/>
        <v>7.35683006151122e-5</v>
      </c>
      <c r="G953" s="29">
        <f>(1-recovery)*notional*C953*F953</f>
        <v>408.238032122445</v>
      </c>
      <c r="H953" s="8">
        <f t="shared" si="35"/>
        <v>7.26999235286554e-6</v>
      </c>
      <c r="I953" s="30"/>
    </row>
    <row r="954" spans="1:9">
      <c r="A954" s="10">
        <v>952</v>
      </c>
      <c r="B954" s="12">
        <f>'2_Discount_Factors'!B955</f>
        <v>2.60821917808219</v>
      </c>
      <c r="C954" s="12">
        <f>EXP(-r_free*(('2_Discount_Factors'!B954+'2_Discount_Factors'!B955)/2))</f>
        <v>0.924774384885499</v>
      </c>
      <c r="D954" s="12">
        <f>'3_Survival_Probs'!D954</f>
        <v>0.95174220201713</v>
      </c>
      <c r="E954" s="12">
        <f>'3_Survival_Probs'!D955</f>
        <v>0.951668639402799</v>
      </c>
      <c r="F954" s="14">
        <f t="shared" si="34"/>
        <v>7.3562614331002e-5</v>
      </c>
      <c r="G954" s="32">
        <f>(1-recovery)*notional*C954*F954</f>
        <v>408.172928511129</v>
      </c>
      <c r="H954" s="14">
        <f t="shared" si="35"/>
        <v>7.45521330613944e-6</v>
      </c>
      <c r="I954" s="33"/>
    </row>
    <row r="955" spans="1:9">
      <c r="A955" s="4">
        <v>953</v>
      </c>
      <c r="B955" s="6">
        <f>'2_Discount_Factors'!B956</f>
        <v>2.61095890410959</v>
      </c>
      <c r="C955" s="6">
        <f>EXP(-r_free*(('2_Discount_Factors'!B955+'2_Discount_Factors'!B956)/2))</f>
        <v>0.924698379155513</v>
      </c>
      <c r="D955" s="6">
        <f>'3_Survival_Probs'!D955</f>
        <v>0.951668639402799</v>
      </c>
      <c r="E955" s="6">
        <f>'3_Survival_Probs'!D956</f>
        <v>0.951595082474313</v>
      </c>
      <c r="F955" s="8">
        <f t="shared" si="34"/>
        <v>7.3556928486429e-5</v>
      </c>
      <c r="G955" s="29">
        <f>(1-recovery)*notional*C955*F955</f>
        <v>408.107835282354</v>
      </c>
      <c r="H955" s="8">
        <f t="shared" si="35"/>
        <v>7.64037499843685e-6</v>
      </c>
      <c r="I955" s="30"/>
    </row>
    <row r="956" spans="1:9">
      <c r="A956" s="10">
        <v>954</v>
      </c>
      <c r="B956" s="12">
        <f>'2_Discount_Factors'!B957</f>
        <v>2.61369863013699</v>
      </c>
      <c r="C956" s="12">
        <f>EXP(-r_free*(('2_Discount_Factors'!B956+'2_Discount_Factors'!B957)/2))</f>
        <v>0.924622379672316</v>
      </c>
      <c r="D956" s="12">
        <f>'3_Survival_Probs'!D956</f>
        <v>0.951595082474313</v>
      </c>
      <c r="E956" s="12">
        <f>'3_Survival_Probs'!D957</f>
        <v>0.951521531231232</v>
      </c>
      <c r="F956" s="14">
        <f t="shared" si="34"/>
        <v>7.35512430812824e-5</v>
      </c>
      <c r="G956" s="32">
        <f>(1-recovery)*notional*C956*F956</f>
        <v>408.042752434034</v>
      </c>
      <c r="H956" s="14">
        <f t="shared" si="35"/>
        <v>7.82547744394048e-6</v>
      </c>
      <c r="I956" s="33"/>
    </row>
    <row r="957" spans="1:9">
      <c r="A957" s="4">
        <v>955</v>
      </c>
      <c r="B957" s="6">
        <f>'2_Discount_Factors'!B958</f>
        <v>2.61643835616438</v>
      </c>
      <c r="C957" s="6">
        <f>EXP(-r_free*(('2_Discount_Factors'!B957+'2_Discount_Factors'!B958)/2))</f>
        <v>0.924546386435396</v>
      </c>
      <c r="D957" s="6">
        <f>'3_Survival_Probs'!D957</f>
        <v>0.951521531231232</v>
      </c>
      <c r="E957" s="6">
        <f>'3_Survival_Probs'!D958</f>
        <v>0.951447985673116</v>
      </c>
      <c r="F957" s="8">
        <f t="shared" si="34"/>
        <v>7.3545558115673e-5</v>
      </c>
      <c r="G957" s="29">
        <f>(1-recovery)*notional*C957*F957</f>
        <v>407.977679965319</v>
      </c>
      <c r="H957" s="8">
        <f t="shared" si="35"/>
        <v>8.01052065685338e-6</v>
      </c>
      <c r="I957" s="30"/>
    </row>
    <row r="958" spans="1:9">
      <c r="A958" s="10">
        <v>956</v>
      </c>
      <c r="B958" s="12">
        <f>'2_Discount_Factors'!B959</f>
        <v>2.61917808219178</v>
      </c>
      <c r="C958" s="12">
        <f>EXP(-r_free*(('2_Discount_Factors'!B958+'2_Discount_Factors'!B959)/2))</f>
        <v>0.924470399444238</v>
      </c>
      <c r="D958" s="12">
        <f>'3_Survival_Probs'!D958</f>
        <v>0.951447985673116</v>
      </c>
      <c r="E958" s="12">
        <f>'3_Survival_Probs'!D959</f>
        <v>0.951374445799527</v>
      </c>
      <c r="F958" s="14">
        <f t="shared" si="34"/>
        <v>7.35398735893789e-5</v>
      </c>
      <c r="G958" s="32">
        <f>(1-recovery)*notional*C958*F958</f>
        <v>407.912617873511</v>
      </c>
      <c r="H958" s="14">
        <f t="shared" si="35"/>
        <v>8.19550465134004e-6</v>
      </c>
      <c r="I958" s="33"/>
    </row>
    <row r="959" spans="1:9">
      <c r="A959" s="4">
        <v>957</v>
      </c>
      <c r="B959" s="6">
        <f>'2_Discount_Factors'!B960</f>
        <v>2.62191780821918</v>
      </c>
      <c r="C959" s="6">
        <f>EXP(-r_free*(('2_Discount_Factors'!B959+'2_Discount_Factors'!B960)/2))</f>
        <v>0.92439441869833</v>
      </c>
      <c r="D959" s="6">
        <f>'3_Survival_Probs'!D959</f>
        <v>0.951374445799527</v>
      </c>
      <c r="E959" s="6">
        <f>'3_Survival_Probs'!D960</f>
        <v>0.951300911610024</v>
      </c>
      <c r="F959" s="8">
        <f t="shared" si="34"/>
        <v>7.3534189502511e-5</v>
      </c>
      <c r="G959" s="29">
        <f>(1-recovery)*notional*C959*F959</f>
        <v>407.847566157759</v>
      </c>
      <c r="H959" s="8">
        <f t="shared" si="35"/>
        <v>8.38042944159788e-6</v>
      </c>
      <c r="I959" s="30"/>
    </row>
    <row r="960" spans="1:9">
      <c r="A960" s="10">
        <v>958</v>
      </c>
      <c r="B960" s="12">
        <f>'2_Discount_Factors'!B961</f>
        <v>2.62465753424658</v>
      </c>
      <c r="C960" s="12">
        <f>EXP(-r_free*(('2_Discount_Factors'!B960+'2_Discount_Factors'!B961)/2))</f>
        <v>0.924318444197158</v>
      </c>
      <c r="D960" s="12">
        <f>'3_Survival_Probs'!D960</f>
        <v>0.951300911610024</v>
      </c>
      <c r="E960" s="12">
        <f>'3_Survival_Probs'!D961</f>
        <v>0.951227383104169</v>
      </c>
      <c r="F960" s="14">
        <f t="shared" si="34"/>
        <v>7.35285058550694e-5</v>
      </c>
      <c r="G960" s="32">
        <f>(1-recovery)*notional*C960*F960</f>
        <v>407.782524816596</v>
      </c>
      <c r="H960" s="14">
        <f t="shared" si="35"/>
        <v>8.56529504180989e-6</v>
      </c>
      <c r="I960" s="33"/>
    </row>
    <row r="961" spans="1:9">
      <c r="A961" s="4">
        <v>959</v>
      </c>
      <c r="B961" s="6">
        <f>'2_Discount_Factors'!B962</f>
        <v>2.62739726027397</v>
      </c>
      <c r="C961" s="6">
        <f>EXP(-r_free*(('2_Discount_Factors'!B961+'2_Discount_Factors'!B962)/2))</f>
        <v>0.924242475940209</v>
      </c>
      <c r="D961" s="6">
        <f>'3_Survival_Probs'!D961</f>
        <v>0.951227383104169</v>
      </c>
      <c r="E961" s="6">
        <f>'3_Survival_Probs'!D962</f>
        <v>0.951153860281522</v>
      </c>
      <c r="F961" s="8">
        <f t="shared" si="34"/>
        <v>7.35228226468321e-5</v>
      </c>
      <c r="G961" s="29">
        <f>(1-recovery)*notional*C961*F961</f>
        <v>407.717493847325</v>
      </c>
      <c r="H961" s="8">
        <f t="shared" si="35"/>
        <v>8.75010146612992e-6</v>
      </c>
      <c r="I961" s="30"/>
    </row>
    <row r="962" spans="1:9">
      <c r="A962" s="10">
        <v>960</v>
      </c>
      <c r="B962" s="12">
        <f>'2_Discount_Factors'!B963</f>
        <v>2.63013698630137</v>
      </c>
      <c r="C962" s="12">
        <f>EXP(-r_free*(('2_Discount_Factors'!B962+'2_Discount_Factors'!B963)/2))</f>
        <v>0.924166513926969</v>
      </c>
      <c r="D962" s="12">
        <f>'3_Survival_Probs'!D962</f>
        <v>0.951153860281522</v>
      </c>
      <c r="E962" s="12">
        <f>'3_Survival_Probs'!D963</f>
        <v>0.951080343141644</v>
      </c>
      <c r="F962" s="14">
        <f t="shared" si="34"/>
        <v>7.3517139877799e-5</v>
      </c>
      <c r="G962" s="32">
        <f>(1-recovery)*notional*C962*F962</f>
        <v>407.652473248481</v>
      </c>
      <c r="H962" s="14">
        <f t="shared" si="35"/>
        <v>8.93484872873391e-6</v>
      </c>
      <c r="I962" s="33"/>
    </row>
    <row r="963" spans="1:9">
      <c r="A963" s="4">
        <v>961</v>
      </c>
      <c r="B963" s="6">
        <f>'2_Discount_Factors'!B964</f>
        <v>2.63287671232877</v>
      </c>
      <c r="C963" s="6">
        <f>EXP(-r_free*(('2_Discount_Factors'!B963+'2_Discount_Factors'!B964)/2))</f>
        <v>0.924090558156926</v>
      </c>
      <c r="D963" s="6">
        <f>'3_Survival_Probs'!D963</f>
        <v>0.951080343141644</v>
      </c>
      <c r="E963" s="6">
        <f>'3_Survival_Probs'!D964</f>
        <v>0.951006831684096</v>
      </c>
      <c r="F963" s="8">
        <f t="shared" ref="F963:F1026" si="36">D963-E963</f>
        <v>7.35114575480811e-5</v>
      </c>
      <c r="G963" s="29">
        <f>(1-recovery)*notional*C963*F963</f>
        <v>407.587463019213</v>
      </c>
      <c r="H963" s="8">
        <f t="shared" si="35"/>
        <v>9.11953684380896e-6</v>
      </c>
      <c r="I963" s="30"/>
    </row>
    <row r="964" spans="1:9">
      <c r="A964" s="10">
        <v>962</v>
      </c>
      <c r="B964" s="12">
        <f>'2_Discount_Factors'!B965</f>
        <v>2.63561643835616</v>
      </c>
      <c r="C964" s="12">
        <f>EXP(-r_free*(('2_Discount_Factors'!B964+'2_Discount_Factors'!B965)/2))</f>
        <v>0.924014608629567</v>
      </c>
      <c r="D964" s="12">
        <f>'3_Survival_Probs'!D964</f>
        <v>0.951006831684096</v>
      </c>
      <c r="E964" s="12">
        <f>'3_Survival_Probs'!D965</f>
        <v>0.950933325908439</v>
      </c>
      <c r="F964" s="14">
        <f t="shared" si="36"/>
        <v>7.35057756575674e-5</v>
      </c>
      <c r="G964" s="32">
        <f>(1-recovery)*notional*C964*F964</f>
        <v>407.52246315744</v>
      </c>
      <c r="H964" s="14">
        <f t="shared" si="35"/>
        <v>9.30416582551242e-6</v>
      </c>
      <c r="I964" s="33"/>
    </row>
    <row r="965" spans="1:9">
      <c r="A965" s="4">
        <v>963</v>
      </c>
      <c r="B965" s="6">
        <f>'2_Discount_Factors'!B966</f>
        <v>2.63835616438356</v>
      </c>
      <c r="C965" s="6">
        <f>EXP(-r_free*(('2_Discount_Factors'!B965+'2_Discount_Factors'!B966)/2))</f>
        <v>0.923938665344378</v>
      </c>
      <c r="D965" s="6">
        <f>'3_Survival_Probs'!D965</f>
        <v>0.950933325908439</v>
      </c>
      <c r="E965" s="6">
        <f>'3_Survival_Probs'!D966</f>
        <v>0.950859825814233</v>
      </c>
      <c r="F965" s="8">
        <f t="shared" si="36"/>
        <v>7.3500094206258e-5</v>
      </c>
      <c r="G965" s="29">
        <f>(1-recovery)*notional*C965*F965</f>
        <v>407.457473661696</v>
      </c>
      <c r="H965" s="8">
        <f t="shared" si="35"/>
        <v>9.48873568801221e-6</v>
      </c>
      <c r="I965" s="30"/>
    </row>
    <row r="966" spans="1:9">
      <c r="A966" s="10">
        <v>964</v>
      </c>
      <c r="B966" s="12">
        <f>'2_Discount_Factors'!B967</f>
        <v>2.64109589041096</v>
      </c>
      <c r="C966" s="12">
        <f>EXP(-r_free*(('2_Discount_Factors'!B966+'2_Discount_Factors'!B967)/2))</f>
        <v>0.923862728300846</v>
      </c>
      <c r="D966" s="12">
        <f>'3_Survival_Probs'!D966</f>
        <v>0.950859825814233</v>
      </c>
      <c r="E966" s="12">
        <f>'3_Survival_Probs'!D967</f>
        <v>0.950786331401039</v>
      </c>
      <c r="F966" s="14">
        <f t="shared" si="36"/>
        <v>7.34944131939308e-5</v>
      </c>
      <c r="G966" s="32">
        <f>(1-recovery)*notional*C966*F966</f>
        <v>407.392494529288</v>
      </c>
      <c r="H966" s="14">
        <f t="shared" si="35"/>
        <v>9.67324644544435e-6</v>
      </c>
      <c r="I966" s="33"/>
    </row>
    <row r="967" spans="1:9">
      <c r="A967" s="4">
        <v>965</v>
      </c>
      <c r="B967" s="6">
        <f>'2_Discount_Factors'!B968</f>
        <v>2.64383561643836</v>
      </c>
      <c r="C967" s="6">
        <f>EXP(-r_free*(('2_Discount_Factors'!B967+'2_Discount_Factors'!B968)/2))</f>
        <v>0.923786797498459</v>
      </c>
      <c r="D967" s="6">
        <f>'3_Survival_Probs'!D967</f>
        <v>0.950786331401039</v>
      </c>
      <c r="E967" s="6">
        <f>'3_Survival_Probs'!D968</f>
        <v>0.950712842668418</v>
      </c>
      <c r="F967" s="8">
        <f t="shared" si="36"/>
        <v>7.34887326208078e-5</v>
      </c>
      <c r="G967" s="29">
        <f>(1-recovery)*notional*C967*F967</f>
        <v>407.327525759979</v>
      </c>
      <c r="H967" s="8">
        <f t="shared" si="35"/>
        <v>9.85769811199959e-6</v>
      </c>
      <c r="I967" s="30"/>
    </row>
    <row r="968" spans="1:9">
      <c r="A968" s="10">
        <v>966</v>
      </c>
      <c r="B968" s="12">
        <f>'2_Discount_Factors'!B969</f>
        <v>2.64657534246575</v>
      </c>
      <c r="C968" s="12">
        <f>EXP(-r_free*(('2_Discount_Factors'!B968+'2_Discount_Factors'!B969)/2))</f>
        <v>0.923710872936703</v>
      </c>
      <c r="D968" s="12">
        <f>'3_Survival_Probs'!D968</f>
        <v>0.950712842668418</v>
      </c>
      <c r="E968" s="12">
        <f>'3_Survival_Probs'!D969</f>
        <v>0.950639359615931</v>
      </c>
      <c r="F968" s="14">
        <f t="shared" si="36"/>
        <v>7.3483052486778e-5</v>
      </c>
      <c r="G968" s="32">
        <f>(1-recovery)*notional*C968*F968</f>
        <v>407.262567351692</v>
      </c>
      <c r="H968" s="14">
        <f t="shared" si="35"/>
        <v>1.00420907018226e-5</v>
      </c>
      <c r="I968" s="33"/>
    </row>
    <row r="969" spans="1:9">
      <c r="A969" s="4">
        <v>967</v>
      </c>
      <c r="B969" s="6">
        <f>'2_Discount_Factors'!B970</f>
        <v>2.64931506849315</v>
      </c>
      <c r="C969" s="6">
        <f>EXP(-r_free*(('2_Discount_Factors'!B969+'2_Discount_Factors'!B970)/2))</f>
        <v>0.923634954615065</v>
      </c>
      <c r="D969" s="6">
        <f>'3_Survival_Probs'!D969</f>
        <v>0.950639359615931</v>
      </c>
      <c r="E969" s="6">
        <f>'3_Survival_Probs'!D970</f>
        <v>0.950565882243139</v>
      </c>
      <c r="F969" s="8">
        <f t="shared" si="36"/>
        <v>7.34773727917304e-5</v>
      </c>
      <c r="G969" s="29">
        <f>(1-recovery)*notional*C969*F969</f>
        <v>407.197619302345</v>
      </c>
      <c r="H969" s="8">
        <f t="shared" si="35"/>
        <v>1.02264242290544e-5</v>
      </c>
      <c r="I969" s="30"/>
    </row>
    <row r="970" spans="1:9">
      <c r="A970" s="10">
        <v>968</v>
      </c>
      <c r="B970" s="12">
        <f>'2_Discount_Factors'!B971</f>
        <v>2.65205479452055</v>
      </c>
      <c r="C970" s="12">
        <f>EXP(-r_free*(('2_Discount_Factors'!B970+'2_Discount_Factors'!B971)/2))</f>
        <v>0.923559042533033</v>
      </c>
      <c r="D970" s="12">
        <f>'3_Survival_Probs'!D970</f>
        <v>0.950565882243139</v>
      </c>
      <c r="E970" s="12">
        <f>'3_Survival_Probs'!D971</f>
        <v>0.950492410549604</v>
      </c>
      <c r="F970" s="14">
        <f t="shared" si="36"/>
        <v>7.3471693535776e-5</v>
      </c>
      <c r="G970" s="32">
        <f>(1-recovery)*notional*C970*F970</f>
        <v>407.13268161109</v>
      </c>
      <c r="H970" s="14">
        <f t="shared" si="35"/>
        <v>1.04106987078636e-5</v>
      </c>
      <c r="I970" s="33"/>
    </row>
    <row r="971" spans="1:9">
      <c r="A971" s="4">
        <v>969</v>
      </c>
      <c r="B971" s="6">
        <f>'2_Discount_Factors'!B972</f>
        <v>2.65479452054794</v>
      </c>
      <c r="C971" s="6">
        <f>EXP(-r_free*(('2_Discount_Factors'!B971+'2_Discount_Factors'!B972)/2))</f>
        <v>0.923483136690094</v>
      </c>
      <c r="D971" s="6">
        <f>'3_Survival_Probs'!D971</f>
        <v>0.950492410549604</v>
      </c>
      <c r="E971" s="6">
        <f>'3_Survival_Probs'!D972</f>
        <v>0.950418944534885</v>
      </c>
      <c r="F971" s="8">
        <f t="shared" si="36"/>
        <v>7.34660147186927e-5</v>
      </c>
      <c r="G971" s="29">
        <f>(1-recovery)*notional*C971*F971</f>
        <v>407.067754275234</v>
      </c>
      <c r="H971" s="8">
        <f t="shared" si="35"/>
        <v>1.05949141523692e-5</v>
      </c>
      <c r="I971" s="30"/>
    </row>
    <row r="972" spans="1:9">
      <c r="A972" s="10">
        <v>970</v>
      </c>
      <c r="B972" s="12">
        <f>'2_Discount_Factors'!B973</f>
        <v>2.65753424657534</v>
      </c>
      <c r="C972" s="12">
        <f>EXP(-r_free*(('2_Discount_Factors'!B972+'2_Discount_Factors'!B973)/2))</f>
        <v>0.923407237085735</v>
      </c>
      <c r="D972" s="12">
        <f>'3_Survival_Probs'!D972</f>
        <v>0.950418944534885</v>
      </c>
      <c r="E972" s="12">
        <f>'3_Survival_Probs'!D973</f>
        <v>0.950345484198544</v>
      </c>
      <c r="F972" s="14">
        <f t="shared" si="36"/>
        <v>7.34603363405917e-5</v>
      </c>
      <c r="G972" s="32">
        <f>(1-recovery)*notional*C972*F972</f>
        <v>407.002837293928</v>
      </c>
      <c r="H972" s="14">
        <f t="shared" si="35"/>
        <v>1.07790705767342e-5</v>
      </c>
      <c r="I972" s="33"/>
    </row>
    <row r="973" spans="1:9">
      <c r="A973" s="4">
        <v>971</v>
      </c>
      <c r="B973" s="6">
        <f>'2_Discount_Factors'!B974</f>
        <v>2.66027397260274</v>
      </c>
      <c r="C973" s="6">
        <f>EXP(-r_free*(('2_Discount_Factors'!B973+'2_Discount_Factors'!B974)/2))</f>
        <v>0.923331343719444</v>
      </c>
      <c r="D973" s="6">
        <f>'3_Survival_Probs'!D973</f>
        <v>0.950345484198544</v>
      </c>
      <c r="E973" s="6">
        <f>'3_Survival_Probs'!D974</f>
        <v>0.950272029540143</v>
      </c>
      <c r="F973" s="8">
        <f t="shared" si="36"/>
        <v>7.34546584013618e-5</v>
      </c>
      <c r="G973" s="29">
        <f>(1-recovery)*notional*C973*F973</f>
        <v>406.937930665093</v>
      </c>
      <c r="H973" s="8">
        <f t="shared" si="35"/>
        <v>1.09631679950871e-5</v>
      </c>
      <c r="I973" s="30"/>
    </row>
    <row r="974" spans="1:9">
      <c r="A974" s="10">
        <v>972</v>
      </c>
      <c r="B974" s="12">
        <f>'2_Discount_Factors'!B975</f>
        <v>2.66301369863014</v>
      </c>
      <c r="C974" s="12">
        <f>EXP(-r_free*(('2_Discount_Factors'!B974+'2_Discount_Factors'!B975)/2))</f>
        <v>0.923255456590707</v>
      </c>
      <c r="D974" s="12">
        <f>'3_Survival_Probs'!D974</f>
        <v>0.950272029540143</v>
      </c>
      <c r="E974" s="12">
        <f>'3_Survival_Probs'!D975</f>
        <v>0.950198580559242</v>
      </c>
      <c r="F974" s="14">
        <f t="shared" si="36"/>
        <v>7.3448980901003e-5</v>
      </c>
      <c r="G974" s="32">
        <f>(1-recovery)*notional*C974*F974</f>
        <v>406.873034387266</v>
      </c>
      <c r="H974" s="14">
        <f t="shared" si="35"/>
        <v>1.1147206421569e-5</v>
      </c>
      <c r="I974" s="33"/>
    </row>
    <row r="975" spans="1:9">
      <c r="A975" s="4">
        <v>973</v>
      </c>
      <c r="B975" s="6">
        <f>'2_Discount_Factors'!B976</f>
        <v>2.66575342465753</v>
      </c>
      <c r="C975" s="6">
        <f>EXP(-r_free*(('2_Discount_Factors'!B975+'2_Discount_Factors'!B976)/2))</f>
        <v>0.923179575699011</v>
      </c>
      <c r="D975" s="6">
        <f>'3_Survival_Probs'!D975</f>
        <v>0.950198580559242</v>
      </c>
      <c r="E975" s="6">
        <f>'3_Survival_Probs'!D976</f>
        <v>0.950125137255402</v>
      </c>
      <c r="F975" s="8">
        <f t="shared" si="36"/>
        <v>7.34433038394045e-5</v>
      </c>
      <c r="G975" s="29">
        <f>(1-recovery)*notional*C975*F975</f>
        <v>406.80814845837</v>
      </c>
      <c r="H975" s="8">
        <f t="shared" si="35"/>
        <v>1.13311858703017e-5</v>
      </c>
      <c r="I975" s="30"/>
    </row>
    <row r="976" spans="1:9">
      <c r="A976" s="10">
        <v>974</v>
      </c>
      <c r="B976" s="12">
        <f>'2_Discount_Factors'!B977</f>
        <v>2.66849315068493</v>
      </c>
      <c r="C976" s="12">
        <f>EXP(-r_free*(('2_Discount_Factors'!B976+'2_Discount_Factors'!B977)/2))</f>
        <v>0.923103701043845</v>
      </c>
      <c r="D976" s="12">
        <f>'3_Survival_Probs'!D976</f>
        <v>0.950125137255402</v>
      </c>
      <c r="E976" s="12">
        <f>'3_Survival_Probs'!D977</f>
        <v>0.950051699628186</v>
      </c>
      <c r="F976" s="14">
        <f t="shared" si="36"/>
        <v>7.3437627216677e-5</v>
      </c>
      <c r="G976" s="32">
        <f>(1-recovery)*notional*C976*F976</f>
        <v>406.743272877557</v>
      </c>
      <c r="H976" s="14">
        <f t="shared" si="35"/>
        <v>1.15151063554378e-5</v>
      </c>
      <c r="I976" s="33"/>
    </row>
    <row r="977" spans="1:9">
      <c r="A977" s="4">
        <v>975</v>
      </c>
      <c r="B977" s="6">
        <f>'2_Discount_Factors'!B978</f>
        <v>2.67123287671233</v>
      </c>
      <c r="C977" s="6">
        <f>EXP(-r_free*(('2_Discount_Factors'!B977+'2_Discount_Factors'!B978)/2))</f>
        <v>0.923027832624696</v>
      </c>
      <c r="D977" s="6">
        <f>'3_Survival_Probs'!D977</f>
        <v>0.950051699628186</v>
      </c>
      <c r="E977" s="6">
        <f>'3_Survival_Probs'!D978</f>
        <v>0.949978267677153</v>
      </c>
      <c r="F977" s="8">
        <f t="shared" si="36"/>
        <v>7.34319510327097e-5</v>
      </c>
      <c r="G977" s="29">
        <f>(1-recovery)*notional*C977*F977</f>
        <v>406.678407642749</v>
      </c>
      <c r="H977" s="8">
        <f t="shared" si="35"/>
        <v>1.16989678910929e-5</v>
      </c>
      <c r="I977" s="30"/>
    </row>
    <row r="978" spans="1:9">
      <c r="A978" s="10">
        <v>976</v>
      </c>
      <c r="B978" s="12">
        <f>'2_Discount_Factors'!B979</f>
        <v>2.67397260273973</v>
      </c>
      <c r="C978" s="12">
        <f>EXP(-r_free*(('2_Discount_Factors'!B978+'2_Discount_Factors'!B979)/2))</f>
        <v>0.922951970441051</v>
      </c>
      <c r="D978" s="12">
        <f>'3_Survival_Probs'!D978</f>
        <v>0.949978267677153</v>
      </c>
      <c r="E978" s="12">
        <f>'3_Survival_Probs'!D979</f>
        <v>0.949904841401866</v>
      </c>
      <c r="F978" s="14">
        <f t="shared" si="36"/>
        <v>7.34262752873915e-5</v>
      </c>
      <c r="G978" s="32">
        <f>(1-recovery)*notional*C978*F978</f>
        <v>406.613552751871</v>
      </c>
      <c r="H978" s="14">
        <f t="shared" si="35"/>
        <v>1.1882770491379e-5</v>
      </c>
      <c r="I978" s="33"/>
    </row>
    <row r="979" spans="1:9">
      <c r="A979" s="4">
        <v>977</v>
      </c>
      <c r="B979" s="6">
        <f>'2_Discount_Factors'!B980</f>
        <v>2.67671232876712</v>
      </c>
      <c r="C979" s="6">
        <f>EXP(-r_free*(('2_Discount_Factors'!B979+'2_Discount_Factors'!B980)/2))</f>
        <v>0.922876114492398</v>
      </c>
      <c r="D979" s="6">
        <f>'3_Survival_Probs'!D979</f>
        <v>0.949904841401866</v>
      </c>
      <c r="E979" s="6">
        <f>'3_Survival_Probs'!D980</f>
        <v>0.949831420801885</v>
      </c>
      <c r="F979" s="8">
        <f t="shared" si="36"/>
        <v>7.34205999808335e-5</v>
      </c>
      <c r="G979" s="29">
        <f>(1-recovery)*notional*C979*F979</f>
        <v>406.548708204074</v>
      </c>
      <c r="H979" s="8">
        <f t="shared" ref="H979:H1005" si="37">C979*(B979-2.4986301369863)*F979</f>
        <v>1.20665141704406e-5</v>
      </c>
      <c r="I979" s="30"/>
    </row>
    <row r="980" spans="1:9">
      <c r="A980" s="10">
        <v>978</v>
      </c>
      <c r="B980" s="12">
        <f>'2_Discount_Factors'!B981</f>
        <v>2.67945205479452</v>
      </c>
      <c r="C980" s="12">
        <f>EXP(-r_free*(('2_Discount_Factors'!B980+'2_Discount_Factors'!B981)/2))</f>
        <v>0.922800264778224</v>
      </c>
      <c r="D980" s="12">
        <f>'3_Survival_Probs'!D980</f>
        <v>0.949831420801885</v>
      </c>
      <c r="E980" s="12">
        <f>'3_Survival_Probs'!D981</f>
        <v>0.949758005876772</v>
      </c>
      <c r="F980" s="14">
        <f t="shared" si="36"/>
        <v>7.34149251129246e-5</v>
      </c>
      <c r="G980" s="32">
        <f>(1-recovery)*notional*C980*F980</f>
        <v>406.483873997282</v>
      </c>
      <c r="H980" s="14">
        <f t="shared" si="37"/>
        <v>1.22501989423839e-5</v>
      </c>
      <c r="I980" s="33"/>
    </row>
    <row r="981" spans="1:9">
      <c r="A981" s="4">
        <v>979</v>
      </c>
      <c r="B981" s="6">
        <f>'2_Discount_Factors'!B982</f>
        <v>2.68219178082192</v>
      </c>
      <c r="C981" s="6">
        <f>EXP(-r_free*(('2_Discount_Factors'!B981+'2_Discount_Factors'!B982)/2))</f>
        <v>0.922724421298017</v>
      </c>
      <c r="D981" s="6">
        <f>'3_Survival_Probs'!D981</f>
        <v>0.949758005876772</v>
      </c>
      <c r="E981" s="6">
        <f>'3_Survival_Probs'!D982</f>
        <v>0.949684596626088</v>
      </c>
      <c r="F981" s="8">
        <f t="shared" si="36"/>
        <v>7.34092506836648e-5</v>
      </c>
      <c r="G981" s="29">
        <f>(1-recovery)*notional*C981*F981</f>
        <v>406.419050130034</v>
      </c>
      <c r="H981" s="8">
        <f t="shared" si="37"/>
        <v>1.24338248213299e-5</v>
      </c>
      <c r="I981" s="30"/>
    </row>
    <row r="982" spans="1:9">
      <c r="A982" s="10">
        <v>980</v>
      </c>
      <c r="B982" s="12">
        <f>'2_Discount_Factors'!B983</f>
        <v>2.68493150684931</v>
      </c>
      <c r="C982" s="12">
        <f>EXP(-r_free*(('2_Discount_Factors'!B982+'2_Discount_Factors'!B983)/2))</f>
        <v>0.922648584051265</v>
      </c>
      <c r="D982" s="12">
        <f>'3_Survival_Probs'!D982</f>
        <v>0.949684596626088</v>
      </c>
      <c r="E982" s="12">
        <f>'3_Survival_Probs'!D983</f>
        <v>0.949611193049395</v>
      </c>
      <c r="F982" s="14">
        <f t="shared" si="36"/>
        <v>7.34035766929431e-5</v>
      </c>
      <c r="G982" s="32">
        <f>(1-recovery)*notional*C982*F982</f>
        <v>406.354236600254</v>
      </c>
      <c r="H982" s="14">
        <f t="shared" si="37"/>
        <v>1.26173918213778e-5</v>
      </c>
      <c r="I982" s="33"/>
    </row>
    <row r="983" spans="1:9">
      <c r="A983" s="4">
        <v>981</v>
      </c>
      <c r="B983" s="6">
        <f>'2_Discount_Factors'!B984</f>
        <v>2.68767123287671</v>
      </c>
      <c r="C983" s="6">
        <f>EXP(-r_free*(('2_Discount_Factors'!B983+'2_Discount_Factors'!B984)/2))</f>
        <v>0.922572753037454</v>
      </c>
      <c r="D983" s="6">
        <f>'3_Survival_Probs'!D983</f>
        <v>0.949611193049395</v>
      </c>
      <c r="E983" s="6">
        <f>'3_Survival_Probs'!D984</f>
        <v>0.949537795146255</v>
      </c>
      <c r="F983" s="8">
        <f t="shared" si="36"/>
        <v>7.33979031407594e-5</v>
      </c>
      <c r="G983" s="29">
        <f>(1-recovery)*notional*C983*F983</f>
        <v>406.289433406481</v>
      </c>
      <c r="H983" s="8">
        <f t="shared" si="37"/>
        <v>1.28008999566427e-5</v>
      </c>
      <c r="I983" s="30"/>
    </row>
    <row r="984" spans="1:9">
      <c r="A984" s="10">
        <v>982</v>
      </c>
      <c r="B984" s="12">
        <f>'2_Discount_Factors'!B985</f>
        <v>2.69041095890411</v>
      </c>
      <c r="C984" s="12">
        <f>EXP(-r_free*(('2_Discount_Factors'!B984+'2_Discount_Factors'!B985)/2))</f>
        <v>0.922496928256074</v>
      </c>
      <c r="D984" s="12">
        <f>'3_Survival_Probs'!D984</f>
        <v>0.949537795146255</v>
      </c>
      <c r="E984" s="12">
        <f>'3_Survival_Probs'!D985</f>
        <v>0.949464402916227</v>
      </c>
      <c r="F984" s="14">
        <f t="shared" si="36"/>
        <v>7.33922300272249e-5</v>
      </c>
      <c r="G984" s="32">
        <f>(1-recovery)*notional*C984*F984</f>
        <v>406.224640547869</v>
      </c>
      <c r="H984" s="14">
        <f t="shared" si="37"/>
        <v>1.29843492412562e-5</v>
      </c>
      <c r="I984" s="33"/>
    </row>
    <row r="985" spans="1:9">
      <c r="A985" s="4">
        <v>983</v>
      </c>
      <c r="B985" s="6">
        <f>'2_Discount_Factors'!B986</f>
        <v>2.69315068493151</v>
      </c>
      <c r="C985" s="6">
        <f>EXP(-r_free*(('2_Discount_Factors'!B985+'2_Discount_Factors'!B986)/2))</f>
        <v>0.922421109706612</v>
      </c>
      <c r="D985" s="6">
        <f>'3_Survival_Probs'!D985</f>
        <v>0.949464402916227</v>
      </c>
      <c r="E985" s="6">
        <f>'3_Survival_Probs'!D986</f>
        <v>0.949391016358875</v>
      </c>
      <c r="F985" s="8">
        <f t="shared" si="36"/>
        <v>7.33865573521175e-5</v>
      </c>
      <c r="G985" s="29">
        <f>(1-recovery)*notional*C985*F985</f>
        <v>406.159858021729</v>
      </c>
      <c r="H985" s="8">
        <f t="shared" si="37"/>
        <v>1.3167739689289e-5</v>
      </c>
      <c r="I985" s="30"/>
    </row>
    <row r="986" spans="1:9">
      <c r="A986" s="10">
        <v>984</v>
      </c>
      <c r="B986" s="12">
        <f>'2_Discount_Factors'!B987</f>
        <v>2.6958904109589</v>
      </c>
      <c r="C986" s="12">
        <f>EXP(-r_free*(('2_Discount_Factors'!B986+'2_Discount_Factors'!B987)/2))</f>
        <v>0.922345297388554</v>
      </c>
      <c r="D986" s="12">
        <f>'3_Survival_Probs'!D986</f>
        <v>0.949391016358875</v>
      </c>
      <c r="E986" s="12">
        <f>'3_Survival_Probs'!D987</f>
        <v>0.94931763547376</v>
      </c>
      <c r="F986" s="14">
        <f t="shared" si="36"/>
        <v>7.33808851154372e-5</v>
      </c>
      <c r="G986" s="32">
        <f>(1-recovery)*notional*C986*F986</f>
        <v>406.095085826599</v>
      </c>
      <c r="H986" s="14">
        <f t="shared" si="37"/>
        <v>1.33510713148472e-5</v>
      </c>
      <c r="I986" s="33"/>
    </row>
    <row r="987" spans="1:9">
      <c r="A987" s="4">
        <v>985</v>
      </c>
      <c r="B987" s="6">
        <f>'2_Discount_Factors'!B988</f>
        <v>2.6986301369863</v>
      </c>
      <c r="C987" s="6">
        <f>EXP(-r_free*(('2_Discount_Factors'!B987+'2_Discount_Factors'!B988)/2))</f>
        <v>0.922269491301391</v>
      </c>
      <c r="D987" s="6">
        <f>'3_Survival_Probs'!D987</f>
        <v>0.94931763547376</v>
      </c>
      <c r="E987" s="6">
        <f>'3_Survival_Probs'!D988</f>
        <v>0.949244260260443</v>
      </c>
      <c r="F987" s="8">
        <f t="shared" si="36"/>
        <v>7.33752133171839e-5</v>
      </c>
      <c r="G987" s="29">
        <f>(1-recovery)*notional*C987*F987</f>
        <v>406.030323961021</v>
      </c>
      <c r="H987" s="8">
        <f t="shared" si="37"/>
        <v>1.35343441320341e-5</v>
      </c>
      <c r="I987" s="30"/>
    </row>
    <row r="988" spans="1:9">
      <c r="A988" s="10">
        <v>986</v>
      </c>
      <c r="B988" s="12">
        <f>'2_Discount_Factors'!B989</f>
        <v>2.7013698630137</v>
      </c>
      <c r="C988" s="12">
        <f>EXP(-r_free*(('2_Discount_Factors'!B988+'2_Discount_Factors'!B989)/2))</f>
        <v>0.922193691444608</v>
      </c>
      <c r="D988" s="12">
        <f>'3_Survival_Probs'!D988</f>
        <v>0.949244260260443</v>
      </c>
      <c r="E988" s="12">
        <f>'3_Survival_Probs'!D989</f>
        <v>0.949170890718485</v>
      </c>
      <c r="F988" s="14">
        <f t="shared" si="36"/>
        <v>7.33695419573577e-5</v>
      </c>
      <c r="G988" s="32">
        <f>(1-recovery)*notional*C988*F988</f>
        <v>405.965572423534</v>
      </c>
      <c r="H988" s="14">
        <f t="shared" si="37"/>
        <v>1.37175581549506e-5</v>
      </c>
      <c r="I988" s="33"/>
    </row>
    <row r="989" spans="1:9">
      <c r="A989" s="4">
        <v>987</v>
      </c>
      <c r="B989" s="6">
        <f>'2_Discount_Factors'!B990</f>
        <v>2.7041095890411</v>
      </c>
      <c r="C989" s="6">
        <f>EXP(-r_free*(('2_Discount_Factors'!B989+'2_Discount_Factors'!B990)/2))</f>
        <v>0.922117897817695</v>
      </c>
      <c r="D989" s="6">
        <f>'3_Survival_Probs'!D989</f>
        <v>0.949170890718485</v>
      </c>
      <c r="E989" s="6">
        <f>'3_Survival_Probs'!D990</f>
        <v>0.949097526847449</v>
      </c>
      <c r="F989" s="8">
        <f t="shared" si="36"/>
        <v>7.33638710358475e-5</v>
      </c>
      <c r="G989" s="29">
        <f>(1-recovery)*notional*C989*F989</f>
        <v>405.900831212065</v>
      </c>
      <c r="H989" s="8">
        <f t="shared" si="37"/>
        <v>1.39007133976735e-5</v>
      </c>
      <c r="I989" s="30"/>
    </row>
    <row r="990" spans="1:9">
      <c r="A990" s="10">
        <v>988</v>
      </c>
      <c r="B990" s="12">
        <f>'2_Discount_Factors'!B991</f>
        <v>2.70684931506849</v>
      </c>
      <c r="C990" s="12">
        <f>EXP(-r_free*(('2_Discount_Factors'!B990+'2_Discount_Factors'!B991)/2))</f>
        <v>0.922042110420139</v>
      </c>
      <c r="D990" s="12">
        <f>'3_Survival_Probs'!D990</f>
        <v>0.949097526847449</v>
      </c>
      <c r="E990" s="12">
        <f>'3_Survival_Probs'!D991</f>
        <v>0.949024168646897</v>
      </c>
      <c r="F990" s="14">
        <f t="shared" si="36"/>
        <v>7.33582005526534e-5</v>
      </c>
      <c r="G990" s="32">
        <f>(1-recovery)*notional*C990*F990</f>
        <v>405.836100325154</v>
      </c>
      <c r="H990" s="14">
        <f t="shared" si="37"/>
        <v>1.40838098742977e-5</v>
      </c>
      <c r="I990" s="33"/>
    </row>
    <row r="991" spans="1:9">
      <c r="A991" s="4">
        <v>989</v>
      </c>
      <c r="B991" s="6">
        <f>'2_Discount_Factors'!B992</f>
        <v>2.70958904109589</v>
      </c>
      <c r="C991" s="6">
        <f>EXP(-r_free*(('2_Discount_Factors'!B991+'2_Discount_Factors'!B992)/2))</f>
        <v>0.921966329251428</v>
      </c>
      <c r="D991" s="6">
        <f>'3_Survival_Probs'!D991</f>
        <v>0.949024168646897</v>
      </c>
      <c r="E991" s="6">
        <f>'3_Survival_Probs'!D992</f>
        <v>0.948950816116389</v>
      </c>
      <c r="F991" s="8">
        <f t="shared" si="36"/>
        <v>7.33525305077753e-5</v>
      </c>
      <c r="G991" s="29">
        <f>(1-recovery)*notional*C991*F991</f>
        <v>405.771379761342</v>
      </c>
      <c r="H991" s="8">
        <f t="shared" si="37"/>
        <v>1.42668475989149e-5</v>
      </c>
      <c r="I991" s="30"/>
    </row>
    <row r="992" spans="1:9">
      <c r="A992" s="10">
        <v>990</v>
      </c>
      <c r="B992" s="12">
        <f>'2_Discount_Factors'!B993</f>
        <v>2.71232876712329</v>
      </c>
      <c r="C992" s="12">
        <f>EXP(-r_free*(('2_Discount_Factors'!B992+'2_Discount_Factors'!B993)/2))</f>
        <v>0.92189055431105</v>
      </c>
      <c r="D992" s="12">
        <f>'3_Survival_Probs'!D992</f>
        <v>0.948950816116389</v>
      </c>
      <c r="E992" s="12">
        <f>'3_Survival_Probs'!D993</f>
        <v>0.948877469255488</v>
      </c>
      <c r="F992" s="14">
        <f t="shared" si="36"/>
        <v>7.33468609011023e-5</v>
      </c>
      <c r="G992" s="32">
        <f>(1-recovery)*notional*C992*F992</f>
        <v>405.706669518556</v>
      </c>
      <c r="H992" s="14">
        <f t="shared" si="37"/>
        <v>1.44498265855925e-5</v>
      </c>
      <c r="I992" s="33"/>
    </row>
    <row r="993" spans="1:9">
      <c r="A993" s="4">
        <v>991</v>
      </c>
      <c r="B993" s="6">
        <f>'2_Discount_Factors'!B994</f>
        <v>2.71506849315068</v>
      </c>
      <c r="C993" s="6">
        <f>EXP(-r_free*(('2_Discount_Factors'!B993+'2_Discount_Factors'!B994)/2))</f>
        <v>0.921814785598494</v>
      </c>
      <c r="D993" s="6">
        <f>'3_Survival_Probs'!D993</f>
        <v>0.948877469255488</v>
      </c>
      <c r="E993" s="6">
        <f>'3_Survival_Probs'!D994</f>
        <v>0.948804128063755</v>
      </c>
      <c r="F993" s="8">
        <f t="shared" si="36"/>
        <v>7.33411917326343e-5</v>
      </c>
      <c r="G993" s="29">
        <f>(1-recovery)*notional*C993*F993</f>
        <v>405.641969595338</v>
      </c>
      <c r="H993" s="8">
        <f t="shared" si="37"/>
        <v>1.46327468484164e-5</v>
      </c>
      <c r="I993" s="30"/>
    </row>
    <row r="994" spans="1:9">
      <c r="A994" s="10">
        <v>992</v>
      </c>
      <c r="B994" s="12">
        <f>'2_Discount_Factors'!B995</f>
        <v>2.71780821917808</v>
      </c>
      <c r="C994" s="12">
        <f>EXP(-r_free*(('2_Discount_Factors'!B994+'2_Discount_Factors'!B995)/2))</f>
        <v>0.921739023113247</v>
      </c>
      <c r="D994" s="12">
        <f>'3_Survival_Probs'!D994</f>
        <v>0.948804128063755</v>
      </c>
      <c r="E994" s="12">
        <f>'3_Survival_Probs'!D995</f>
        <v>0.948730792540753</v>
      </c>
      <c r="F994" s="14">
        <f t="shared" si="36"/>
        <v>7.33355230023713e-5</v>
      </c>
      <c r="G994" s="32">
        <f>(1-recovery)*notional*C994*F994</f>
        <v>405.577279990229</v>
      </c>
      <c r="H994" s="14">
        <f t="shared" si="37"/>
        <v>1.48156084014696e-5</v>
      </c>
      <c r="I994" s="33"/>
    </row>
    <row r="995" spans="1:9">
      <c r="A995" s="4">
        <v>993</v>
      </c>
      <c r="B995" s="6">
        <f>'2_Discount_Factors'!B996</f>
        <v>2.72054794520548</v>
      </c>
      <c r="C995" s="6">
        <f>EXP(-r_free*(('2_Discount_Factors'!B995+'2_Discount_Factors'!B996)/2))</f>
        <v>0.921663266854797</v>
      </c>
      <c r="D995" s="6">
        <f>'3_Survival_Probs'!D995</f>
        <v>0.948730792540753</v>
      </c>
      <c r="E995" s="6">
        <f>'3_Survival_Probs'!D996</f>
        <v>0.948657462686043</v>
      </c>
      <c r="F995" s="8">
        <f t="shared" si="36"/>
        <v>7.33298547103134e-5</v>
      </c>
      <c r="G995" s="29">
        <f>(1-recovery)*notional*C995*F995</f>
        <v>405.512600701771</v>
      </c>
      <c r="H995" s="8">
        <f t="shared" si="37"/>
        <v>1.49984112588327e-5</v>
      </c>
      <c r="I995" s="30"/>
    </row>
    <row r="996" spans="1:9">
      <c r="A996" s="10">
        <v>994</v>
      </c>
      <c r="B996" s="12">
        <f>'2_Discount_Factors'!B997</f>
        <v>2.72328767123288</v>
      </c>
      <c r="C996" s="12">
        <f>EXP(-r_free*(('2_Discount_Factors'!B996+'2_Discount_Factors'!B997)/2))</f>
        <v>0.921587516822634</v>
      </c>
      <c r="D996" s="12">
        <f>'3_Survival_Probs'!D996</f>
        <v>0.948657462686043</v>
      </c>
      <c r="E996" s="12">
        <f>'3_Survival_Probs'!D997</f>
        <v>0.948584138499186</v>
      </c>
      <c r="F996" s="14">
        <f t="shared" si="36"/>
        <v>7.33241868563494e-5</v>
      </c>
      <c r="G996" s="32">
        <f>(1-recovery)*notional*C996*F996</f>
        <v>405.447931727892</v>
      </c>
      <c r="H996" s="14">
        <f t="shared" si="37"/>
        <v>1.51811554345604e-5</v>
      </c>
      <c r="I996" s="33"/>
    </row>
    <row r="997" spans="1:9">
      <c r="A997" s="4">
        <v>995</v>
      </c>
      <c r="B997" s="6">
        <f>'2_Discount_Factors'!B998</f>
        <v>2.72602739726027</v>
      </c>
      <c r="C997" s="6">
        <f>EXP(-r_free*(('2_Discount_Factors'!B997+'2_Discount_Factors'!B998)/2))</f>
        <v>0.921511773016245</v>
      </c>
      <c r="D997" s="6">
        <f>'3_Survival_Probs'!D997</f>
        <v>0.948584138499186</v>
      </c>
      <c r="E997" s="6">
        <f>'3_Survival_Probs'!D998</f>
        <v>0.948510819979746</v>
      </c>
      <c r="F997" s="8">
        <f t="shared" si="36"/>
        <v>7.33185194404795e-5</v>
      </c>
      <c r="G997" s="29">
        <f>(1-recovery)*notional*C997*F997</f>
        <v>405.383273067134</v>
      </c>
      <c r="H997" s="8">
        <f t="shared" si="37"/>
        <v>1.53638409427271e-5</v>
      </c>
      <c r="I997" s="30"/>
    </row>
    <row r="998" spans="1:9">
      <c r="A998" s="10">
        <v>996</v>
      </c>
      <c r="B998" s="12">
        <f>'2_Discount_Factors'!B999</f>
        <v>2.72876712328767</v>
      </c>
      <c r="C998" s="12">
        <f>EXP(-r_free*(('2_Discount_Factors'!B998+'2_Discount_Factors'!B999)/2))</f>
        <v>0.921436035435119</v>
      </c>
      <c r="D998" s="12">
        <f>'3_Survival_Probs'!D998</f>
        <v>0.948510819979746</v>
      </c>
      <c r="E998" s="12">
        <f>'3_Survival_Probs'!D999</f>
        <v>0.948437507127283</v>
      </c>
      <c r="F998" s="14">
        <f t="shared" si="36"/>
        <v>7.33128524625926e-5</v>
      </c>
      <c r="G998" s="32">
        <f>(1-recovery)*notional*C998*F998</f>
        <v>405.318624717426</v>
      </c>
      <c r="H998" s="14">
        <f t="shared" si="37"/>
        <v>1.55464677973808e-5</v>
      </c>
      <c r="I998" s="33"/>
    </row>
    <row r="999" spans="1:9">
      <c r="A999" s="4">
        <v>997</v>
      </c>
      <c r="B999" s="6">
        <f>'2_Discount_Factors'!B1000</f>
        <v>2.73150684931507</v>
      </c>
      <c r="C999" s="6">
        <f>EXP(-r_free*(('2_Discount_Factors'!B999+'2_Discount_Factors'!B1000)/2))</f>
        <v>0.921360304078743</v>
      </c>
      <c r="D999" s="6">
        <f>'3_Survival_Probs'!D999</f>
        <v>0.948437507127283</v>
      </c>
      <c r="E999" s="6">
        <f>'3_Survival_Probs'!D1000</f>
        <v>0.94836419994136</v>
      </c>
      <c r="F999" s="8">
        <f t="shared" si="36"/>
        <v>7.33071859227996e-5</v>
      </c>
      <c r="G999" s="29">
        <f>(1-recovery)*notional*C999*F999</f>
        <v>405.253986677926</v>
      </c>
      <c r="H999" s="8">
        <f t="shared" si="37"/>
        <v>1.57290360126136e-5</v>
      </c>
      <c r="I999" s="30"/>
    </row>
    <row r="1000" spans="1:9">
      <c r="A1000" s="10">
        <v>998</v>
      </c>
      <c r="B1000" s="12">
        <f>'2_Discount_Factors'!B1001</f>
        <v>2.73424657534247</v>
      </c>
      <c r="C1000" s="12">
        <f>EXP(-r_free*(('2_Discount_Factors'!B1000+'2_Discount_Factors'!B1001)/2))</f>
        <v>0.921284578946606</v>
      </c>
      <c r="D1000" s="12">
        <f>'3_Survival_Probs'!D1000</f>
        <v>0.94836419994136</v>
      </c>
      <c r="E1000" s="12">
        <f>'3_Survival_Probs'!D1001</f>
        <v>0.948290898421539</v>
      </c>
      <c r="F1000" s="14">
        <f t="shared" si="36"/>
        <v>7.33015198209896e-5</v>
      </c>
      <c r="G1000" s="32">
        <f>(1-recovery)*notional*C1000*F1000</f>
        <v>405.189358946561</v>
      </c>
      <c r="H1000" s="14">
        <f t="shared" si="37"/>
        <v>1.59115456024678e-5</v>
      </c>
      <c r="I1000" s="33"/>
    </row>
    <row r="1001" spans="1:9">
      <c r="A1001" s="4">
        <v>999</v>
      </c>
      <c r="B1001" s="6">
        <f>'2_Discount_Factors'!B1002</f>
        <v>2.73698630136986</v>
      </c>
      <c r="C1001" s="6">
        <f>EXP(-r_free*(('2_Discount_Factors'!B1001+'2_Discount_Factors'!B1002)/2))</f>
        <v>0.921208860038197</v>
      </c>
      <c r="D1001" s="6">
        <f>'3_Survival_Probs'!D1001</f>
        <v>0.948290898421539</v>
      </c>
      <c r="E1001" s="6">
        <f>'3_Survival_Probs'!D1002</f>
        <v>0.948217602567382</v>
      </c>
      <c r="F1001" s="8">
        <f t="shared" si="36"/>
        <v>7.32958541570516e-5</v>
      </c>
      <c r="G1001" s="29">
        <f>(1-recovery)*notional*C1001*F1001</f>
        <v>405.124741521261</v>
      </c>
      <c r="H1001" s="8">
        <f t="shared" si="37"/>
        <v>1.60939965809817e-5</v>
      </c>
      <c r="I1001" s="30"/>
    </row>
    <row r="1002" spans="1:9">
      <c r="A1002" s="10">
        <v>1000</v>
      </c>
      <c r="B1002" s="12">
        <f>'2_Discount_Factors'!B1003</f>
        <v>2.73972602739726</v>
      </c>
      <c r="C1002" s="12">
        <f>EXP(-r_free*(('2_Discount_Factors'!B1002+'2_Discount_Factors'!B1003)/2))</f>
        <v>0.921133147353005</v>
      </c>
      <c r="D1002" s="12">
        <f>'3_Survival_Probs'!D1002</f>
        <v>0.948217602567382</v>
      </c>
      <c r="E1002" s="12">
        <f>'3_Survival_Probs'!D1003</f>
        <v>0.948144312378451</v>
      </c>
      <c r="F1002" s="14">
        <f t="shared" si="36"/>
        <v>7.32901889310966e-5</v>
      </c>
      <c r="G1002" s="32">
        <f>(1-recovery)*notional*C1002*F1002</f>
        <v>405.060134401184</v>
      </c>
      <c r="H1002" s="14">
        <f t="shared" si="37"/>
        <v>1.62763889622395e-5</v>
      </c>
      <c r="I1002" s="33"/>
    </row>
    <row r="1003" spans="1:9">
      <c r="A1003" s="4">
        <v>1001</v>
      </c>
      <c r="B1003" s="6">
        <f>'2_Discount_Factors'!B1004</f>
        <v>2.74246575342466</v>
      </c>
      <c r="C1003" s="6">
        <f>EXP(-r_free*(('2_Discount_Factors'!B1003+'2_Discount_Factors'!B1004)/2))</f>
        <v>0.921057440890517</v>
      </c>
      <c r="D1003" s="6">
        <f>'3_Survival_Probs'!D1003</f>
        <v>0.948144312378451</v>
      </c>
      <c r="E1003" s="6">
        <f>'3_Survival_Probs'!D1004</f>
        <v>0.948071027854308</v>
      </c>
      <c r="F1003" s="8">
        <f t="shared" si="36"/>
        <v>7.32845241430136e-5</v>
      </c>
      <c r="G1003" s="29">
        <f>(1-recovery)*notional*C1003*F1003</f>
        <v>404.99553758426</v>
      </c>
      <c r="H1003" s="8">
        <f t="shared" si="37"/>
        <v>1.64587227602737e-5</v>
      </c>
      <c r="I1003" s="30"/>
    </row>
    <row r="1004" spans="1:9">
      <c r="A1004" s="10">
        <v>1002</v>
      </c>
      <c r="B1004" s="12">
        <f>'2_Discount_Factors'!B1005</f>
        <v>2.74520547945205</v>
      </c>
      <c r="C1004" s="12">
        <f>EXP(-r_free*(('2_Discount_Factors'!B1004+'2_Discount_Factors'!B1005)/2))</f>
        <v>0.920981740650222</v>
      </c>
      <c r="D1004" s="12">
        <f>'3_Survival_Probs'!D1004</f>
        <v>0.948071027854308</v>
      </c>
      <c r="E1004" s="12">
        <f>'3_Survival_Probs'!D1005</f>
        <v>0.947997748994515</v>
      </c>
      <c r="F1004" s="14">
        <f t="shared" si="36"/>
        <v>7.32788597926914e-5</v>
      </c>
      <c r="G1004" s="32">
        <f>(1-recovery)*notional*C1004*F1004</f>
        <v>404.930951068419</v>
      </c>
      <c r="H1004" s="14">
        <f t="shared" si="37"/>
        <v>1.66409979891132e-5</v>
      </c>
      <c r="I1004" s="33"/>
    </row>
    <row r="1005" spans="1:9">
      <c r="A1005" s="34">
        <v>1003</v>
      </c>
      <c r="B1005" s="35">
        <f>'2_Discount_Factors'!B1006</f>
        <v>2.74794520547945</v>
      </c>
      <c r="C1005" s="35">
        <f>EXP(-r_free*(('2_Discount_Factors'!B1005+'2_Discount_Factors'!B1006)/2))</f>
        <v>0.920906046631609</v>
      </c>
      <c r="D1005" s="35">
        <f>'3_Survival_Probs'!D1005</f>
        <v>0.947997748994515</v>
      </c>
      <c r="E1005" s="35">
        <f>'3_Survival_Probs'!D1006</f>
        <v>0.947924475798635</v>
      </c>
      <c r="F1005" s="36">
        <f t="shared" si="36"/>
        <v>7.32731958802413e-5</v>
      </c>
      <c r="G1005" s="37">
        <f>(1-recovery)*notional*C1005*F1005</f>
        <v>404.866374852819</v>
      </c>
      <c r="H1005" s="36">
        <f t="shared" si="37"/>
        <v>1.68232146628341e-5</v>
      </c>
      <c r="I1005" s="38" t="s">
        <v>71</v>
      </c>
    </row>
    <row r="1006" spans="1:9">
      <c r="A1006" s="10">
        <v>1004</v>
      </c>
      <c r="B1006" s="12">
        <f>'2_Discount_Factors'!B1007</f>
        <v>2.75068493150685</v>
      </c>
      <c r="C1006" s="12">
        <f>EXP(-r_free*(('2_Discount_Factors'!B1006+'2_Discount_Factors'!B1007)/2))</f>
        <v>0.920830358834167</v>
      </c>
      <c r="D1006" s="12">
        <f>'3_Survival_Probs'!D1006</f>
        <v>0.947924475798635</v>
      </c>
      <c r="E1006" s="12">
        <f>'3_Survival_Probs'!D1007</f>
        <v>0.94785120826623</v>
      </c>
      <c r="F1006" s="14">
        <f t="shared" si="36"/>
        <v>7.32675324056631e-5</v>
      </c>
      <c r="G1006" s="32">
        <f>(1-recovery)*notional*C1006*F1006</f>
        <v>404.801808936004</v>
      </c>
      <c r="H1006" s="14">
        <f t="shared" ref="H1006:H1069" si="38">C1006*(B1006-2.74794520547945)*F1006</f>
        <v>1.84841008646704e-7</v>
      </c>
      <c r="I1006" s="33"/>
    </row>
    <row r="1007" spans="1:9">
      <c r="A1007" s="4">
        <v>1005</v>
      </c>
      <c r="B1007" s="6">
        <f>'2_Discount_Factors'!B1008</f>
        <v>2.75342465753425</v>
      </c>
      <c r="C1007" s="6">
        <f>EXP(-r_free*(('2_Discount_Factors'!B1007+'2_Discount_Factors'!B1008)/2))</f>
        <v>0.920754677257384</v>
      </c>
      <c r="D1007" s="6">
        <f>'3_Survival_Probs'!D1007</f>
        <v>0.94785120826623</v>
      </c>
      <c r="E1007" s="6">
        <f>'3_Survival_Probs'!D1008</f>
        <v>0.947777946396861</v>
      </c>
      <c r="F1007" s="8">
        <f t="shared" si="36"/>
        <v>7.32618693687348e-5</v>
      </c>
      <c r="G1007" s="29">
        <f>(1-recovery)*notional*C1007*F1007</f>
        <v>404.737253315292</v>
      </c>
      <c r="H1007" s="8">
        <f t="shared" si="38"/>
        <v>3.69623062388528e-7</v>
      </c>
      <c r="I1007" s="30"/>
    </row>
    <row r="1008" spans="1:9">
      <c r="A1008" s="10">
        <v>1006</v>
      </c>
      <c r="B1008" s="12">
        <f>'2_Discount_Factors'!B1009</f>
        <v>2.75616438356164</v>
      </c>
      <c r="C1008" s="12">
        <f>EXP(-r_free*(('2_Discount_Factors'!B1008+'2_Discount_Factors'!B1009)/2))</f>
        <v>0.920679001900749</v>
      </c>
      <c r="D1008" s="12">
        <f>'3_Survival_Probs'!D1008</f>
        <v>0.947777946396861</v>
      </c>
      <c r="E1008" s="12">
        <f>'3_Survival_Probs'!D1009</f>
        <v>0.947704690190091</v>
      </c>
      <c r="F1008" s="14">
        <f t="shared" si="36"/>
        <v>7.32562067694564e-5</v>
      </c>
      <c r="G1008" s="32">
        <f>(1-recovery)*notional*C1008*F1008</f>
        <v>404.672707989228</v>
      </c>
      <c r="H1008" s="14">
        <f t="shared" si="38"/>
        <v>5.5434617532785e-7</v>
      </c>
      <c r="I1008" s="33"/>
    </row>
    <row r="1009" spans="1:9">
      <c r="A1009" s="4">
        <v>1007</v>
      </c>
      <c r="B1009" s="6">
        <f>'2_Discount_Factors'!B1010</f>
        <v>2.75890410958904</v>
      </c>
      <c r="C1009" s="6">
        <f>EXP(-r_free*(('2_Discount_Factors'!B1009+'2_Discount_Factors'!B1010)/2))</f>
        <v>0.920603332763751</v>
      </c>
      <c r="D1009" s="6">
        <f>'3_Survival_Probs'!D1009</f>
        <v>0.947704690190091</v>
      </c>
      <c r="E1009" s="6">
        <f>'3_Survival_Probs'!D1010</f>
        <v>0.947631439645483</v>
      </c>
      <c r="F1009" s="8">
        <f t="shared" si="36"/>
        <v>7.3250544607939e-5</v>
      </c>
      <c r="G1009" s="29">
        <f>(1-recovery)*notional*C1009*F1009</f>
        <v>404.608172956971</v>
      </c>
      <c r="H1009" s="8">
        <f t="shared" si="38"/>
        <v>7.3901036156539e-7</v>
      </c>
      <c r="I1009" s="30"/>
    </row>
    <row r="1010" spans="1:9">
      <c r="A1010" s="10">
        <v>1008</v>
      </c>
      <c r="B1010" s="12">
        <f>'2_Discount_Factors'!B1011</f>
        <v>2.76164383561644</v>
      </c>
      <c r="C1010" s="12">
        <f>EXP(-r_free*(('2_Discount_Factors'!B1010+'2_Discount_Factors'!B1011)/2))</f>
        <v>0.920527669845878</v>
      </c>
      <c r="D1010" s="12">
        <f>'3_Survival_Probs'!D1010</f>
        <v>0.947631439645483</v>
      </c>
      <c r="E1010" s="12">
        <f>'3_Survival_Probs'!D1011</f>
        <v>0.947558194762599</v>
      </c>
      <c r="F1010" s="14">
        <f t="shared" si="36"/>
        <v>7.32448828840715e-5</v>
      </c>
      <c r="G1010" s="32">
        <f>(1-recovery)*notional*C1010*F1010</f>
        <v>404.543648216451</v>
      </c>
      <c r="H1010" s="14">
        <f t="shared" si="38"/>
        <v>9.23615635197531e-7</v>
      </c>
      <c r="I1010" s="33"/>
    </row>
    <row r="1011" spans="1:9">
      <c r="A1011" s="4">
        <v>1009</v>
      </c>
      <c r="B1011" s="6">
        <f>'2_Discount_Factors'!B1012</f>
        <v>2.76438356164384</v>
      </c>
      <c r="C1011" s="6">
        <f>EXP(-r_free*(('2_Discount_Factors'!B1011+'2_Discount_Factors'!B1012)/2))</f>
        <v>0.920452013146619</v>
      </c>
      <c r="D1011" s="6">
        <f>'3_Survival_Probs'!D1011</f>
        <v>0.947558194762599</v>
      </c>
      <c r="E1011" s="6">
        <f>'3_Survival_Probs'!D1012</f>
        <v>0.947484955541002</v>
      </c>
      <c r="F1011" s="8">
        <f t="shared" si="36"/>
        <v>7.32392215977429e-5</v>
      </c>
      <c r="G1011" s="29">
        <f>(1-recovery)*notional*C1011*F1011</f>
        <v>404.479133765603</v>
      </c>
      <c r="H1011" s="8">
        <f t="shared" si="38"/>
        <v>1.10816201031685e-6</v>
      </c>
      <c r="I1011" s="30"/>
    </row>
    <row r="1012" spans="1:9">
      <c r="A1012" s="10">
        <v>1010</v>
      </c>
      <c r="B1012" s="12">
        <f>'2_Discount_Factors'!B1013</f>
        <v>2.76712328767123</v>
      </c>
      <c r="C1012" s="12">
        <f>EXP(-r_free*(('2_Discount_Factors'!B1012+'2_Discount_Factors'!B1013)/2))</f>
        <v>0.920376362665464</v>
      </c>
      <c r="D1012" s="12">
        <f>'3_Survival_Probs'!D1012</f>
        <v>0.947484955541002</v>
      </c>
      <c r="E1012" s="12">
        <f>'3_Survival_Probs'!D1013</f>
        <v>0.947411721980253</v>
      </c>
      <c r="F1012" s="14">
        <f t="shared" si="36"/>
        <v>7.32335607490642e-5</v>
      </c>
      <c r="G1012" s="32">
        <f>(1-recovery)*notional*C1012*F1012</f>
        <v>404.414629603584</v>
      </c>
      <c r="H1012" s="14">
        <f t="shared" si="38"/>
        <v>1.29264950101616e-6</v>
      </c>
      <c r="I1012" s="33"/>
    </row>
    <row r="1013" spans="1:9">
      <c r="A1013" s="4">
        <v>1011</v>
      </c>
      <c r="B1013" s="6">
        <f>'2_Discount_Factors'!B1014</f>
        <v>2.76986301369863</v>
      </c>
      <c r="C1013" s="6">
        <f>EXP(-r_free*(('2_Discount_Factors'!B1013+'2_Discount_Factors'!B1014)/2))</f>
        <v>0.920300718401901</v>
      </c>
      <c r="D1013" s="6">
        <f>'3_Survival_Probs'!D1013</f>
        <v>0.947411721980253</v>
      </c>
      <c r="E1013" s="6">
        <f>'3_Survival_Probs'!D1014</f>
        <v>0.947338494079915</v>
      </c>
      <c r="F1013" s="8">
        <f t="shared" si="36"/>
        <v>7.32279003379244e-5</v>
      </c>
      <c r="G1013" s="29">
        <f>(1-recovery)*notional*C1013*F1013</f>
        <v>404.350135728328</v>
      </c>
      <c r="H1013" s="8">
        <f t="shared" si="38"/>
        <v>1.47707812138216e-6</v>
      </c>
      <c r="I1013" s="30"/>
    </row>
    <row r="1014" spans="1:9">
      <c r="A1014" s="10">
        <v>1012</v>
      </c>
      <c r="B1014" s="12">
        <f>'2_Discount_Factors'!B1015</f>
        <v>2.77260273972603</v>
      </c>
      <c r="C1014" s="12">
        <f>EXP(-r_free*(('2_Discount_Factors'!B1014+'2_Discount_Factors'!B1015)/2))</f>
        <v>0.920225080355419</v>
      </c>
      <c r="D1014" s="12">
        <f>'3_Survival_Probs'!D1014</f>
        <v>0.947338494079915</v>
      </c>
      <c r="E1014" s="12">
        <f>'3_Survival_Probs'!D1015</f>
        <v>0.94726527183955</v>
      </c>
      <c r="F1014" s="14">
        <f t="shared" si="36"/>
        <v>7.32222403642124e-5</v>
      </c>
      <c r="G1014" s="32">
        <f>(1-recovery)*notional*C1014*F1014</f>
        <v>404.285652137767</v>
      </c>
      <c r="H1014" s="14">
        <f t="shared" si="38"/>
        <v>1.66144788549782e-6</v>
      </c>
      <c r="I1014" s="33"/>
    </row>
    <row r="1015" spans="1:9">
      <c r="A1015" s="4">
        <v>1013</v>
      </c>
      <c r="B1015" s="6">
        <f>'2_Discount_Factors'!B1016</f>
        <v>2.77534246575342</v>
      </c>
      <c r="C1015" s="6">
        <f>EXP(-r_free*(('2_Discount_Factors'!B1015+'2_Discount_Factors'!B1016)/2))</f>
        <v>0.920149448525508</v>
      </c>
      <c r="D1015" s="6">
        <f>'3_Survival_Probs'!D1015</f>
        <v>0.94726527183955</v>
      </c>
      <c r="E1015" s="6">
        <f>'3_Survival_Probs'!D1016</f>
        <v>0.947192055258722</v>
      </c>
      <c r="F1015" s="8">
        <f t="shared" si="36"/>
        <v>7.32165808280394e-5</v>
      </c>
      <c r="G1015" s="29">
        <f>(1-recovery)*notional*C1015*F1015</f>
        <v>404.221178831062</v>
      </c>
      <c r="H1015" s="8">
        <f t="shared" si="38"/>
        <v>1.8457588074479e-6</v>
      </c>
      <c r="I1015" s="30"/>
    </row>
    <row r="1016" spans="1:9">
      <c r="A1016" s="10">
        <v>1014</v>
      </c>
      <c r="B1016" s="12">
        <f>'2_Discount_Factors'!B1017</f>
        <v>2.77808219178082</v>
      </c>
      <c r="C1016" s="12">
        <f>EXP(-r_free*(('2_Discount_Factors'!B1016+'2_Discount_Factors'!B1017)/2))</f>
        <v>0.920073822911656</v>
      </c>
      <c r="D1016" s="12">
        <f>'3_Survival_Probs'!D1016</f>
        <v>0.947192055258722</v>
      </c>
      <c r="E1016" s="12">
        <f>'3_Survival_Probs'!D1017</f>
        <v>0.947118844336993</v>
      </c>
      <c r="F1016" s="14">
        <f t="shared" si="36"/>
        <v>7.32109217292942e-5</v>
      </c>
      <c r="G1016" s="32">
        <f>(1-recovery)*notional*C1016*F1016</f>
        <v>404.156715806147</v>
      </c>
      <c r="H1016" s="14">
        <f t="shared" si="38"/>
        <v>2.03001090130955e-6</v>
      </c>
      <c r="I1016" s="33"/>
    </row>
    <row r="1017" spans="1:9">
      <c r="A1017" s="4">
        <v>1015</v>
      </c>
      <c r="B1017" s="6">
        <f>'2_Discount_Factors'!B1018</f>
        <v>2.78082191780822</v>
      </c>
      <c r="C1017" s="6">
        <f>EXP(-r_free*(('2_Discount_Factors'!B1017+'2_Discount_Factors'!B1018)/2))</f>
        <v>0.919998203513352</v>
      </c>
      <c r="D1017" s="6">
        <f>'3_Survival_Probs'!D1017</f>
        <v>0.947118844336993</v>
      </c>
      <c r="E1017" s="6">
        <f>'3_Survival_Probs'!D1018</f>
        <v>0.947045639073925</v>
      </c>
      <c r="F1017" s="8">
        <f t="shared" si="36"/>
        <v>7.32052630679769e-5</v>
      </c>
      <c r="G1017" s="29">
        <f>(1-recovery)*notional*C1017*F1017</f>
        <v>404.092263061567</v>
      </c>
      <c r="H1017" s="8">
        <f t="shared" si="38"/>
        <v>2.21420418115941e-6</v>
      </c>
      <c r="I1017" s="30"/>
    </row>
    <row r="1018" spans="1:9">
      <c r="A1018" s="10">
        <v>1016</v>
      </c>
      <c r="B1018" s="12">
        <f>'2_Discount_Factors'!B1019</f>
        <v>2.78356164383562</v>
      </c>
      <c r="C1018" s="12">
        <f>EXP(-r_free*(('2_Discount_Factors'!B1018+'2_Discount_Factors'!B1019)/2))</f>
        <v>0.919922590330086</v>
      </c>
      <c r="D1018" s="12">
        <f>'3_Survival_Probs'!D1018</f>
        <v>0.947045639073925</v>
      </c>
      <c r="E1018" s="12">
        <f>'3_Survival_Probs'!D1019</f>
        <v>0.946972439469081</v>
      </c>
      <c r="F1018" s="14">
        <f t="shared" si="36"/>
        <v>7.31996048439765e-5</v>
      </c>
      <c r="G1018" s="32">
        <f>(1-recovery)*notional*C1018*F1018</f>
        <v>404.027820595257</v>
      </c>
      <c r="H1018" s="14">
        <f t="shared" si="38"/>
        <v>2.39833866106788e-6</v>
      </c>
      <c r="I1018" s="33"/>
    </row>
    <row r="1019" spans="1:9">
      <c r="A1019" s="4">
        <v>1017</v>
      </c>
      <c r="B1019" s="6">
        <f>'2_Discount_Factors'!B1020</f>
        <v>2.78630136986301</v>
      </c>
      <c r="C1019" s="6">
        <f>EXP(-r_free*(('2_Discount_Factors'!B1019+'2_Discount_Factors'!B1020)/2))</f>
        <v>0.919846983361347</v>
      </c>
      <c r="D1019" s="6">
        <f>'3_Survival_Probs'!D1019</f>
        <v>0.946972439469081</v>
      </c>
      <c r="E1019" s="6">
        <f>'3_Survival_Probs'!D1020</f>
        <v>0.946899245522024</v>
      </c>
      <c r="F1019" s="8">
        <f t="shared" si="36"/>
        <v>7.31939470574039e-5</v>
      </c>
      <c r="G1019" s="29">
        <f>(1-recovery)*notional*C1019*F1019</f>
        <v>403.963388406379</v>
      </c>
      <c r="H1019" s="8">
        <f t="shared" si="38"/>
        <v>2.58241435510942e-6</v>
      </c>
      <c r="I1019" s="30"/>
    </row>
    <row r="1020" spans="1:9">
      <c r="A1020" s="10">
        <v>1018</v>
      </c>
      <c r="B1020" s="12">
        <f>'2_Discount_Factors'!B1021</f>
        <v>2.78904109589041</v>
      </c>
      <c r="C1020" s="12">
        <f>EXP(-r_free*(('2_Discount_Factors'!B1020+'2_Discount_Factors'!B1021)/2))</f>
        <v>0.919771382606624</v>
      </c>
      <c r="D1020" s="12">
        <f>'3_Survival_Probs'!D1020</f>
        <v>0.946899245522024</v>
      </c>
      <c r="E1020" s="12">
        <f>'3_Survival_Probs'!D1021</f>
        <v>0.946826057232316</v>
      </c>
      <c r="F1020" s="14">
        <f t="shared" si="36"/>
        <v>7.31882897080371e-5</v>
      </c>
      <c r="G1020" s="32">
        <f>(1-recovery)*notional*C1020*F1020</f>
        <v>403.898966492253</v>
      </c>
      <c r="H1020" s="14">
        <f t="shared" si="38"/>
        <v>2.76643127734433e-6</v>
      </c>
      <c r="I1020" s="33"/>
    </row>
    <row r="1021" spans="1:9">
      <c r="A1021" s="4">
        <v>1019</v>
      </c>
      <c r="B1021" s="6">
        <f>'2_Discount_Factors'!B1022</f>
        <v>2.79178082191781</v>
      </c>
      <c r="C1021" s="6">
        <f>EXP(-r_free*(('2_Discount_Factors'!B1021+'2_Discount_Factors'!B1022)/2))</f>
        <v>0.919695788065406</v>
      </c>
      <c r="D1021" s="6">
        <f>'3_Survival_Probs'!D1021</f>
        <v>0.946826057232316</v>
      </c>
      <c r="E1021" s="6">
        <f>'3_Survival_Probs'!D1022</f>
        <v>0.94675287459952</v>
      </c>
      <c r="F1021" s="8">
        <f t="shared" si="36"/>
        <v>7.31826327959872e-5</v>
      </c>
      <c r="G1021" s="29">
        <f>(1-recovery)*notional*C1021*F1021</f>
        <v>403.83455485204</v>
      </c>
      <c r="H1021" s="8">
        <f t="shared" si="38"/>
        <v>2.95038944184153e-6</v>
      </c>
      <c r="I1021" s="30"/>
    </row>
    <row r="1022" spans="1:9">
      <c r="A1022" s="10">
        <v>1020</v>
      </c>
      <c r="B1022" s="12">
        <f>'2_Discount_Factors'!B1023</f>
        <v>2.79452054794521</v>
      </c>
      <c r="C1022" s="12">
        <f>EXP(-r_free*(('2_Discount_Factors'!B1022+'2_Discount_Factors'!B1023)/2))</f>
        <v>0.919620199737182</v>
      </c>
      <c r="D1022" s="12">
        <f>'3_Survival_Probs'!D1022</f>
        <v>0.94675287459952</v>
      </c>
      <c r="E1022" s="12">
        <f>'3_Survival_Probs'!D1023</f>
        <v>0.946679697623198</v>
      </c>
      <c r="F1022" s="14">
        <f t="shared" si="36"/>
        <v>7.31769763212542e-5</v>
      </c>
      <c r="G1022" s="32">
        <f>(1-recovery)*notional*C1022*F1022</f>
        <v>403.770153484289</v>
      </c>
      <c r="H1022" s="14">
        <f t="shared" si="38"/>
        <v>3.13428886266358e-6</v>
      </c>
      <c r="I1022" s="33"/>
    </row>
    <row r="1023" spans="1:9">
      <c r="A1023" s="4">
        <v>1021</v>
      </c>
      <c r="B1023" s="6">
        <f>'2_Discount_Factors'!B1024</f>
        <v>2.7972602739726</v>
      </c>
      <c r="C1023" s="6">
        <f>EXP(-r_free*(('2_Discount_Factors'!B1023+'2_Discount_Factors'!B1024)/2))</f>
        <v>0.919544617621443</v>
      </c>
      <c r="D1023" s="6">
        <f>'3_Survival_Probs'!D1023</f>
        <v>0.946679697623198</v>
      </c>
      <c r="E1023" s="6">
        <f>'3_Survival_Probs'!D1024</f>
        <v>0.946606526302915</v>
      </c>
      <c r="F1023" s="8">
        <f t="shared" si="36"/>
        <v>7.31713202836159e-5</v>
      </c>
      <c r="G1023" s="29">
        <f>(1-recovery)*notional*C1023*F1023</f>
        <v>403.705762386323</v>
      </c>
      <c r="H1023" s="8">
        <f t="shared" si="38"/>
        <v>3.31812955386034e-6</v>
      </c>
      <c r="I1023" s="30"/>
    </row>
    <row r="1024" spans="1:9">
      <c r="A1024" s="10">
        <v>1022</v>
      </c>
      <c r="B1024" s="12">
        <f>'2_Discount_Factors'!B1025</f>
        <v>2.8</v>
      </c>
      <c r="C1024" s="12">
        <f>EXP(-r_free*(('2_Discount_Factors'!B1024+'2_Discount_Factors'!B1025)/2))</f>
        <v>0.919469041717677</v>
      </c>
      <c r="D1024" s="12">
        <f>'3_Survival_Probs'!D1024</f>
        <v>0.946606526302915</v>
      </c>
      <c r="E1024" s="12">
        <f>'3_Survival_Probs'!D1025</f>
        <v>0.946533360638232</v>
      </c>
      <c r="F1024" s="14">
        <f t="shared" si="36"/>
        <v>7.31656646831835e-5</v>
      </c>
      <c r="G1024" s="32">
        <f>(1-recovery)*notional*C1024*F1024</f>
        <v>403.641381557302</v>
      </c>
      <c r="H1024" s="14">
        <f t="shared" si="38"/>
        <v>3.5019115294927e-6</v>
      </c>
      <c r="I1024" s="33"/>
    </row>
    <row r="1025" spans="1:9">
      <c r="A1025" s="4">
        <v>1023</v>
      </c>
      <c r="B1025" s="6">
        <f>'2_Discount_Factors'!B1026</f>
        <v>2.8027397260274</v>
      </c>
      <c r="C1025" s="6">
        <f>EXP(-r_free*(('2_Discount_Factors'!B1025+'2_Discount_Factors'!B1026)/2))</f>
        <v>0.919393472025374</v>
      </c>
      <c r="D1025" s="6">
        <f>'3_Survival_Probs'!D1025</f>
        <v>0.946533360638232</v>
      </c>
      <c r="E1025" s="6">
        <f>'3_Survival_Probs'!D1026</f>
        <v>0.946460200628712</v>
      </c>
      <c r="F1025" s="8">
        <f t="shared" si="36"/>
        <v>7.31600095198459e-5</v>
      </c>
      <c r="G1025" s="29">
        <f>(1-recovery)*notional*C1025*F1025</f>
        <v>403.577010995163</v>
      </c>
      <c r="H1025" s="8">
        <f t="shared" si="38"/>
        <v>3.68563480360893e-6</v>
      </c>
      <c r="I1025" s="30"/>
    </row>
    <row r="1026" spans="1:9">
      <c r="A1026" s="10">
        <v>1024</v>
      </c>
      <c r="B1026" s="12">
        <f>'2_Discount_Factors'!B1027</f>
        <v>2.80547945205479</v>
      </c>
      <c r="C1026" s="12">
        <f>EXP(-r_free*(('2_Discount_Factors'!B1026+'2_Discount_Factors'!B1027)/2))</f>
        <v>0.919317908544023</v>
      </c>
      <c r="D1026" s="12">
        <f>'3_Survival_Probs'!D1026</f>
        <v>0.946460200628712</v>
      </c>
      <c r="E1026" s="12">
        <f>'3_Survival_Probs'!D1027</f>
        <v>0.946387046273918</v>
      </c>
      <c r="F1026" s="14">
        <f t="shared" si="36"/>
        <v>7.31543547937141e-5</v>
      </c>
      <c r="G1026" s="32">
        <f>(1-recovery)*notional*C1026*F1026</f>
        <v>403.512650699068</v>
      </c>
      <c r="H1026" s="14">
        <f t="shared" si="38"/>
        <v>3.86929939026518e-6</v>
      </c>
      <c r="I1026" s="33"/>
    </row>
    <row r="1027" spans="1:9">
      <c r="A1027" s="4">
        <v>1025</v>
      </c>
      <c r="B1027" s="6">
        <f>'2_Discount_Factors'!B1028</f>
        <v>2.80821917808219</v>
      </c>
      <c r="C1027" s="6">
        <f>EXP(-r_free*(('2_Discount_Factors'!B1027+'2_Discount_Factors'!B1028)/2))</f>
        <v>0.919242351273114</v>
      </c>
      <c r="D1027" s="6">
        <f>'3_Survival_Probs'!D1027</f>
        <v>0.946387046273918</v>
      </c>
      <c r="E1027" s="6">
        <f>'3_Survival_Probs'!D1028</f>
        <v>0.946313897573414</v>
      </c>
      <c r="F1027" s="8">
        <f t="shared" ref="F1027:F1090" si="39">D1027-E1027</f>
        <v>7.31487005045661e-5</v>
      </c>
      <c r="G1027" s="29">
        <f>(1-recovery)*notional*C1027*F1027</f>
        <v>403.448300666341</v>
      </c>
      <c r="H1027" s="8">
        <f t="shared" si="38"/>
        <v>4.05290530349764e-6</v>
      </c>
      <c r="I1027" s="30"/>
    </row>
    <row r="1028" spans="1:9">
      <c r="A1028" s="10">
        <v>1026</v>
      </c>
      <c r="B1028" s="12">
        <f>'2_Discount_Factors'!B1029</f>
        <v>2.81095890410959</v>
      </c>
      <c r="C1028" s="12">
        <f>EXP(-r_free*(('2_Discount_Factors'!B1028+'2_Discount_Factors'!B1029)/2))</f>
        <v>0.919166800212137</v>
      </c>
      <c r="D1028" s="12">
        <f>'3_Survival_Probs'!D1028</f>
        <v>0.946313897573414</v>
      </c>
      <c r="E1028" s="12">
        <f>'3_Survival_Probs'!D1029</f>
        <v>0.946240754526761</v>
      </c>
      <c r="F1028" s="14">
        <f t="shared" si="39"/>
        <v>7.31430466524019e-5</v>
      </c>
      <c r="G1028" s="32">
        <f>(1-recovery)*notional*C1028*F1028</f>
        <v>403.383960895532</v>
      </c>
      <c r="H1028" s="14">
        <f t="shared" si="38"/>
        <v>4.23645255735049e-6</v>
      </c>
      <c r="I1028" s="33"/>
    </row>
    <row r="1029" spans="1:9">
      <c r="A1029" s="4">
        <v>1027</v>
      </c>
      <c r="B1029" s="6">
        <f>'2_Discount_Factors'!B1030</f>
        <v>2.81369863013699</v>
      </c>
      <c r="C1029" s="6">
        <f>EXP(-r_free*(('2_Discount_Factors'!B1029+'2_Discount_Factors'!B1030)/2))</f>
        <v>0.919091255360581</v>
      </c>
      <c r="D1029" s="6">
        <f>'3_Survival_Probs'!D1029</f>
        <v>0.946240754526761</v>
      </c>
      <c r="E1029" s="6">
        <f>'3_Survival_Probs'!D1030</f>
        <v>0.946167617133524</v>
      </c>
      <c r="F1029" s="8">
        <f t="shared" si="39"/>
        <v>7.31373932373325e-5</v>
      </c>
      <c r="G1029" s="29">
        <f>(1-recovery)*notional*C1029*F1029</f>
        <v>403.319631385802</v>
      </c>
      <c r="H1029" s="8">
        <f t="shared" si="38"/>
        <v>4.41994116587194e-6</v>
      </c>
      <c r="I1029" s="30"/>
    </row>
    <row r="1030" spans="1:9">
      <c r="A1030" s="10">
        <v>1028</v>
      </c>
      <c r="B1030" s="12">
        <f>'2_Discount_Factors'!B1031</f>
        <v>2.81643835616438</v>
      </c>
      <c r="C1030" s="12">
        <f>EXP(-r_free*(('2_Discount_Factors'!B1030+'2_Discount_Factors'!B1031)/2))</f>
        <v>0.919015716717935</v>
      </c>
      <c r="D1030" s="12">
        <f>'3_Survival_Probs'!D1030</f>
        <v>0.946167617133524</v>
      </c>
      <c r="E1030" s="12">
        <f>'3_Survival_Probs'!D1031</f>
        <v>0.946094485393265</v>
      </c>
      <c r="F1030" s="14">
        <f t="shared" si="39"/>
        <v>7.31317402592468e-5</v>
      </c>
      <c r="G1030" s="32">
        <f>(1-recovery)*notional*C1030*F1030</f>
        <v>403.25531213509</v>
      </c>
      <c r="H1030" s="14">
        <f t="shared" si="38"/>
        <v>4.60337114309477e-6</v>
      </c>
      <c r="I1030" s="33"/>
    </row>
    <row r="1031" spans="1:9">
      <c r="A1031" s="4">
        <v>1029</v>
      </c>
      <c r="B1031" s="6">
        <f>'2_Discount_Factors'!B1032</f>
        <v>2.81917808219178</v>
      </c>
      <c r="C1031" s="6">
        <f>EXP(-r_free*(('2_Discount_Factors'!B1031+'2_Discount_Factors'!B1032)/2))</f>
        <v>0.91894018428369</v>
      </c>
      <c r="D1031" s="6">
        <f>'3_Survival_Probs'!D1031</f>
        <v>0.946094485393265</v>
      </c>
      <c r="E1031" s="6">
        <f>'3_Survival_Probs'!D1032</f>
        <v>0.946021359305547</v>
      </c>
      <c r="F1031" s="8">
        <f t="shared" si="39"/>
        <v>7.3126087718034e-5</v>
      </c>
      <c r="G1031" s="29">
        <f>(1-recovery)*notional*C1031*F1031</f>
        <v>403.191003141332</v>
      </c>
      <c r="H1031" s="8">
        <f t="shared" si="38"/>
        <v>4.78674250304793e-6</v>
      </c>
      <c r="I1031" s="30"/>
    </row>
    <row r="1032" spans="1:9">
      <c r="A1032" s="10">
        <v>1030</v>
      </c>
      <c r="B1032" s="12">
        <f>'2_Discount_Factors'!B1033</f>
        <v>2.82191780821918</v>
      </c>
      <c r="C1032" s="12">
        <f>EXP(-r_free*(('2_Discount_Factors'!B1032+'2_Discount_Factors'!B1033)/2))</f>
        <v>0.918864658057335</v>
      </c>
      <c r="D1032" s="12">
        <f>'3_Survival_Probs'!D1032</f>
        <v>0.946021359305547</v>
      </c>
      <c r="E1032" s="12">
        <f>'3_Survival_Probs'!D1033</f>
        <v>0.945948238869933</v>
      </c>
      <c r="F1032" s="14">
        <f t="shared" si="39"/>
        <v>7.31204356136939e-5</v>
      </c>
      <c r="G1032" s="32">
        <f>(1-recovery)*notional*C1032*F1032</f>
        <v>403.126704403081</v>
      </c>
      <c r="H1032" s="14">
        <f t="shared" si="38"/>
        <v>4.97005525976416e-6</v>
      </c>
      <c r="I1032" s="33"/>
    </row>
    <row r="1033" spans="1:9">
      <c r="A1033" s="4">
        <v>1031</v>
      </c>
      <c r="B1033" s="6">
        <f>'2_Discount_Factors'!B1034</f>
        <v>2.82465753424658</v>
      </c>
      <c r="C1033" s="6">
        <f>EXP(-r_free*(('2_Discount_Factors'!B1033+'2_Discount_Factors'!B1034)/2))</f>
        <v>0.91878913803836</v>
      </c>
      <c r="D1033" s="6">
        <f>'3_Survival_Probs'!D1033</f>
        <v>0.945948238869933</v>
      </c>
      <c r="E1033" s="6">
        <f>'3_Survival_Probs'!D1034</f>
        <v>0.945875124085987</v>
      </c>
      <c r="F1033" s="8">
        <f t="shared" si="39"/>
        <v>7.31147839463375e-5</v>
      </c>
      <c r="G1033" s="29">
        <f>(1-recovery)*notional*C1033*F1033</f>
        <v>403.062415919498</v>
      </c>
      <c r="H1033" s="8">
        <f t="shared" si="38"/>
        <v>5.15330942728138e-6</v>
      </c>
      <c r="I1033" s="30"/>
    </row>
    <row r="1034" spans="1:9">
      <c r="A1034" s="10">
        <v>1032</v>
      </c>
      <c r="B1034" s="12">
        <f>'2_Discount_Factors'!B1035</f>
        <v>2.82739726027397</v>
      </c>
      <c r="C1034" s="12">
        <f>EXP(-r_free*(('2_Discount_Factors'!B1034+'2_Discount_Factors'!B1035)/2))</f>
        <v>0.918713624226254</v>
      </c>
      <c r="D1034" s="12">
        <f>'3_Survival_Probs'!D1034</f>
        <v>0.945875124085987</v>
      </c>
      <c r="E1034" s="12">
        <f>'3_Survival_Probs'!D1035</f>
        <v>0.945802014953271</v>
      </c>
      <c r="F1034" s="14">
        <f t="shared" si="39"/>
        <v>7.31091327157429e-5</v>
      </c>
      <c r="G1034" s="32">
        <f>(1-recovery)*notional*C1034*F1034</f>
        <v>402.99813768791</v>
      </c>
      <c r="H1034" s="14">
        <f t="shared" si="38"/>
        <v>5.33650501961173e-6</v>
      </c>
      <c r="I1034" s="33"/>
    </row>
    <row r="1035" spans="1:9">
      <c r="A1035" s="4">
        <v>1033</v>
      </c>
      <c r="B1035" s="6">
        <f>'2_Discount_Factors'!B1036</f>
        <v>2.83013698630137</v>
      </c>
      <c r="C1035" s="6">
        <f>EXP(-r_free*(('2_Discount_Factors'!B1035+'2_Discount_Factors'!B1036)/2))</f>
        <v>0.918638116620509</v>
      </c>
      <c r="D1035" s="6">
        <f>'3_Survival_Probs'!D1035</f>
        <v>0.945802014953271</v>
      </c>
      <c r="E1035" s="6">
        <f>'3_Survival_Probs'!D1036</f>
        <v>0.945728911471349</v>
      </c>
      <c r="F1035" s="8">
        <f t="shared" si="39"/>
        <v>7.31034819219101e-5</v>
      </c>
      <c r="G1035" s="29">
        <f>(1-recovery)*notional*C1035*F1035</f>
        <v>402.933869706869</v>
      </c>
      <c r="H1035" s="8">
        <f t="shared" si="38"/>
        <v>5.51964205077917e-6</v>
      </c>
      <c r="I1035" s="30"/>
    </row>
    <row r="1036" spans="1:9">
      <c r="A1036" s="10">
        <v>1034</v>
      </c>
      <c r="B1036" s="12">
        <f>'2_Discount_Factors'!B1037</f>
        <v>2.83287671232877</v>
      </c>
      <c r="C1036" s="12">
        <f>EXP(-r_free*(('2_Discount_Factors'!B1036+'2_Discount_Factors'!B1037)/2))</f>
        <v>0.918562615220612</v>
      </c>
      <c r="D1036" s="12">
        <f>'3_Survival_Probs'!D1036</f>
        <v>0.945728911471349</v>
      </c>
      <c r="E1036" s="12">
        <f>'3_Survival_Probs'!D1037</f>
        <v>0.945655813639784</v>
      </c>
      <c r="F1036" s="14">
        <f t="shared" si="39"/>
        <v>7.3097831564839e-5</v>
      </c>
      <c r="G1036" s="32">
        <f>(1-recovery)*notional*C1036*F1036</f>
        <v>402.869611974926</v>
      </c>
      <c r="H1036" s="14">
        <f t="shared" si="38"/>
        <v>5.70272053480503e-6</v>
      </c>
      <c r="I1036" s="33"/>
    </row>
    <row r="1037" spans="1:9">
      <c r="A1037" s="4">
        <v>1035</v>
      </c>
      <c r="B1037" s="6">
        <f>'2_Discount_Factors'!B1038</f>
        <v>2.83561643835616</v>
      </c>
      <c r="C1037" s="6">
        <f>EXP(-r_free*(('2_Discount_Factors'!B1037+'2_Discount_Factors'!B1038)/2))</f>
        <v>0.918487120026056</v>
      </c>
      <c r="D1037" s="6">
        <f>'3_Survival_Probs'!D1037</f>
        <v>0.945655813639784</v>
      </c>
      <c r="E1037" s="6">
        <f>'3_Survival_Probs'!D1038</f>
        <v>0.945582721458139</v>
      </c>
      <c r="F1037" s="8">
        <f t="shared" si="39"/>
        <v>7.30921816445296e-5</v>
      </c>
      <c r="G1037" s="29">
        <f>(1-recovery)*notional*C1037*F1037</f>
        <v>402.805364490632</v>
      </c>
      <c r="H1037" s="8">
        <f t="shared" si="38"/>
        <v>5.88574048570799e-6</v>
      </c>
      <c r="I1037" s="30"/>
    </row>
    <row r="1038" spans="1:9">
      <c r="A1038" s="10">
        <v>1036</v>
      </c>
      <c r="B1038" s="12">
        <f>'2_Discount_Factors'!B1039</f>
        <v>2.83835616438356</v>
      </c>
      <c r="C1038" s="12">
        <f>EXP(-r_free*(('2_Discount_Factors'!B1038+'2_Discount_Factors'!B1039)/2))</f>
        <v>0.918411631036329</v>
      </c>
      <c r="D1038" s="12">
        <f>'3_Survival_Probs'!D1038</f>
        <v>0.945582721458139</v>
      </c>
      <c r="E1038" s="12">
        <f>'3_Survival_Probs'!D1039</f>
        <v>0.945509634925979</v>
      </c>
      <c r="F1038" s="14">
        <f t="shared" si="39"/>
        <v>7.30865321609819e-5</v>
      </c>
      <c r="G1038" s="32">
        <f>(1-recovery)*notional*C1038*F1038</f>
        <v>402.741127252539</v>
      </c>
      <c r="H1038" s="14">
        <f t="shared" si="38"/>
        <v>6.06870191750414e-6</v>
      </c>
      <c r="I1038" s="33"/>
    </row>
    <row r="1039" spans="1:9">
      <c r="A1039" s="4">
        <v>1037</v>
      </c>
      <c r="B1039" s="6">
        <f>'2_Discount_Factors'!B1040</f>
        <v>2.84109589041096</v>
      </c>
      <c r="C1039" s="6">
        <f>EXP(-r_free*(('2_Discount_Factors'!B1039+'2_Discount_Factors'!B1040)/2))</f>
        <v>0.918336148250921</v>
      </c>
      <c r="D1039" s="6">
        <f>'3_Survival_Probs'!D1039</f>
        <v>0.945509634925979</v>
      </c>
      <c r="E1039" s="6">
        <f>'3_Survival_Probs'!D1040</f>
        <v>0.945436554042865</v>
      </c>
      <c r="F1039" s="8">
        <f t="shared" si="39"/>
        <v>7.3080883113974e-5</v>
      </c>
      <c r="G1039" s="29">
        <f>(1-recovery)*notional*C1039*F1039</f>
        <v>402.676900257976</v>
      </c>
      <c r="H1039" s="8">
        <f t="shared" si="38"/>
        <v>6.25160484418789e-6</v>
      </c>
      <c r="I1039" s="30"/>
    </row>
    <row r="1040" spans="1:9">
      <c r="A1040" s="10">
        <v>1038</v>
      </c>
      <c r="B1040" s="12">
        <f>'2_Discount_Factors'!B1041</f>
        <v>2.84383561643836</v>
      </c>
      <c r="C1040" s="12">
        <f>EXP(-r_free*(('2_Discount_Factors'!B1040+'2_Discount_Factors'!B1041)/2))</f>
        <v>0.918260671669323</v>
      </c>
      <c r="D1040" s="12">
        <f>'3_Survival_Probs'!D1040</f>
        <v>0.945436554042865</v>
      </c>
      <c r="E1040" s="12">
        <f>'3_Survival_Probs'!D1041</f>
        <v>0.945363478808361</v>
      </c>
      <c r="F1040" s="14">
        <f t="shared" si="39"/>
        <v>7.30752345037278e-5</v>
      </c>
      <c r="G1040" s="32">
        <f>(1-recovery)*notional*C1040*F1040</f>
        <v>402.612683506718</v>
      </c>
      <c r="H1040" s="14">
        <f t="shared" si="38"/>
        <v>6.43444927978788e-6</v>
      </c>
      <c r="I1040" s="33"/>
    </row>
    <row r="1041" spans="1:9">
      <c r="A1041" s="4">
        <v>1039</v>
      </c>
      <c r="B1041" s="6">
        <f>'2_Discount_Factors'!B1042</f>
        <v>2.84657534246575</v>
      </c>
      <c r="C1041" s="6">
        <f>EXP(-r_free*(('2_Discount_Factors'!B1041+'2_Discount_Factors'!B1042)/2))</f>
        <v>0.918185201291025</v>
      </c>
      <c r="D1041" s="6">
        <f>'3_Survival_Probs'!D1041</f>
        <v>0.945363478808361</v>
      </c>
      <c r="E1041" s="6">
        <f>'3_Survival_Probs'!D1042</f>
        <v>0.945290409222031</v>
      </c>
      <c r="F1041" s="8">
        <f t="shared" si="39"/>
        <v>7.30695863300213e-5</v>
      </c>
      <c r="G1041" s="29">
        <f>(1-recovery)*notional*C1041*F1041</f>
        <v>402.548476996095</v>
      </c>
      <c r="H1041" s="8">
        <f t="shared" si="38"/>
        <v>6.61723523829212e-6</v>
      </c>
      <c r="I1041" s="30"/>
    </row>
    <row r="1042" spans="1:9">
      <c r="A1042" s="10">
        <v>1040</v>
      </c>
      <c r="B1042" s="12">
        <f>'2_Discount_Factors'!B1043</f>
        <v>2.84931506849315</v>
      </c>
      <c r="C1042" s="12">
        <f>EXP(-r_free*(('2_Discount_Factors'!B1042+'2_Discount_Factors'!B1043)/2))</f>
        <v>0.918109737115516</v>
      </c>
      <c r="D1042" s="12">
        <f>'3_Survival_Probs'!D1042</f>
        <v>0.945290409222031</v>
      </c>
      <c r="E1042" s="12">
        <f>'3_Survival_Probs'!D1043</f>
        <v>0.945217345283438</v>
      </c>
      <c r="F1042" s="14">
        <f t="shared" si="39"/>
        <v>7.30639385928544e-5</v>
      </c>
      <c r="G1042" s="32">
        <f>(1-recovery)*notional*C1042*F1042</f>
        <v>402.484280724659</v>
      </c>
      <c r="H1042" s="14">
        <f t="shared" si="38"/>
        <v>6.79996273370441e-6</v>
      </c>
      <c r="I1042" s="33"/>
    </row>
    <row r="1043" spans="1:9">
      <c r="A1043" s="4">
        <v>1041</v>
      </c>
      <c r="B1043" s="6">
        <f>'2_Discount_Factors'!B1044</f>
        <v>2.85205479452055</v>
      </c>
      <c r="C1043" s="6">
        <f>EXP(-r_free*(('2_Discount_Factors'!B1043+'2_Discount_Factors'!B1044)/2))</f>
        <v>0.918034279142288</v>
      </c>
      <c r="D1043" s="6">
        <f>'3_Survival_Probs'!D1043</f>
        <v>0.945217345283438</v>
      </c>
      <c r="E1043" s="6">
        <f>'3_Survival_Probs'!D1044</f>
        <v>0.945144286992146</v>
      </c>
      <c r="F1043" s="8">
        <f t="shared" si="39"/>
        <v>7.30582912922273e-5</v>
      </c>
      <c r="G1043" s="29">
        <f>(1-recovery)*notional*C1043*F1043</f>
        <v>402.420094690963</v>
      </c>
      <c r="H1043" s="8">
        <f t="shared" si="38"/>
        <v>6.98263178002598e-6</v>
      </c>
      <c r="I1043" s="30"/>
    </row>
    <row r="1044" spans="1:9">
      <c r="A1044" s="10">
        <v>1042</v>
      </c>
      <c r="B1044" s="12">
        <f>'2_Discount_Factors'!B1045</f>
        <v>2.85479452054795</v>
      </c>
      <c r="C1044" s="12">
        <f>EXP(-r_free*(('2_Discount_Factors'!B1044+'2_Discount_Factors'!B1045)/2))</f>
        <v>0.91795882737083</v>
      </c>
      <c r="D1044" s="12">
        <f>'3_Survival_Probs'!D1044</f>
        <v>0.945144286992146</v>
      </c>
      <c r="E1044" s="12">
        <f>'3_Survival_Probs'!D1045</f>
        <v>0.945071234347718</v>
      </c>
      <c r="F1044" s="14">
        <f t="shared" si="39"/>
        <v>7.30526444280288e-5</v>
      </c>
      <c r="G1044" s="32">
        <f>(1-recovery)*notional*C1044*F1044</f>
        <v>402.355918892949</v>
      </c>
      <c r="H1044" s="14">
        <f t="shared" si="38"/>
        <v>7.16524239124444e-6</v>
      </c>
      <c r="I1044" s="33"/>
    </row>
    <row r="1045" spans="1:9">
      <c r="A1045" s="4">
        <v>1043</v>
      </c>
      <c r="B1045" s="6">
        <f>'2_Discount_Factors'!B1046</f>
        <v>2.85753424657534</v>
      </c>
      <c r="C1045" s="6">
        <f>EXP(-r_free*(('2_Discount_Factors'!B1045+'2_Discount_Factors'!B1046)/2))</f>
        <v>0.917883381800632</v>
      </c>
      <c r="D1045" s="6">
        <f>'3_Survival_Probs'!D1045</f>
        <v>0.945071234347718</v>
      </c>
      <c r="E1045" s="6">
        <f>'3_Survival_Probs'!D1046</f>
        <v>0.944998187349717</v>
      </c>
      <c r="F1045" s="8">
        <f t="shared" si="39"/>
        <v>7.30469980003701e-5</v>
      </c>
      <c r="G1045" s="29">
        <f>(1-recovery)*notional*C1045*F1045</f>
        <v>402.291753329782</v>
      </c>
      <c r="H1045" s="8">
        <f t="shared" si="38"/>
        <v>7.34779458136603e-6</v>
      </c>
      <c r="I1045" s="30"/>
    </row>
    <row r="1046" spans="1:9">
      <c r="A1046" s="10">
        <v>1044</v>
      </c>
      <c r="B1046" s="12">
        <f>'2_Discount_Factors'!B1047</f>
        <v>2.86027397260274</v>
      </c>
      <c r="C1046" s="12">
        <f>EXP(-r_free*(('2_Discount_Factors'!B1046+'2_Discount_Factors'!B1047)/2))</f>
        <v>0.917807942431186</v>
      </c>
      <c r="D1046" s="12">
        <f>'3_Survival_Probs'!D1046</f>
        <v>0.944998187349717</v>
      </c>
      <c r="E1046" s="12">
        <f>'3_Survival_Probs'!D1047</f>
        <v>0.944925145997708</v>
      </c>
      <c r="F1046" s="14">
        <f t="shared" si="39"/>
        <v>7.304135200914e-5</v>
      </c>
      <c r="G1046" s="32">
        <f>(1-recovery)*notional*C1046*F1046</f>
        <v>402.227597999404</v>
      </c>
      <c r="H1046" s="14">
        <f t="shared" si="38"/>
        <v>7.53028836437253e-6</v>
      </c>
      <c r="I1046" s="33"/>
    </row>
    <row r="1047" spans="1:9">
      <c r="A1047" s="4">
        <v>1045</v>
      </c>
      <c r="B1047" s="6">
        <f>'2_Discount_Factors'!B1048</f>
        <v>2.86301369863014</v>
      </c>
      <c r="C1047" s="6">
        <f>EXP(-r_free*(('2_Discount_Factors'!B1047+'2_Discount_Factors'!B1048)/2))</f>
        <v>0.91773250926198</v>
      </c>
      <c r="D1047" s="6">
        <f>'3_Survival_Probs'!D1047</f>
        <v>0.944925145997708</v>
      </c>
      <c r="E1047" s="6">
        <f>'3_Survival_Probs'!D1048</f>
        <v>0.944852110291254</v>
      </c>
      <c r="F1047" s="8">
        <f t="shared" si="39"/>
        <v>7.30357064543385e-5</v>
      </c>
      <c r="G1047" s="29">
        <f>(1-recovery)*notional*C1047*F1047</f>
        <v>402.163452900369</v>
      </c>
      <c r="H1047" s="8">
        <f t="shared" si="38"/>
        <v>7.71272375425379e-6</v>
      </c>
      <c r="I1047" s="30"/>
    </row>
    <row r="1048" spans="1:9">
      <c r="A1048" s="10">
        <v>1046</v>
      </c>
      <c r="B1048" s="12">
        <f>'2_Discount_Factors'!B1049</f>
        <v>2.86575342465753</v>
      </c>
      <c r="C1048" s="12">
        <f>EXP(-r_free*(('2_Discount_Factors'!B1048+'2_Discount_Factors'!B1049)/2))</f>
        <v>0.917657082292507</v>
      </c>
      <c r="D1048" s="12">
        <f>'3_Survival_Probs'!D1048</f>
        <v>0.944852110291254</v>
      </c>
      <c r="E1048" s="12">
        <f>'3_Survival_Probs'!D1049</f>
        <v>0.944779080229918</v>
      </c>
      <c r="F1048" s="14">
        <f t="shared" si="39"/>
        <v>7.30300613357437e-5</v>
      </c>
      <c r="G1048" s="32">
        <f>(1-recovery)*notional*C1048*F1048</f>
        <v>402.099318030009</v>
      </c>
      <c r="H1048" s="14">
        <f t="shared" si="38"/>
        <v>7.89510076497291e-6</v>
      </c>
      <c r="I1048" s="33"/>
    </row>
    <row r="1049" spans="1:9">
      <c r="A1049" s="4">
        <v>1047</v>
      </c>
      <c r="B1049" s="6">
        <f>'2_Discount_Factors'!B1050</f>
        <v>2.86849315068493</v>
      </c>
      <c r="C1049" s="6">
        <f>EXP(-r_free*(('2_Discount_Factors'!B1049+'2_Discount_Factors'!B1050)/2))</f>
        <v>0.917581661522256</v>
      </c>
      <c r="D1049" s="6">
        <f>'3_Survival_Probs'!D1049</f>
        <v>0.944779080229918</v>
      </c>
      <c r="E1049" s="6">
        <f>'3_Survival_Probs'!D1050</f>
        <v>0.944706055813264</v>
      </c>
      <c r="F1049" s="8">
        <f t="shared" si="39"/>
        <v>7.30244166535776e-5</v>
      </c>
      <c r="G1049" s="29">
        <f>(1-recovery)*notional*C1049*F1049</f>
        <v>402.035193388099</v>
      </c>
      <c r="H1049" s="8">
        <f t="shared" si="38"/>
        <v>8.0774194105373e-6</v>
      </c>
      <c r="I1049" s="30"/>
    </row>
    <row r="1050" spans="1:9">
      <c r="A1050" s="10">
        <v>1048</v>
      </c>
      <c r="B1050" s="12">
        <f>'2_Discount_Factors'!B1051</f>
        <v>2.87123287671233</v>
      </c>
      <c r="C1050" s="12">
        <f>EXP(-r_free*(('2_Discount_Factors'!B1050+'2_Discount_Factors'!B1051)/2))</f>
        <v>0.917506246950717</v>
      </c>
      <c r="D1050" s="12">
        <f>'3_Survival_Probs'!D1050</f>
        <v>0.944706055813264</v>
      </c>
      <c r="E1050" s="12">
        <f>'3_Survival_Probs'!D1051</f>
        <v>0.944633037040857</v>
      </c>
      <c r="F1050" s="14">
        <f t="shared" si="39"/>
        <v>7.30187724077291e-5</v>
      </c>
      <c r="G1050" s="32">
        <f>(1-recovery)*notional*C1050*F1050</f>
        <v>401.971078972585</v>
      </c>
      <c r="H1050" s="14">
        <f t="shared" si="38"/>
        <v>8.25967970491628e-6</v>
      </c>
      <c r="I1050" s="33"/>
    </row>
    <row r="1051" spans="1:9">
      <c r="A1051" s="4">
        <v>1049</v>
      </c>
      <c r="B1051" s="6">
        <f>'2_Discount_Factors'!B1052</f>
        <v>2.87397260273973</v>
      </c>
      <c r="C1051" s="6">
        <f>EXP(-r_free*(('2_Discount_Factors'!B1051+'2_Discount_Factors'!B1052)/2))</f>
        <v>0.917430838577382</v>
      </c>
      <c r="D1051" s="6">
        <f>'3_Survival_Probs'!D1051</f>
        <v>0.944633037040857</v>
      </c>
      <c r="E1051" s="6">
        <f>'3_Survival_Probs'!D1052</f>
        <v>0.944560023912259</v>
      </c>
      <c r="F1051" s="8">
        <f t="shared" si="39"/>
        <v>7.30131285980873e-5</v>
      </c>
      <c r="G1051" s="29">
        <f>(1-recovery)*notional*C1051*F1051</f>
        <v>401.906974781409</v>
      </c>
      <c r="H1051" s="8">
        <f t="shared" si="38"/>
        <v>8.44188166207538e-6</v>
      </c>
      <c r="I1051" s="30"/>
    </row>
    <row r="1052" spans="1:9">
      <c r="A1052" s="10">
        <v>1050</v>
      </c>
      <c r="B1052" s="12">
        <f>'2_Discount_Factors'!B1053</f>
        <v>2.87671232876712</v>
      </c>
      <c r="C1052" s="12">
        <f>EXP(-r_free*(('2_Discount_Factors'!B1052+'2_Discount_Factors'!B1053)/2))</f>
        <v>0.91735543640174</v>
      </c>
      <c r="D1052" s="12">
        <f>'3_Survival_Probs'!D1052</f>
        <v>0.944560023912259</v>
      </c>
      <c r="E1052" s="12">
        <f>'3_Survival_Probs'!D1053</f>
        <v>0.944487016427034</v>
      </c>
      <c r="F1052" s="14">
        <f t="shared" si="39"/>
        <v>7.30074852247631e-5</v>
      </c>
      <c r="G1052" s="32">
        <f>(1-recovery)*notional*C1052*F1052</f>
        <v>401.842880813737</v>
      </c>
      <c r="H1052" s="14">
        <f t="shared" si="38"/>
        <v>8.6240252960027e-6</v>
      </c>
      <c r="I1052" s="33"/>
    </row>
    <row r="1053" spans="1:9">
      <c r="A1053" s="4">
        <v>1051</v>
      </c>
      <c r="B1053" s="6">
        <f>'2_Discount_Factors'!B1054</f>
        <v>2.87945205479452</v>
      </c>
      <c r="C1053" s="6">
        <f>EXP(-r_free*(('2_Discount_Factors'!B1053+'2_Discount_Factors'!B1054)/2))</f>
        <v>0.917280040423283</v>
      </c>
      <c r="D1053" s="6">
        <f>'3_Survival_Probs'!D1053</f>
        <v>0.944487016427034</v>
      </c>
      <c r="E1053" s="6">
        <f>'3_Survival_Probs'!D1054</f>
        <v>0.944414014584746</v>
      </c>
      <c r="F1053" s="8">
        <f t="shared" si="39"/>
        <v>7.30018422875345e-5</v>
      </c>
      <c r="G1053" s="29">
        <f>(1-recovery)*notional*C1053*F1053</f>
        <v>401.778797066902</v>
      </c>
      <c r="H1053" s="8">
        <f t="shared" si="38"/>
        <v>8.80611062064458e-6</v>
      </c>
      <c r="I1053" s="30"/>
    </row>
    <row r="1054" spans="1:9">
      <c r="A1054" s="10">
        <v>1052</v>
      </c>
      <c r="B1054" s="12">
        <f>'2_Discount_Factors'!B1055</f>
        <v>2.88219178082192</v>
      </c>
      <c r="C1054" s="12">
        <f>EXP(-r_free*(('2_Discount_Factors'!B1054+'2_Discount_Factors'!B1055)/2))</f>
        <v>0.917204650641501</v>
      </c>
      <c r="D1054" s="12">
        <f>'3_Survival_Probs'!D1054</f>
        <v>0.944414014584746</v>
      </c>
      <c r="E1054" s="12">
        <f>'3_Survival_Probs'!D1055</f>
        <v>0.94434101838496</v>
      </c>
      <c r="F1054" s="14">
        <f t="shared" si="39"/>
        <v>7.29961997865125e-5</v>
      </c>
      <c r="G1054" s="32">
        <f>(1-recovery)*notional*C1054*F1054</f>
        <v>401.714723540072</v>
      </c>
      <c r="H1054" s="14">
        <f t="shared" si="38"/>
        <v>8.9881376499835e-6</v>
      </c>
      <c r="I1054" s="33"/>
    </row>
    <row r="1055" spans="1:9">
      <c r="A1055" s="4">
        <v>1053</v>
      </c>
      <c r="B1055" s="6">
        <f>'2_Discount_Factors'!B1056</f>
        <v>2.88493150684931</v>
      </c>
      <c r="C1055" s="6">
        <f>EXP(-r_free*(('2_Discount_Factors'!B1055+'2_Discount_Factors'!B1056)/2))</f>
        <v>0.917129267055884</v>
      </c>
      <c r="D1055" s="6">
        <f>'3_Survival_Probs'!D1055</f>
        <v>0.94434101838496</v>
      </c>
      <c r="E1055" s="6">
        <f>'3_Survival_Probs'!D1056</f>
        <v>0.944268027827238</v>
      </c>
      <c r="F1055" s="8">
        <f t="shared" si="39"/>
        <v>7.29905577215861e-5</v>
      </c>
      <c r="G1055" s="29">
        <f>(1-recovery)*notional*C1055*F1055</f>
        <v>401.650660231191</v>
      </c>
      <c r="H1055" s="8">
        <f t="shared" si="38"/>
        <v>9.17010639797252e-6</v>
      </c>
      <c r="I1055" s="30"/>
    </row>
    <row r="1056" spans="1:9">
      <c r="A1056" s="10">
        <v>1054</v>
      </c>
      <c r="B1056" s="12">
        <f>'2_Discount_Factors'!B1057</f>
        <v>2.88767123287671</v>
      </c>
      <c r="C1056" s="12">
        <f>EXP(-r_free*(('2_Discount_Factors'!B1056+'2_Discount_Factors'!B1057)/2))</f>
        <v>0.917053889665924</v>
      </c>
      <c r="D1056" s="12">
        <f>'3_Survival_Probs'!D1056</f>
        <v>0.944268027827238</v>
      </c>
      <c r="E1056" s="12">
        <f>'3_Survival_Probs'!D1057</f>
        <v>0.944195042911146</v>
      </c>
      <c r="F1056" s="14">
        <f t="shared" si="39"/>
        <v>7.29849160927554e-5</v>
      </c>
      <c r="G1056" s="32">
        <f>(1-recovery)*notional*C1056*F1056</f>
        <v>401.586607138815</v>
      </c>
      <c r="H1056" s="14">
        <f t="shared" si="38"/>
        <v>9.35201687857527e-6</v>
      </c>
      <c r="I1056" s="33"/>
    </row>
    <row r="1057" spans="1:9">
      <c r="A1057" s="4">
        <v>1055</v>
      </c>
      <c r="B1057" s="6">
        <f>'2_Discount_Factors'!B1058</f>
        <v>2.89041095890411</v>
      </c>
      <c r="C1057" s="6">
        <f>EXP(-r_free*(('2_Discount_Factors'!B1057+'2_Discount_Factors'!B1058)/2))</f>
        <v>0.916978518471112</v>
      </c>
      <c r="D1057" s="6">
        <f>'3_Survival_Probs'!D1057</f>
        <v>0.944195042911146</v>
      </c>
      <c r="E1057" s="6">
        <f>'3_Survival_Probs'!D1058</f>
        <v>0.944122063636246</v>
      </c>
      <c r="F1057" s="8">
        <f t="shared" si="39"/>
        <v>7.29792748999092e-5</v>
      </c>
      <c r="G1057" s="29">
        <f>(1-recovery)*notional*C1057*F1057</f>
        <v>401.522564260888</v>
      </c>
      <c r="H1057" s="8">
        <f t="shared" si="38"/>
        <v>9.53386910573813e-6</v>
      </c>
      <c r="I1057" s="30"/>
    </row>
    <row r="1058" spans="1:9">
      <c r="A1058" s="10">
        <v>1056</v>
      </c>
      <c r="B1058" s="12">
        <f>'2_Discount_Factors'!B1059</f>
        <v>2.89315068493151</v>
      </c>
      <c r="C1058" s="12">
        <f>EXP(-r_free*(('2_Discount_Factors'!B1058+'2_Discount_Factors'!B1059)/2))</f>
        <v>0.916903153470938</v>
      </c>
      <c r="D1058" s="12">
        <f>'3_Survival_Probs'!D1058</f>
        <v>0.944122063636246</v>
      </c>
      <c r="E1058" s="12">
        <f>'3_Survival_Probs'!D1059</f>
        <v>0.944049090002102</v>
      </c>
      <c r="F1058" s="14">
        <f t="shared" si="39"/>
        <v>7.29736341431586e-5</v>
      </c>
      <c r="G1058" s="32">
        <f>(1-recovery)*notional*C1058*F1058</f>
        <v>401.45853159658</v>
      </c>
      <c r="H1058" s="14">
        <f t="shared" si="38"/>
        <v>9.71566309343335e-6</v>
      </c>
      <c r="I1058" s="33"/>
    </row>
    <row r="1059" spans="1:9">
      <c r="A1059" s="4">
        <v>1057</v>
      </c>
      <c r="B1059" s="6">
        <f>'2_Discount_Factors'!B1060</f>
        <v>2.8958904109589</v>
      </c>
      <c r="C1059" s="6">
        <f>EXP(-r_free*(('2_Discount_Factors'!B1059+'2_Discount_Factors'!B1060)/2))</f>
        <v>0.916827794664892</v>
      </c>
      <c r="D1059" s="6">
        <f>'3_Survival_Probs'!D1059</f>
        <v>0.944049090002102</v>
      </c>
      <c r="E1059" s="6">
        <f>'3_Survival_Probs'!D1060</f>
        <v>0.94397612200828</v>
      </c>
      <c r="F1059" s="8">
        <f t="shared" si="39"/>
        <v>7.29679938223926e-5</v>
      </c>
      <c r="G1059" s="29">
        <f>(1-recovery)*notional*C1059*F1059</f>
        <v>401.394509143834</v>
      </c>
      <c r="H1059" s="8">
        <f t="shared" si="38"/>
        <v>9.89739885560154e-6</v>
      </c>
      <c r="I1059" s="30"/>
    </row>
    <row r="1060" spans="1:9">
      <c r="A1060" s="10">
        <v>1058</v>
      </c>
      <c r="B1060" s="12">
        <f>'2_Discount_Factors'!B1061</f>
        <v>2.8986301369863</v>
      </c>
      <c r="C1060" s="12">
        <f>EXP(-r_free*(('2_Discount_Factors'!B1060+'2_Discount_Factors'!B1061)/2))</f>
        <v>0.916752442052467</v>
      </c>
      <c r="D1060" s="12">
        <f>'3_Survival_Probs'!D1060</f>
        <v>0.94397612200828</v>
      </c>
      <c r="E1060" s="12">
        <f>'3_Survival_Probs'!D1061</f>
        <v>0.943903159654342</v>
      </c>
      <c r="F1060" s="14">
        <f t="shared" si="39"/>
        <v>7.29623539376112e-5</v>
      </c>
      <c r="G1060" s="32">
        <f>(1-recovery)*notional*C1060*F1060</f>
        <v>401.330496901209</v>
      </c>
      <c r="H1060" s="14">
        <f t="shared" si="38"/>
        <v>1.00790764061949e-5</v>
      </c>
      <c r="I1060" s="33"/>
    </row>
    <row r="1061" spans="1:9">
      <c r="A1061" s="4">
        <v>1059</v>
      </c>
      <c r="B1061" s="6">
        <f>'2_Discount_Factors'!B1062</f>
        <v>2.9013698630137</v>
      </c>
      <c r="C1061" s="6">
        <f>EXP(-r_free*(('2_Discount_Factors'!B1061+'2_Discount_Factors'!B1062)/2))</f>
        <v>0.916677095633152</v>
      </c>
      <c r="D1061" s="6">
        <f>'3_Survival_Probs'!D1061</f>
        <v>0.943903159654342</v>
      </c>
      <c r="E1061" s="6">
        <f>'3_Survival_Probs'!D1062</f>
        <v>0.943830202939854</v>
      </c>
      <c r="F1061" s="8">
        <f t="shared" si="39"/>
        <v>7.29567144887033e-5</v>
      </c>
      <c r="G1061" s="29">
        <f>(1-recovery)*notional*C1061*F1061</f>
        <v>401.26649486665</v>
      </c>
      <c r="H1061" s="8">
        <f t="shared" si="38"/>
        <v>1.02606957591474e-5</v>
      </c>
      <c r="I1061" s="30"/>
    </row>
    <row r="1062" spans="1:9">
      <c r="A1062" s="10">
        <v>1060</v>
      </c>
      <c r="B1062" s="12">
        <f>'2_Discount_Factors'!B1063</f>
        <v>2.9041095890411</v>
      </c>
      <c r="C1062" s="12">
        <f>EXP(-r_free*(('2_Discount_Factors'!B1062+'2_Discount_Factors'!B1063)/2))</f>
        <v>0.91660175540644</v>
      </c>
      <c r="D1062" s="12">
        <f>'3_Survival_Probs'!D1062</f>
        <v>0.943830202939854</v>
      </c>
      <c r="E1062" s="12">
        <f>'3_Survival_Probs'!D1063</f>
        <v>0.943757251864378</v>
      </c>
      <c r="F1062" s="14">
        <f t="shared" si="39"/>
        <v>7.29510754757801e-5</v>
      </c>
      <c r="G1062" s="32">
        <f>(1-recovery)*notional*C1062*F1062</f>
        <v>401.202503039326</v>
      </c>
      <c r="H1062" s="14">
        <f t="shared" si="38"/>
        <v>1.0442256928421e-5</v>
      </c>
      <c r="I1062" s="33"/>
    </row>
    <row r="1063" spans="1:9">
      <c r="A1063" s="4">
        <v>1061</v>
      </c>
      <c r="B1063" s="6">
        <f>'2_Discount_Factors'!B1064</f>
        <v>2.90684931506849</v>
      </c>
      <c r="C1063" s="6">
        <f>EXP(-r_free*(('2_Discount_Factors'!B1063+'2_Discount_Factors'!B1064)/2))</f>
        <v>0.91652642137182</v>
      </c>
      <c r="D1063" s="6">
        <f>'3_Survival_Probs'!D1063</f>
        <v>0.943757251864378</v>
      </c>
      <c r="E1063" s="6">
        <f>'3_Survival_Probs'!D1064</f>
        <v>0.943684306427479</v>
      </c>
      <c r="F1063" s="8">
        <f t="shared" si="39"/>
        <v>7.29454368986193e-5</v>
      </c>
      <c r="G1063" s="29">
        <f>(1-recovery)*notional*C1063*F1063</f>
        <v>401.138521416573</v>
      </c>
      <c r="H1063" s="8">
        <f t="shared" si="38"/>
        <v>1.06237599279276e-5</v>
      </c>
      <c r="I1063" s="30"/>
    </row>
    <row r="1064" spans="1:9">
      <c r="A1064" s="10">
        <v>1062</v>
      </c>
      <c r="B1064" s="12">
        <f>'2_Discount_Factors'!B1065</f>
        <v>2.90958904109589</v>
      </c>
      <c r="C1064" s="12">
        <f>EXP(-r_free*(('2_Discount_Factors'!B1064+'2_Discount_Factors'!B1065)/2))</f>
        <v>0.916451093528784</v>
      </c>
      <c r="D1064" s="12">
        <f>'3_Survival_Probs'!D1064</f>
        <v>0.943684306427479</v>
      </c>
      <c r="E1064" s="12">
        <f>'3_Survival_Probs'!D1065</f>
        <v>0.943611366628722</v>
      </c>
      <c r="F1064" s="14">
        <f t="shared" si="39"/>
        <v>7.29397987572211e-5</v>
      </c>
      <c r="G1064" s="32">
        <f>(1-recovery)*notional*C1064*F1064</f>
        <v>401.074549996949</v>
      </c>
      <c r="H1064" s="14">
        <f t="shared" si="38"/>
        <v>1.08052047716074e-5</v>
      </c>
      <c r="I1064" s="33"/>
    </row>
    <row r="1065" spans="1:9">
      <c r="A1065" s="4">
        <v>1063</v>
      </c>
      <c r="B1065" s="6">
        <f>'2_Discount_Factors'!B1066</f>
        <v>2.91232876712329</v>
      </c>
      <c r="C1065" s="6">
        <f>EXP(-r_free*(('2_Discount_Factors'!B1065+'2_Discount_Factors'!B1066)/2))</f>
        <v>0.916375771876824</v>
      </c>
      <c r="D1065" s="6">
        <f>'3_Survival_Probs'!D1065</f>
        <v>0.943611366628722</v>
      </c>
      <c r="E1065" s="6">
        <f>'3_Survival_Probs'!D1066</f>
        <v>0.94353843246767</v>
      </c>
      <c r="F1065" s="8">
        <f t="shared" si="39"/>
        <v>7.29341610516965e-5</v>
      </c>
      <c r="G1065" s="29">
        <f>(1-recovery)*notional*C1065*F1065</f>
        <v>401.010588779622</v>
      </c>
      <c r="H1065" s="8">
        <f t="shared" si="38"/>
        <v>1.09865914734144e-5</v>
      </c>
      <c r="I1065" s="30"/>
    </row>
    <row r="1066" spans="1:9">
      <c r="A1066" s="10">
        <v>1064</v>
      </c>
      <c r="B1066" s="12">
        <f>'2_Discount_Factors'!B1067</f>
        <v>2.91506849315068</v>
      </c>
      <c r="C1066" s="12">
        <f>EXP(-r_free*(('2_Discount_Factors'!B1066+'2_Discount_Factors'!B1067)/2))</f>
        <v>0.916300456415429</v>
      </c>
      <c r="D1066" s="12">
        <f>'3_Survival_Probs'!D1066</f>
        <v>0.94353843246767</v>
      </c>
      <c r="E1066" s="12">
        <f>'3_Survival_Probs'!D1067</f>
        <v>0.943465503943889</v>
      </c>
      <c r="F1066" s="14">
        <f t="shared" si="39"/>
        <v>7.29285237819344e-5</v>
      </c>
      <c r="G1066" s="32">
        <f>(1-recovery)*notional*C1066*F1066</f>
        <v>400.94663776254</v>
      </c>
      <c r="H1066" s="14">
        <f t="shared" si="38"/>
        <v>1.11679200472672e-5</v>
      </c>
      <c r="I1066" s="33"/>
    </row>
    <row r="1067" spans="1:9">
      <c r="A1067" s="4">
        <v>1065</v>
      </c>
      <c r="B1067" s="6">
        <f>'2_Discount_Factors'!B1068</f>
        <v>2.91780821917808</v>
      </c>
      <c r="C1067" s="6">
        <f>EXP(-r_free*(('2_Discount_Factors'!B1067+'2_Discount_Factors'!B1068)/2))</f>
        <v>0.916225147144093</v>
      </c>
      <c r="D1067" s="6">
        <f>'3_Survival_Probs'!D1067</f>
        <v>0.943465503943889</v>
      </c>
      <c r="E1067" s="6">
        <f>'3_Survival_Probs'!D1068</f>
        <v>0.943392581056941</v>
      </c>
      <c r="F1067" s="8">
        <f t="shared" si="39"/>
        <v>7.29228869478238e-5</v>
      </c>
      <c r="G1067" s="29">
        <f>(1-recovery)*notional*C1067*F1067</f>
        <v>400.882696943651</v>
      </c>
      <c r="H1067" s="8">
        <f t="shared" si="38"/>
        <v>1.13491905070807e-5</v>
      </c>
      <c r="I1067" s="30"/>
    </row>
    <row r="1068" spans="1:9">
      <c r="A1068" s="10">
        <v>1066</v>
      </c>
      <c r="B1068" s="12">
        <f>'2_Discount_Factors'!B1069</f>
        <v>2.92054794520548</v>
      </c>
      <c r="C1068" s="12">
        <f>EXP(-r_free*(('2_Discount_Factors'!B1068+'2_Discount_Factors'!B1069)/2))</f>
        <v>0.916149844062305</v>
      </c>
      <c r="D1068" s="12">
        <f>'3_Survival_Probs'!D1068</f>
        <v>0.943392581056941</v>
      </c>
      <c r="E1068" s="12">
        <f>'3_Survival_Probs'!D1069</f>
        <v>0.943319663806391</v>
      </c>
      <c r="F1068" s="14">
        <f t="shared" si="39"/>
        <v>7.29172505494757e-5</v>
      </c>
      <c r="G1068" s="32">
        <f>(1-recovery)*notional*C1068*F1068</f>
        <v>400.818766322125</v>
      </c>
      <c r="H1068" s="14">
        <f t="shared" si="38"/>
        <v>1.1530402866801e-5</v>
      </c>
      <c r="I1068" s="33"/>
    </row>
    <row r="1069" spans="1:9">
      <c r="A1069" s="4">
        <v>1067</v>
      </c>
      <c r="B1069" s="6">
        <f>'2_Discount_Factors'!B1070</f>
        <v>2.92328767123288</v>
      </c>
      <c r="C1069" s="6">
        <f>EXP(-r_free*(('2_Discount_Factors'!B1069+'2_Discount_Factors'!B1070)/2))</f>
        <v>0.916074547169557</v>
      </c>
      <c r="D1069" s="6">
        <f>'3_Survival_Probs'!D1069</f>
        <v>0.943319663806391</v>
      </c>
      <c r="E1069" s="6">
        <f>'3_Survival_Probs'!D1070</f>
        <v>0.943246752191804</v>
      </c>
      <c r="F1069" s="8">
        <f t="shared" si="39"/>
        <v>7.29116145867792e-5</v>
      </c>
      <c r="G1069" s="29">
        <f>(1-recovery)*notional*C1069*F1069</f>
        <v>400.75484589591</v>
      </c>
      <c r="H1069" s="8">
        <f t="shared" si="38"/>
        <v>1.17115571403372e-5</v>
      </c>
      <c r="I1069" s="30"/>
    </row>
    <row r="1070" spans="1:9">
      <c r="A1070" s="10">
        <v>1068</v>
      </c>
      <c r="B1070" s="12">
        <f>'2_Discount_Factors'!B1071</f>
        <v>2.92602739726027</v>
      </c>
      <c r="C1070" s="12">
        <f>EXP(-r_free*(('2_Discount_Factors'!B1070+'2_Discount_Factors'!B1071)/2))</f>
        <v>0.91599925646534</v>
      </c>
      <c r="D1070" s="12">
        <f>'3_Survival_Probs'!D1070</f>
        <v>0.943246752191804</v>
      </c>
      <c r="E1070" s="12">
        <f>'3_Survival_Probs'!D1071</f>
        <v>0.943173846212745</v>
      </c>
      <c r="F1070" s="14">
        <f t="shared" si="39"/>
        <v>7.29059790596231e-5</v>
      </c>
      <c r="G1070" s="32">
        <f>(1-recovery)*notional*C1070*F1070</f>
        <v>400.690935662955</v>
      </c>
      <c r="H1070" s="14">
        <f t="shared" ref="H1070:H1097" si="40">C1070*(B1070-2.74794520547945)*F1070</f>
        <v>1.18926533415947e-5</v>
      </c>
      <c r="I1070" s="33"/>
    </row>
    <row r="1071" spans="1:9">
      <c r="A1071" s="4">
        <v>1069</v>
      </c>
      <c r="B1071" s="6">
        <f>'2_Discount_Factors'!B1072</f>
        <v>2.92876712328767</v>
      </c>
      <c r="C1071" s="6">
        <f>EXP(-r_free*(('2_Discount_Factors'!B1071+'2_Discount_Factors'!B1072)/2))</f>
        <v>0.915923971949146</v>
      </c>
      <c r="D1071" s="6">
        <f>'3_Survival_Probs'!D1071</f>
        <v>0.943173846212745</v>
      </c>
      <c r="E1071" s="6">
        <f>'3_Survival_Probs'!D1072</f>
        <v>0.943100945868777</v>
      </c>
      <c r="F1071" s="8">
        <f t="shared" si="39"/>
        <v>7.29003439681186e-5</v>
      </c>
      <c r="G1071" s="29">
        <f>(1-recovery)*notional*C1071*F1071</f>
        <v>400.627035622429</v>
      </c>
      <c r="H1071" s="8">
        <f t="shared" si="40"/>
        <v>1.20736914845117e-5</v>
      </c>
      <c r="I1071" s="30"/>
    </row>
    <row r="1072" spans="1:9">
      <c r="A1072" s="10">
        <v>1070</v>
      </c>
      <c r="B1072" s="12">
        <f>'2_Discount_Factors'!B1073</f>
        <v>2.93150684931507</v>
      </c>
      <c r="C1072" s="12">
        <f>EXP(-r_free*(('2_Discount_Factors'!B1072+'2_Discount_Factors'!B1073)/2))</f>
        <v>0.915848693620467</v>
      </c>
      <c r="D1072" s="12">
        <f>'3_Survival_Probs'!D1072</f>
        <v>0.943100945868777</v>
      </c>
      <c r="E1072" s="12">
        <f>'3_Survival_Probs'!D1073</f>
        <v>0.943028051159465</v>
      </c>
      <c r="F1072" s="14">
        <f t="shared" si="39"/>
        <v>7.28947093121546e-5</v>
      </c>
      <c r="G1072" s="32">
        <f>(1-recovery)*notional*C1072*F1072</f>
        <v>400.563145772283</v>
      </c>
      <c r="H1072" s="14">
        <f t="shared" si="40"/>
        <v>1.22546715829878e-5</v>
      </c>
      <c r="I1072" s="33"/>
    </row>
    <row r="1073" spans="1:9">
      <c r="A1073" s="4">
        <v>1071</v>
      </c>
      <c r="B1073" s="6">
        <f>'2_Discount_Factors'!B1074</f>
        <v>2.93424657534247</v>
      </c>
      <c r="C1073" s="6">
        <f>EXP(-r_free*(('2_Discount_Factors'!B1073+'2_Discount_Factors'!B1074)/2))</f>
        <v>0.915773421478793</v>
      </c>
      <c r="D1073" s="6">
        <f>'3_Survival_Probs'!D1073</f>
        <v>0.943028051159465</v>
      </c>
      <c r="E1073" s="6">
        <f>'3_Survival_Probs'!D1074</f>
        <v>0.942955162084373</v>
      </c>
      <c r="F1073" s="8">
        <f t="shared" si="39"/>
        <v>7.288907509162e-5</v>
      </c>
      <c r="G1073" s="29">
        <f>(1-recovery)*notional*C1073*F1073</f>
        <v>400.499266110465</v>
      </c>
      <c r="H1073" s="8">
        <f t="shared" si="40"/>
        <v>1.24355936509187e-5</v>
      </c>
      <c r="I1073" s="30"/>
    </row>
    <row r="1074" spans="1:9">
      <c r="A1074" s="10">
        <v>1072</v>
      </c>
      <c r="B1074" s="12">
        <f>'2_Discount_Factors'!B1075</f>
        <v>2.93698630136986</v>
      </c>
      <c r="C1074" s="12">
        <f>EXP(-r_free*(('2_Discount_Factors'!B1074+'2_Discount_Factors'!B1075)/2))</f>
        <v>0.915698155523616</v>
      </c>
      <c r="D1074" s="12">
        <f>'3_Survival_Probs'!D1074</f>
        <v>0.942955162084373</v>
      </c>
      <c r="E1074" s="12">
        <f>'3_Survival_Probs'!D1075</f>
        <v>0.942882278643066</v>
      </c>
      <c r="F1074" s="14">
        <f t="shared" si="39"/>
        <v>7.2883441306737e-5</v>
      </c>
      <c r="G1074" s="32">
        <f>(1-recovery)*notional*C1074*F1074</f>
        <v>400.435396636756</v>
      </c>
      <c r="H1074" s="14">
        <f t="shared" si="40"/>
        <v>1.26164577022541e-5</v>
      </c>
      <c r="I1074" s="33"/>
    </row>
    <row r="1075" spans="1:9">
      <c r="A1075" s="4">
        <v>1073</v>
      </c>
      <c r="B1075" s="6">
        <f>'2_Discount_Factors'!B1076</f>
        <v>2.93972602739726</v>
      </c>
      <c r="C1075" s="6">
        <f>EXP(-r_free*(('2_Discount_Factors'!B1075+'2_Discount_Factors'!B1076)/2))</f>
        <v>0.915622895754427</v>
      </c>
      <c r="D1075" s="6">
        <f>'3_Survival_Probs'!D1075</f>
        <v>0.942882278643066</v>
      </c>
      <c r="E1075" s="6">
        <f>'3_Survival_Probs'!D1076</f>
        <v>0.942809400835109</v>
      </c>
      <c r="F1075" s="8">
        <f t="shared" si="39"/>
        <v>7.28778079571724e-5</v>
      </c>
      <c r="G1075" s="29">
        <f>(1-recovery)*notional*C1075*F1075</f>
        <v>400.371537347887</v>
      </c>
      <c r="H1075" s="8">
        <f t="shared" si="40"/>
        <v>1.27972637508459e-5</v>
      </c>
      <c r="I1075" s="30"/>
    </row>
    <row r="1076" spans="1:9">
      <c r="A1076" s="10">
        <v>1074</v>
      </c>
      <c r="B1076" s="12">
        <f>'2_Discount_Factors'!B1077</f>
        <v>2.94246575342466</v>
      </c>
      <c r="C1076" s="12">
        <f>EXP(-r_free*(('2_Discount_Factors'!B1076+'2_Discount_Factors'!B1077)/2))</f>
        <v>0.915547642170719</v>
      </c>
      <c r="D1076" s="12">
        <f>'3_Survival_Probs'!D1076</f>
        <v>0.942809400835109</v>
      </c>
      <c r="E1076" s="12">
        <f>'3_Survival_Probs'!D1077</f>
        <v>0.942736528660066</v>
      </c>
      <c r="F1076" s="14">
        <f t="shared" si="39"/>
        <v>7.28721750430372e-5</v>
      </c>
      <c r="G1076" s="32">
        <f>(1-recovery)*notional*C1076*F1076</f>
        <v>400.307688243028</v>
      </c>
      <c r="H1076" s="14">
        <f t="shared" si="40"/>
        <v>1.29780118106189e-5</v>
      </c>
      <c r="I1076" s="33"/>
    </row>
    <row r="1077" spans="1:9">
      <c r="A1077" s="4">
        <v>1075</v>
      </c>
      <c r="B1077" s="6">
        <f>'2_Discount_Factors'!B1078</f>
        <v>2.94520547945205</v>
      </c>
      <c r="C1077" s="6">
        <f>EXP(-r_free*(('2_Discount_Factors'!B1077+'2_Discount_Factors'!B1078)/2))</f>
        <v>0.915472394771983</v>
      </c>
      <c r="D1077" s="6">
        <f>'3_Survival_Probs'!D1077</f>
        <v>0.942736528660066</v>
      </c>
      <c r="E1077" s="6">
        <f>'3_Survival_Probs'!D1078</f>
        <v>0.942663662117502</v>
      </c>
      <c r="F1077" s="8">
        <f t="shared" si="39"/>
        <v>7.28665425643316e-5</v>
      </c>
      <c r="G1077" s="29">
        <f>(1-recovery)*notional*C1077*F1077</f>
        <v>400.24384932074</v>
      </c>
      <c r="H1077" s="8">
        <f t="shared" si="40"/>
        <v>1.31587018954765e-5</v>
      </c>
      <c r="I1077" s="30"/>
    </row>
    <row r="1078" spans="1:9">
      <c r="A1078" s="10">
        <v>1076</v>
      </c>
      <c r="B1078" s="12">
        <f>'2_Discount_Factors'!B1079</f>
        <v>2.94794520547945</v>
      </c>
      <c r="C1078" s="12">
        <f>EXP(-r_free*(('2_Discount_Factors'!B1078+'2_Discount_Factors'!B1079)/2))</f>
        <v>0.915397153557711</v>
      </c>
      <c r="D1078" s="12">
        <f>'3_Survival_Probs'!D1078</f>
        <v>0.942663662117502</v>
      </c>
      <c r="E1078" s="12">
        <f>'3_Survival_Probs'!D1079</f>
        <v>0.942590801206981</v>
      </c>
      <c r="F1078" s="14">
        <f t="shared" si="39"/>
        <v>7.28609105209443e-5</v>
      </c>
      <c r="G1078" s="32">
        <f>(1-recovery)*notional*C1078*F1078</f>
        <v>400.180020578973</v>
      </c>
      <c r="H1078" s="14">
        <f t="shared" si="40"/>
        <v>1.33393340192992e-5</v>
      </c>
      <c r="I1078" s="33"/>
    </row>
    <row r="1079" spans="1:9">
      <c r="A1079" s="4">
        <v>1077</v>
      </c>
      <c r="B1079" s="6">
        <f>'2_Discount_Factors'!B1080</f>
        <v>2.95068493150685</v>
      </c>
      <c r="C1079" s="6">
        <f>EXP(-r_free*(('2_Discount_Factors'!B1079+'2_Discount_Factors'!B1080)/2))</f>
        <v>0.915321918527394</v>
      </c>
      <c r="D1079" s="6">
        <f>'3_Survival_Probs'!D1079</f>
        <v>0.942590801206981</v>
      </c>
      <c r="E1079" s="6">
        <f>'3_Survival_Probs'!D1080</f>
        <v>0.942517945928068</v>
      </c>
      <c r="F1079" s="8">
        <f t="shared" si="39"/>
        <v>7.28552789128756e-5</v>
      </c>
      <c r="G1079" s="29">
        <f>(1-recovery)*notional*C1079*F1079</f>
        <v>400.11620201629</v>
      </c>
      <c r="H1079" s="8">
        <f t="shared" si="40"/>
        <v>1.35199081959844e-5</v>
      </c>
      <c r="I1079" s="30"/>
    </row>
    <row r="1080" spans="1:9">
      <c r="A1080" s="10">
        <v>1078</v>
      </c>
      <c r="B1080" s="12">
        <f>'2_Discount_Factors'!B1081</f>
        <v>2.95342465753425</v>
      </c>
      <c r="C1080" s="12">
        <f>EXP(-r_free*(('2_Discount_Factors'!B1080+'2_Discount_Factors'!B1081)/2))</f>
        <v>0.915246689680523</v>
      </c>
      <c r="D1080" s="12">
        <f>'3_Survival_Probs'!D1080</f>
        <v>0.942517945928068</v>
      </c>
      <c r="E1080" s="12">
        <f>'3_Survival_Probs'!D1081</f>
        <v>0.942445096280328</v>
      </c>
      <c r="F1080" s="14">
        <f t="shared" si="39"/>
        <v>7.28496477401253e-5</v>
      </c>
      <c r="G1080" s="32">
        <f>(1-recovery)*notional*C1080*F1080</f>
        <v>400.052393631251</v>
      </c>
      <c r="H1080" s="14">
        <f t="shared" si="40"/>
        <v>1.37004244394265e-5</v>
      </c>
      <c r="I1080" s="33"/>
    </row>
    <row r="1081" spans="1:9">
      <c r="A1081" s="4">
        <v>1079</v>
      </c>
      <c r="B1081" s="6">
        <f>'2_Discount_Factors'!B1082</f>
        <v>2.95616438356164</v>
      </c>
      <c r="C1081" s="6">
        <f>EXP(-r_free*(('2_Discount_Factors'!B1081+'2_Discount_Factors'!B1082)/2))</f>
        <v>0.915171467016592</v>
      </c>
      <c r="D1081" s="6">
        <f>'3_Survival_Probs'!D1081</f>
        <v>0.942445096280328</v>
      </c>
      <c r="E1081" s="6">
        <f>'3_Survival_Probs'!D1082</f>
        <v>0.942372252263325</v>
      </c>
      <c r="F1081" s="8">
        <f t="shared" si="39"/>
        <v>7.28440170025824e-5</v>
      </c>
      <c r="G1081" s="29">
        <f>(1-recovery)*notional*C1081*F1081</f>
        <v>399.988595421809</v>
      </c>
      <c r="H1081" s="8">
        <f t="shared" si="40"/>
        <v>1.38808827634967e-5</v>
      </c>
      <c r="I1081" s="30"/>
    </row>
    <row r="1082" spans="1:9">
      <c r="A1082" s="10">
        <v>1080</v>
      </c>
      <c r="B1082" s="12">
        <f>'2_Discount_Factors'!B1083</f>
        <v>2.95890410958904</v>
      </c>
      <c r="C1082" s="12">
        <f>EXP(-r_free*(('2_Discount_Factors'!B1082+'2_Discount_Factors'!B1083)/2))</f>
        <v>0.915096250535091</v>
      </c>
      <c r="D1082" s="12">
        <f>'3_Survival_Probs'!D1082</f>
        <v>0.942372252263325</v>
      </c>
      <c r="E1082" s="12">
        <f>'3_Survival_Probs'!D1083</f>
        <v>0.942299413876625</v>
      </c>
      <c r="F1082" s="14">
        <f t="shared" si="39"/>
        <v>7.28383867002469e-5</v>
      </c>
      <c r="G1082" s="32">
        <f>(1-recovery)*notional*C1082*F1082</f>
        <v>399.924807386526</v>
      </c>
      <c r="H1082" s="14">
        <f t="shared" si="40"/>
        <v>1.40612831820835e-5</v>
      </c>
      <c r="I1082" s="33"/>
    </row>
    <row r="1083" spans="1:9">
      <c r="A1083" s="4">
        <v>1081</v>
      </c>
      <c r="B1083" s="6">
        <f>'2_Discount_Factors'!B1084</f>
        <v>2.96164383561644</v>
      </c>
      <c r="C1083" s="6">
        <f>EXP(-r_free*(('2_Discount_Factors'!B1083+'2_Discount_Factors'!B1084)/2))</f>
        <v>0.915021040235512</v>
      </c>
      <c r="D1083" s="6">
        <f>'3_Survival_Probs'!D1083</f>
        <v>0.942299413876625</v>
      </c>
      <c r="E1083" s="6">
        <f>'3_Survival_Probs'!D1084</f>
        <v>0.942226581119792</v>
      </c>
      <c r="F1083" s="8">
        <f t="shared" si="39"/>
        <v>7.28327568331189e-5</v>
      </c>
      <c r="G1083" s="29">
        <f>(1-recovery)*notional*C1083*F1083</f>
        <v>399.861029523963</v>
      </c>
      <c r="H1083" s="8">
        <f t="shared" si="40"/>
        <v>1.42416257090728e-5</v>
      </c>
      <c r="I1083" s="30"/>
    </row>
    <row r="1084" spans="1:9">
      <c r="A1084" s="10">
        <v>1082</v>
      </c>
      <c r="B1084" s="12">
        <f>'2_Discount_Factors'!B1085</f>
        <v>2.96438356164384</v>
      </c>
      <c r="C1084" s="12">
        <f>EXP(-r_free*(('2_Discount_Factors'!B1084+'2_Discount_Factors'!B1085)/2))</f>
        <v>0.914945836117348</v>
      </c>
      <c r="D1084" s="12">
        <f>'3_Survival_Probs'!D1084</f>
        <v>0.942226581119792</v>
      </c>
      <c r="E1084" s="12">
        <f>'3_Survival_Probs'!D1085</f>
        <v>0.942153753992391</v>
      </c>
      <c r="F1084" s="14">
        <f t="shared" si="39"/>
        <v>7.28271274010872e-5</v>
      </c>
      <c r="G1084" s="32">
        <f>(1-recovery)*notional*C1084*F1084</f>
        <v>399.797261832074</v>
      </c>
      <c r="H1084" s="14">
        <f t="shared" si="40"/>
        <v>1.44219103583261e-5</v>
      </c>
      <c r="I1084" s="33"/>
    </row>
    <row r="1085" spans="1:9">
      <c r="A1085" s="4">
        <v>1083</v>
      </c>
      <c r="B1085" s="6">
        <f>'2_Discount_Factors'!B1086</f>
        <v>2.96712328767123</v>
      </c>
      <c r="C1085" s="6">
        <f>EXP(-r_free*(('2_Discount_Factors'!B1085+'2_Discount_Factors'!B1086)/2))</f>
        <v>0.914870638180091</v>
      </c>
      <c r="D1085" s="6">
        <f>'3_Survival_Probs'!D1085</f>
        <v>0.942153753992391</v>
      </c>
      <c r="E1085" s="6">
        <f>'3_Survival_Probs'!D1086</f>
        <v>0.942080932493986</v>
      </c>
      <c r="F1085" s="8">
        <f t="shared" si="39"/>
        <v>7.2821498404263e-5</v>
      </c>
      <c r="G1085" s="29">
        <f>(1-recovery)*notional*C1085*F1085</f>
        <v>399.733504310031</v>
      </c>
      <c r="H1085" s="8">
        <f t="shared" si="40"/>
        <v>1.46021371437456e-5</v>
      </c>
      <c r="I1085" s="30"/>
    </row>
    <row r="1086" spans="1:9">
      <c r="A1086" s="10">
        <v>1084</v>
      </c>
      <c r="B1086" s="12">
        <f>'2_Discount_Factors'!B1087</f>
        <v>2.96986301369863</v>
      </c>
      <c r="C1086" s="12">
        <f>EXP(-r_free*(('2_Discount_Factors'!B1086+'2_Discount_Factors'!B1087)/2))</f>
        <v>0.914795446423232</v>
      </c>
      <c r="D1086" s="12">
        <f>'3_Survival_Probs'!D1086</f>
        <v>0.942080932493986</v>
      </c>
      <c r="E1086" s="12">
        <f>'3_Survival_Probs'!D1087</f>
        <v>0.942008116624144</v>
      </c>
      <c r="F1086" s="14">
        <f t="shared" si="39"/>
        <v>7.28158698424242e-5</v>
      </c>
      <c r="G1086" s="32">
        <f>(1-recovery)*notional*C1086*F1086</f>
        <v>399.669756955178</v>
      </c>
      <c r="H1086" s="14">
        <f t="shared" si="40"/>
        <v>1.47823060791642e-5</v>
      </c>
      <c r="I1086" s="33"/>
    </row>
    <row r="1087" spans="1:9">
      <c r="A1087" s="4">
        <v>1085</v>
      </c>
      <c r="B1087" s="6">
        <f>'2_Discount_Factors'!B1088</f>
        <v>2.97260273972603</v>
      </c>
      <c r="C1087" s="6">
        <f>EXP(-r_free*(('2_Discount_Factors'!B1087+'2_Discount_Factors'!B1088)/2))</f>
        <v>0.914720260846263</v>
      </c>
      <c r="D1087" s="6">
        <f>'3_Survival_Probs'!D1087</f>
        <v>0.942008116624144</v>
      </c>
      <c r="E1087" s="6">
        <f>'3_Survival_Probs'!D1088</f>
        <v>0.941935306382428</v>
      </c>
      <c r="F1087" s="8">
        <f t="shared" si="39"/>
        <v>7.28102417156817e-5</v>
      </c>
      <c r="G1087" s="29">
        <f>(1-recovery)*notional*C1087*F1087</f>
        <v>399.606019766687</v>
      </c>
      <c r="H1087" s="8">
        <f t="shared" si="40"/>
        <v>1.49624171784788e-5</v>
      </c>
      <c r="I1087" s="30"/>
    </row>
    <row r="1088" spans="1:9">
      <c r="A1088" s="10">
        <v>1086</v>
      </c>
      <c r="B1088" s="12">
        <f>'2_Discount_Factors'!B1089</f>
        <v>2.97534246575342</v>
      </c>
      <c r="C1088" s="12">
        <f>EXP(-r_free*(('2_Discount_Factors'!B1088+'2_Discount_Factors'!B1089)/2))</f>
        <v>0.914645081448677</v>
      </c>
      <c r="D1088" s="12">
        <f>'3_Survival_Probs'!D1088</f>
        <v>0.941935306382428</v>
      </c>
      <c r="E1088" s="12">
        <f>'3_Survival_Probs'!D1089</f>
        <v>0.941862501768404</v>
      </c>
      <c r="F1088" s="14">
        <f t="shared" si="39"/>
        <v>7.28046140239247e-5</v>
      </c>
      <c r="G1088" s="32">
        <f>(1-recovery)*notional*C1088*F1088</f>
        <v>399.542292742512</v>
      </c>
      <c r="H1088" s="14">
        <f t="shared" si="40"/>
        <v>1.51424704555383e-5</v>
      </c>
      <c r="I1088" s="33"/>
    </row>
    <row r="1089" spans="1:9">
      <c r="A1089" s="4">
        <v>1087</v>
      </c>
      <c r="B1089" s="6">
        <f>'2_Discount_Factors'!B1090</f>
        <v>2.97808219178082</v>
      </c>
      <c r="C1089" s="6">
        <f>EXP(-r_free*(('2_Discount_Factors'!B1089+'2_Discount_Factors'!B1090)/2))</f>
        <v>0.914569908229965</v>
      </c>
      <c r="D1089" s="6">
        <f>'3_Survival_Probs'!D1089</f>
        <v>0.941862501768404</v>
      </c>
      <c r="E1089" s="6">
        <f>'3_Survival_Probs'!D1090</f>
        <v>0.941789702781637</v>
      </c>
      <c r="F1089" s="8">
        <f t="shared" si="39"/>
        <v>7.2798986767153e-5</v>
      </c>
      <c r="G1089" s="29">
        <f>(1-recovery)*notional*C1089*F1089</f>
        <v>399.478575881218</v>
      </c>
      <c r="H1089" s="8">
        <f t="shared" si="40"/>
        <v>1.53224659242112e-5</v>
      </c>
      <c r="I1089" s="30"/>
    </row>
    <row r="1090" spans="1:9">
      <c r="A1090" s="10">
        <v>1088</v>
      </c>
      <c r="B1090" s="12">
        <f>'2_Discount_Factors'!B1091</f>
        <v>2.98082191780822</v>
      </c>
      <c r="C1090" s="12">
        <f>EXP(-r_free*(('2_Discount_Factors'!B1090+'2_Discount_Factors'!B1091)/2))</f>
        <v>0.91449474118962</v>
      </c>
      <c r="D1090" s="12">
        <f>'3_Survival_Probs'!D1090</f>
        <v>0.941789702781637</v>
      </c>
      <c r="E1090" s="12">
        <f>'3_Survival_Probs'!D1091</f>
        <v>0.941716909421692</v>
      </c>
      <c r="F1090" s="14">
        <f t="shared" si="39"/>
        <v>7.27933599453667e-5</v>
      </c>
      <c r="G1090" s="32">
        <f>(1-recovery)*notional*C1090*F1090</f>
        <v>399.414869181366</v>
      </c>
      <c r="H1090" s="14">
        <f t="shared" si="40"/>
        <v>1.55024035983637e-5</v>
      </c>
      <c r="I1090" s="33"/>
    </row>
    <row r="1091" spans="1:9">
      <c r="A1091" s="4">
        <v>1089</v>
      </c>
      <c r="B1091" s="6">
        <f>'2_Discount_Factors'!B1092</f>
        <v>2.98356164383562</v>
      </c>
      <c r="C1091" s="6">
        <f>EXP(-r_free*(('2_Discount_Factors'!B1091+'2_Discount_Factors'!B1092)/2))</f>
        <v>0.914419580327135</v>
      </c>
      <c r="D1091" s="6">
        <f>'3_Survival_Probs'!D1091</f>
        <v>0.941716909421692</v>
      </c>
      <c r="E1091" s="6">
        <f>'3_Survival_Probs'!D1092</f>
        <v>0.941644121688133</v>
      </c>
      <c r="F1091" s="8">
        <f t="shared" ref="F1091:F1154" si="41">D1091-E1091</f>
        <v>7.27877335584548e-5</v>
      </c>
      <c r="G1091" s="29">
        <f>(1-recovery)*notional*C1091*F1091</f>
        <v>399.351172640913</v>
      </c>
      <c r="H1091" s="8">
        <f t="shared" si="40"/>
        <v>1.56822834918351e-5</v>
      </c>
      <c r="I1091" s="30"/>
    </row>
    <row r="1092" spans="1:9">
      <c r="A1092" s="10">
        <v>1090</v>
      </c>
      <c r="B1092" s="12">
        <f>'2_Discount_Factors'!B1093</f>
        <v>2.98630136986301</v>
      </c>
      <c r="C1092" s="12">
        <f>EXP(-r_free*(('2_Discount_Factors'!B1092+'2_Discount_Factors'!B1093)/2))</f>
        <v>0.914344425642</v>
      </c>
      <c r="D1092" s="12">
        <f>'3_Survival_Probs'!D1092</f>
        <v>0.941644121688133</v>
      </c>
      <c r="E1092" s="12">
        <f>'3_Survival_Probs'!D1093</f>
        <v>0.941571339580527</v>
      </c>
      <c r="F1092" s="14">
        <f t="shared" si="41"/>
        <v>7.27821076064172e-5</v>
      </c>
      <c r="G1092" s="32">
        <f>(1-recovery)*notional*C1092*F1092</f>
        <v>399.287486258423</v>
      </c>
      <c r="H1092" s="14">
        <f t="shared" si="40"/>
        <v>1.58621056184854e-5</v>
      </c>
      <c r="I1092" s="33"/>
    </row>
    <row r="1093" spans="1:9">
      <c r="A1093" s="4">
        <v>1091</v>
      </c>
      <c r="B1093" s="6">
        <f>'2_Discount_Factors'!B1094</f>
        <v>2.98904109589041</v>
      </c>
      <c r="C1093" s="6">
        <f>EXP(-r_free*(('2_Discount_Factors'!B1093+'2_Discount_Factors'!B1094)/2))</f>
        <v>0.914269277133709</v>
      </c>
      <c r="D1093" s="6">
        <f>'3_Survival_Probs'!D1093</f>
        <v>0.941571339580527</v>
      </c>
      <c r="E1093" s="6">
        <f>'3_Survival_Probs'!D1094</f>
        <v>0.941498563098438</v>
      </c>
      <c r="F1093" s="8">
        <f t="shared" si="41"/>
        <v>7.2776482089254e-5</v>
      </c>
      <c r="G1093" s="29">
        <f>(1-recovery)*notional*C1093*F1093</f>
        <v>399.22381003246</v>
      </c>
      <c r="H1093" s="8">
        <f t="shared" si="40"/>
        <v>1.6041869992172e-5</v>
      </c>
      <c r="I1093" s="30"/>
    </row>
    <row r="1094" spans="1:9">
      <c r="A1094" s="10">
        <v>1092</v>
      </c>
      <c r="B1094" s="12">
        <f>'2_Discount_Factors'!B1095</f>
        <v>2.99178082191781</v>
      </c>
      <c r="C1094" s="12">
        <f>EXP(-r_free*(('2_Discount_Factors'!B1094+'2_Discount_Factors'!B1095)/2))</f>
        <v>0.914194134801754</v>
      </c>
      <c r="D1094" s="12">
        <f>'3_Survival_Probs'!D1094</f>
        <v>0.941498563098438</v>
      </c>
      <c r="E1094" s="12">
        <f>'3_Survival_Probs'!D1095</f>
        <v>0.941425792241431</v>
      </c>
      <c r="F1094" s="14">
        <f t="shared" si="41"/>
        <v>7.27708570068542e-5</v>
      </c>
      <c r="G1094" s="32">
        <f>(1-recovery)*notional*C1094*F1094</f>
        <v>399.160143960979</v>
      </c>
      <c r="H1094" s="14">
        <f t="shared" si="40"/>
        <v>1.62215766267249e-5</v>
      </c>
      <c r="I1094" s="33"/>
    </row>
    <row r="1095" spans="1:9">
      <c r="A1095" s="4">
        <v>1093</v>
      </c>
      <c r="B1095" s="6">
        <f>'2_Discount_Factors'!B1096</f>
        <v>2.99452054794521</v>
      </c>
      <c r="C1095" s="6">
        <f>EXP(-r_free*(('2_Discount_Factors'!B1095+'2_Discount_Factors'!B1096)/2))</f>
        <v>0.914118998645627</v>
      </c>
      <c r="D1095" s="6">
        <f>'3_Survival_Probs'!D1095</f>
        <v>0.941425792241431</v>
      </c>
      <c r="E1095" s="6">
        <f>'3_Survival_Probs'!D1096</f>
        <v>0.941353027009072</v>
      </c>
      <c r="F1095" s="8">
        <f t="shared" si="41"/>
        <v>7.27652323592176e-5</v>
      </c>
      <c r="G1095" s="29">
        <f>(1-recovery)*notional*C1095*F1095</f>
        <v>399.096488042546</v>
      </c>
      <c r="H1095" s="8">
        <f t="shared" si="40"/>
        <v>1.64012255359952e-5</v>
      </c>
      <c r="I1095" s="30"/>
    </row>
    <row r="1096" spans="1:9">
      <c r="A1096" s="10">
        <v>1094</v>
      </c>
      <c r="B1096" s="12">
        <f>'2_Discount_Factors'!B1097</f>
        <v>2.9972602739726</v>
      </c>
      <c r="C1096" s="12">
        <f>EXP(-r_free*(('2_Discount_Factors'!B1096+'2_Discount_Factors'!B1097)/2))</f>
        <v>0.914043868664821</v>
      </c>
      <c r="D1096" s="12">
        <f>'3_Survival_Probs'!D1096</f>
        <v>0.941353027009072</v>
      </c>
      <c r="E1096" s="12">
        <f>'3_Survival_Probs'!D1097</f>
        <v>0.941280267400925</v>
      </c>
      <c r="F1096" s="14">
        <f t="shared" si="41"/>
        <v>7.27596081464554e-5</v>
      </c>
      <c r="G1096" s="32">
        <f>(1-recovery)*notional*C1096*F1096</f>
        <v>399.032842276335</v>
      </c>
      <c r="H1096" s="14">
        <f t="shared" si="40"/>
        <v>1.6580816733857e-5</v>
      </c>
      <c r="I1096" s="33"/>
    </row>
    <row r="1097" spans="1:9">
      <c r="A1097" s="34">
        <v>1095</v>
      </c>
      <c r="B1097" s="35">
        <f>'2_Discount_Factors'!B1098</f>
        <v>3</v>
      </c>
      <c r="C1097" s="35">
        <f>EXP(-r_free*(('2_Discount_Factors'!B1097+'2_Discount_Factors'!B1098)/2))</f>
        <v>0.913968744858828</v>
      </c>
      <c r="D1097" s="35">
        <f>'3_Survival_Probs'!D1097</f>
        <v>0.941280267400925</v>
      </c>
      <c r="E1097" s="35">
        <f>'3_Survival_Probs'!D1098</f>
        <v>0.941207513416557</v>
      </c>
      <c r="F1097" s="36">
        <f t="shared" si="41"/>
        <v>7.27539843682345e-5</v>
      </c>
      <c r="G1097" s="37">
        <f>(1-recovery)*notional*C1097*F1097</f>
        <v>398.969206659085</v>
      </c>
      <c r="H1097" s="36">
        <f t="shared" si="40"/>
        <v>1.67603502340804e-5</v>
      </c>
      <c r="I1097" s="38" t="s">
        <v>71</v>
      </c>
    </row>
    <row r="1098" spans="1:9">
      <c r="A1098" s="10">
        <v>1096</v>
      </c>
      <c r="B1098" s="12">
        <f>'2_Discount_Factors'!B1099</f>
        <v>3.0027397260274</v>
      </c>
      <c r="C1098" s="12">
        <f>EXP(-r_free*(('2_Discount_Factors'!B1098+'2_Discount_Factors'!B1099)/2))</f>
        <v>0.913893627227141</v>
      </c>
      <c r="D1098" s="12">
        <f>'3_Survival_Probs'!D1098</f>
        <v>0.941207513416557</v>
      </c>
      <c r="E1098" s="12">
        <f>'3_Survival_Probs'!D1099</f>
        <v>0.941128684058221</v>
      </c>
      <c r="F1098" s="14">
        <f t="shared" si="41"/>
        <v>7.8829358336141e-5</v>
      </c>
      <c r="G1098" s="32">
        <f>(1-recovery)*notional*C1098*F1098</f>
        <v>432.249889330824</v>
      </c>
      <c r="H1098" s="14">
        <f t="shared" ref="H1098:H1161" si="42">C1098*(B1098-3)*F1098</f>
        <v>1.97374378689881e-7</v>
      </c>
      <c r="I1098" s="33"/>
    </row>
    <row r="1099" spans="1:9">
      <c r="A1099" s="4">
        <v>1097</v>
      </c>
      <c r="B1099" s="6">
        <f>'2_Discount_Factors'!B1100</f>
        <v>3.00547945205479</v>
      </c>
      <c r="C1099" s="6">
        <f>EXP(-r_free*(('2_Discount_Factors'!B1099+'2_Discount_Factors'!B1100)/2))</f>
        <v>0.913818515769252</v>
      </c>
      <c r="D1099" s="6">
        <f>'3_Survival_Probs'!D1099</f>
        <v>0.941128684058221</v>
      </c>
      <c r="E1099" s="6">
        <f>'3_Survival_Probs'!D1100</f>
        <v>0.941049861302114</v>
      </c>
      <c r="F1099" s="8">
        <f t="shared" si="41"/>
        <v>7.88227561069332e-5</v>
      </c>
      <c r="G1099" s="29">
        <f>(1-recovery)*notional*C1099*F1099</f>
        <v>432.178163966877</v>
      </c>
      <c r="H1099" s="8">
        <f t="shared" si="42"/>
        <v>3.94683254764285e-7</v>
      </c>
      <c r="I1099" s="30"/>
    </row>
    <row r="1100" spans="1:9">
      <c r="A1100" s="10">
        <v>1098</v>
      </c>
      <c r="B1100" s="12">
        <f>'2_Discount_Factors'!B1101</f>
        <v>3.00821917808219</v>
      </c>
      <c r="C1100" s="12">
        <f>EXP(-r_free*(('2_Discount_Factors'!B1100+'2_Discount_Factors'!B1101)/2))</f>
        <v>0.913743410484654</v>
      </c>
      <c r="D1100" s="12">
        <f>'3_Survival_Probs'!D1100</f>
        <v>0.941049861302114</v>
      </c>
      <c r="E1100" s="12">
        <f>'3_Survival_Probs'!D1101</f>
        <v>0.940971045147683</v>
      </c>
      <c r="F1100" s="14">
        <f t="shared" si="41"/>
        <v>7.88161544307275e-5</v>
      </c>
      <c r="G1100" s="32">
        <f>(1-recovery)*notional*C1100*F1100</f>
        <v>432.106450504909</v>
      </c>
      <c r="H1100" s="14">
        <f t="shared" si="42"/>
        <v>5.91926644527262e-7</v>
      </c>
      <c r="I1100" s="33"/>
    </row>
    <row r="1101" spans="1:9">
      <c r="A1101" s="4">
        <v>1099</v>
      </c>
      <c r="B1101" s="6">
        <f>'2_Discount_Factors'!B1102</f>
        <v>3.01095890410959</v>
      </c>
      <c r="C1101" s="6">
        <f>EXP(-r_free*(('2_Discount_Factors'!B1101+'2_Discount_Factors'!B1102)/2))</f>
        <v>0.913668311372839</v>
      </c>
      <c r="D1101" s="6">
        <f>'3_Survival_Probs'!D1101</f>
        <v>0.940971045147683</v>
      </c>
      <c r="E1101" s="6">
        <f>'3_Survival_Probs'!D1102</f>
        <v>0.940892235594376</v>
      </c>
      <c r="F1101" s="8">
        <f t="shared" si="41"/>
        <v>7.88095533074129e-5</v>
      </c>
      <c r="G1101" s="29">
        <f>(1-recovery)*notional*C1101*F1101</f>
        <v>432.03474894259</v>
      </c>
      <c r="H1101" s="8">
        <f t="shared" si="42"/>
        <v>7.891045642787e-7</v>
      </c>
      <c r="I1101" s="30"/>
    </row>
    <row r="1102" spans="1:9">
      <c r="A1102" s="10">
        <v>1100</v>
      </c>
      <c r="B1102" s="12">
        <f>'2_Discount_Factors'!B1103</f>
        <v>3.01369863013699</v>
      </c>
      <c r="C1102" s="12">
        <f>EXP(-r_free*(('2_Discount_Factors'!B1102+'2_Discount_Factors'!B1103)/2))</f>
        <v>0.9135932184333</v>
      </c>
      <c r="D1102" s="12">
        <f>'3_Survival_Probs'!D1102</f>
        <v>0.940892235594376</v>
      </c>
      <c r="E1102" s="12">
        <f>'3_Survival_Probs'!D1103</f>
        <v>0.940813432641639</v>
      </c>
      <c r="F1102" s="14">
        <f t="shared" si="41"/>
        <v>7.88029527368783e-5</v>
      </c>
      <c r="G1102" s="32">
        <f>(1-recovery)*notional*C1102*F1102</f>
        <v>431.963059277591</v>
      </c>
      <c r="H1102" s="14">
        <f t="shared" si="42"/>
        <v>9.86217030314139e-7</v>
      </c>
      <c r="I1102" s="33"/>
    </row>
    <row r="1103" spans="1:9">
      <c r="A1103" s="4">
        <v>1101</v>
      </c>
      <c r="B1103" s="6">
        <f>'2_Discount_Factors'!B1104</f>
        <v>3.01643835616438</v>
      </c>
      <c r="C1103" s="6">
        <f>EXP(-r_free*(('2_Discount_Factors'!B1103+'2_Discount_Factors'!B1104)/2))</f>
        <v>0.91351813166553</v>
      </c>
      <c r="D1103" s="6">
        <f>'3_Survival_Probs'!D1103</f>
        <v>0.940813432641639</v>
      </c>
      <c r="E1103" s="6">
        <f>'3_Survival_Probs'!D1104</f>
        <v>0.94073463628892</v>
      </c>
      <c r="F1103" s="8">
        <f t="shared" si="41"/>
        <v>7.87963527192348e-5</v>
      </c>
      <c r="G1103" s="29">
        <f>(1-recovery)*notional*C1103*F1103</f>
        <v>431.891381508801</v>
      </c>
      <c r="H1103" s="8">
        <f t="shared" si="42"/>
        <v>1.18326405892823e-6</v>
      </c>
      <c r="I1103" s="30"/>
    </row>
    <row r="1104" spans="1:9">
      <c r="A1104" s="10">
        <v>1102</v>
      </c>
      <c r="B1104" s="12">
        <f>'2_Discount_Factors'!B1105</f>
        <v>3.01917808219178</v>
      </c>
      <c r="C1104" s="12">
        <f>EXP(-r_free*(('2_Discount_Factors'!B1104+'2_Discount_Factors'!B1105)/2))</f>
        <v>0.913443051069022</v>
      </c>
      <c r="D1104" s="12">
        <f>'3_Survival_Probs'!D1104</f>
        <v>0.94073463628892</v>
      </c>
      <c r="E1104" s="12">
        <f>'3_Survival_Probs'!D1105</f>
        <v>0.940655846535665</v>
      </c>
      <c r="F1104" s="14">
        <f t="shared" si="41"/>
        <v>7.87897532543713e-5</v>
      </c>
      <c r="G1104" s="32">
        <f>(1-recovery)*notional*C1104*F1104</f>
        <v>431.81971563389</v>
      </c>
      <c r="H1104" s="14">
        <f t="shared" si="42"/>
        <v>1.38024566640968e-6</v>
      </c>
      <c r="I1104" s="33"/>
    </row>
    <row r="1105" spans="1:9">
      <c r="A1105" s="4">
        <v>1103</v>
      </c>
      <c r="B1105" s="6">
        <f>'2_Discount_Factors'!B1106</f>
        <v>3.02191780821918</v>
      </c>
      <c r="C1105" s="6">
        <f>EXP(-r_free*(('2_Discount_Factors'!B1105+'2_Discount_Factors'!B1106)/2))</f>
        <v>0.913367976643267</v>
      </c>
      <c r="D1105" s="6">
        <f>'3_Survival_Probs'!D1105</f>
        <v>0.940655846535665</v>
      </c>
      <c r="E1105" s="6">
        <f>'3_Survival_Probs'!D1106</f>
        <v>0.940577063381323</v>
      </c>
      <c r="F1105" s="8">
        <f t="shared" si="41"/>
        <v>7.87831543422879e-5</v>
      </c>
      <c r="G1105" s="29">
        <f>(1-recovery)*notional*C1105*F1105</f>
        <v>431.748061651138</v>
      </c>
      <c r="H1105" s="8">
        <f t="shared" si="42"/>
        <v>1.57716186904525e-6</v>
      </c>
      <c r="I1105" s="30"/>
    </row>
    <row r="1106" spans="1:9">
      <c r="A1106" s="10">
        <v>1104</v>
      </c>
      <c r="B1106" s="12">
        <f>'2_Discount_Factors'!B1107</f>
        <v>3.02465753424658</v>
      </c>
      <c r="C1106" s="12">
        <f>EXP(-r_free*(('2_Discount_Factors'!B1106+'2_Discount_Factors'!B1107)/2))</f>
        <v>0.91329290838776</v>
      </c>
      <c r="D1106" s="12">
        <f>'3_Survival_Probs'!D1106</f>
        <v>0.940577063381323</v>
      </c>
      <c r="E1106" s="12">
        <f>'3_Survival_Probs'!D1107</f>
        <v>0.94049828682534</v>
      </c>
      <c r="F1106" s="14">
        <f t="shared" si="41"/>
        <v>7.87765559827625e-5</v>
      </c>
      <c r="G1106" s="32">
        <f>(1-recovery)*notional*C1106*F1106</f>
        <v>431.67641955761</v>
      </c>
      <c r="H1106" s="14">
        <f t="shared" si="42"/>
        <v>1.77401268311347e-6</v>
      </c>
      <c r="I1106" s="33"/>
    </row>
    <row r="1107" spans="1:9">
      <c r="A1107" s="4">
        <v>1105</v>
      </c>
      <c r="B1107" s="6">
        <f>'2_Discount_Factors'!B1108</f>
        <v>3.02739726027397</v>
      </c>
      <c r="C1107" s="6">
        <f>EXP(-r_free*(('2_Discount_Factors'!B1107+'2_Discount_Factors'!B1108)/2))</f>
        <v>0.913217846301994</v>
      </c>
      <c r="D1107" s="6">
        <f>'3_Survival_Probs'!D1107</f>
        <v>0.94049828682534</v>
      </c>
      <c r="E1107" s="6">
        <f>'3_Survival_Probs'!D1108</f>
        <v>0.940419516867164</v>
      </c>
      <c r="F1107" s="8">
        <f t="shared" si="41"/>
        <v>7.87699581760171e-5</v>
      </c>
      <c r="G1107" s="29">
        <f>(1-recovery)*notional*C1107*F1107</f>
        <v>431.604789352802</v>
      </c>
      <c r="H1107" s="8">
        <f t="shared" si="42"/>
        <v>1.97079812489865e-6</v>
      </c>
      <c r="I1107" s="30"/>
    </row>
    <row r="1108" spans="1:9">
      <c r="A1108" s="10">
        <v>1106</v>
      </c>
      <c r="B1108" s="12">
        <f>'2_Discount_Factors'!B1109</f>
        <v>3.03013698630137</v>
      </c>
      <c r="C1108" s="12">
        <f>EXP(-r_free*(('2_Discount_Factors'!B1108+'2_Discount_Factors'!B1109)/2))</f>
        <v>0.91314279038546</v>
      </c>
      <c r="D1108" s="12">
        <f>'3_Survival_Probs'!D1108</f>
        <v>0.940419516867164</v>
      </c>
      <c r="E1108" s="12">
        <f>'3_Survival_Probs'!D1109</f>
        <v>0.940340753506242</v>
      </c>
      <c r="F1108" s="14">
        <f t="shared" si="41"/>
        <v>7.87633609217187e-5</v>
      </c>
      <c r="G1108" s="32">
        <f>(1-recovery)*notional*C1108*F1108</f>
        <v>431.533171033171</v>
      </c>
      <c r="H1108" s="14">
        <f t="shared" si="42"/>
        <v>2.16751821066891e-6</v>
      </c>
      <c r="I1108" s="33"/>
    </row>
    <row r="1109" spans="1:9">
      <c r="A1109" s="4">
        <v>1107</v>
      </c>
      <c r="B1109" s="6">
        <f>'2_Discount_Factors'!B1110</f>
        <v>3.03287671232877</v>
      </c>
      <c r="C1109" s="6">
        <f>EXP(-r_free*(('2_Discount_Factors'!B1109+'2_Discount_Factors'!B1110)/2))</f>
        <v>0.913067740637652</v>
      </c>
      <c r="D1109" s="6">
        <f>'3_Survival_Probs'!D1109</f>
        <v>0.940340753506242</v>
      </c>
      <c r="E1109" s="6">
        <f>'3_Survival_Probs'!D1110</f>
        <v>0.940261996742022</v>
      </c>
      <c r="F1109" s="8">
        <f t="shared" si="41"/>
        <v>7.87567642199782e-5</v>
      </c>
      <c r="G1109" s="29">
        <f>(1-recovery)*notional*C1109*F1109</f>
        <v>431.461564597607</v>
      </c>
      <c r="H1109" s="8">
        <f t="shared" si="42"/>
        <v>2.3641729566992e-6</v>
      </c>
      <c r="I1109" s="30"/>
    </row>
    <row r="1110" spans="1:9">
      <c r="A1110" s="10">
        <v>1108</v>
      </c>
      <c r="B1110" s="12">
        <f>'2_Discount_Factors'!B1111</f>
        <v>3.03561643835616</v>
      </c>
      <c r="C1110" s="12">
        <f>EXP(-r_free*(('2_Discount_Factors'!B1110+'2_Discount_Factors'!B1111)/2))</f>
        <v>0.912992697058063</v>
      </c>
      <c r="D1110" s="12">
        <f>'3_Survival_Probs'!D1110</f>
        <v>0.940261996742022</v>
      </c>
      <c r="E1110" s="12">
        <f>'3_Survival_Probs'!D1111</f>
        <v>0.940183246573952</v>
      </c>
      <c r="F1110" s="14">
        <f t="shared" si="41"/>
        <v>7.87501680707958e-5</v>
      </c>
      <c r="G1110" s="32">
        <f>(1-recovery)*notional*C1110*F1110</f>
        <v>431.38997004439</v>
      </c>
      <c r="H1110" s="14">
        <f t="shared" si="42"/>
        <v>2.56076237925893e-6</v>
      </c>
      <c r="I1110" s="33"/>
    </row>
    <row r="1111" spans="1:9">
      <c r="A1111" s="4">
        <v>1109</v>
      </c>
      <c r="B1111" s="6">
        <f>'2_Discount_Factors'!B1112</f>
        <v>3.03835616438356</v>
      </c>
      <c r="C1111" s="6">
        <f>EXP(-r_free*(('2_Discount_Factors'!B1111+'2_Discount_Factors'!B1112)/2))</f>
        <v>0.912917659646185</v>
      </c>
      <c r="D1111" s="6">
        <f>'3_Survival_Probs'!D1111</f>
        <v>0.940183246573952</v>
      </c>
      <c r="E1111" s="6">
        <f>'3_Survival_Probs'!D1112</f>
        <v>0.940104503001478</v>
      </c>
      <c r="F1111" s="8">
        <f t="shared" si="41"/>
        <v>7.87435724740604e-5</v>
      </c>
      <c r="G1111" s="29">
        <f>(1-recovery)*notional*C1111*F1111</f>
        <v>431.318387371194</v>
      </c>
      <c r="H1111" s="8">
        <f t="shared" si="42"/>
        <v>2.75728649461038e-6</v>
      </c>
      <c r="I1111" s="30"/>
    </row>
    <row r="1112" spans="1:9">
      <c r="A1112" s="10">
        <v>1110</v>
      </c>
      <c r="B1112" s="12">
        <f>'2_Discount_Factors'!B1113</f>
        <v>3.04109589041096</v>
      </c>
      <c r="C1112" s="12">
        <f>EXP(-r_free*(('2_Discount_Factors'!B1112+'2_Discount_Factors'!B1113)/2))</f>
        <v>0.912842628401513</v>
      </c>
      <c r="D1112" s="12">
        <f>'3_Survival_Probs'!D1112</f>
        <v>0.940104503001478</v>
      </c>
      <c r="E1112" s="12">
        <f>'3_Survival_Probs'!D1113</f>
        <v>0.940025766024048</v>
      </c>
      <c r="F1112" s="14">
        <f t="shared" si="41"/>
        <v>7.87369774297719e-5</v>
      </c>
      <c r="G1112" s="32">
        <f>(1-recovery)*notional*C1112*F1112</f>
        <v>431.246816576302</v>
      </c>
      <c r="H1112" s="14">
        <f t="shared" si="42"/>
        <v>2.95374531901578e-6</v>
      </c>
      <c r="I1112" s="33"/>
    </row>
    <row r="1113" spans="1:9">
      <c r="A1113" s="4">
        <v>1111</v>
      </c>
      <c r="B1113" s="6">
        <f>'2_Discount_Factors'!B1114</f>
        <v>3.04383561643836</v>
      </c>
      <c r="C1113" s="6">
        <f>EXP(-r_free*(('2_Discount_Factors'!B1113+'2_Discount_Factors'!B1114)/2))</f>
        <v>0.912767603323539</v>
      </c>
      <c r="D1113" s="6">
        <f>'3_Survival_Probs'!D1113</f>
        <v>0.940025766024048</v>
      </c>
      <c r="E1113" s="6">
        <f>'3_Survival_Probs'!D1114</f>
        <v>0.93994703564111</v>
      </c>
      <c r="F1113" s="8">
        <f t="shared" si="41"/>
        <v>7.87303829377084e-5</v>
      </c>
      <c r="G1113" s="29">
        <f>(1-recovery)*notional*C1113*F1113</f>
        <v>431.175257656779</v>
      </c>
      <c r="H1113" s="8">
        <f t="shared" si="42"/>
        <v>3.15013886872532e-6</v>
      </c>
      <c r="I1113" s="30"/>
    </row>
    <row r="1114" spans="1:9">
      <c r="A1114" s="10">
        <v>1112</v>
      </c>
      <c r="B1114" s="12">
        <f>'2_Discount_Factors'!B1115</f>
        <v>3.04657534246575</v>
      </c>
      <c r="C1114" s="12">
        <f>EXP(-r_free*(('2_Discount_Factors'!B1114+'2_Discount_Factors'!B1115)/2))</f>
        <v>0.912692584411757</v>
      </c>
      <c r="D1114" s="12">
        <f>'3_Survival_Probs'!D1114</f>
        <v>0.93994703564111</v>
      </c>
      <c r="E1114" s="12">
        <f>'3_Survival_Probs'!D1115</f>
        <v>0.939868311852112</v>
      </c>
      <c r="F1114" s="14">
        <f t="shared" si="41"/>
        <v>7.87237889980918e-5</v>
      </c>
      <c r="G1114" s="32">
        <f>(1-recovery)*notional*C1114*F1114</f>
        <v>431.103710612126</v>
      </c>
      <c r="H1114" s="14">
        <f t="shared" si="42"/>
        <v>3.3464671600028e-6</v>
      </c>
      <c r="I1114" s="33"/>
    </row>
    <row r="1115" spans="1:9">
      <c r="A1115" s="4">
        <v>1113</v>
      </c>
      <c r="B1115" s="6">
        <f>'2_Discount_Factors'!B1116</f>
        <v>3.04931506849315</v>
      </c>
      <c r="C1115" s="6">
        <f>EXP(-r_free*(('2_Discount_Factors'!B1115+'2_Discount_Factors'!B1116)/2))</f>
        <v>0.912617571665659</v>
      </c>
      <c r="D1115" s="6">
        <f>'3_Survival_Probs'!D1115</f>
        <v>0.939868311852112</v>
      </c>
      <c r="E1115" s="6">
        <f>'3_Survival_Probs'!D1116</f>
        <v>0.939789594656501</v>
      </c>
      <c r="F1115" s="8">
        <f t="shared" si="41"/>
        <v>7.87171956105892e-5</v>
      </c>
      <c r="G1115" s="29">
        <f>(1-recovery)*notional*C1115*F1115</f>
        <v>431.0321754388</v>
      </c>
      <c r="H1115" s="8">
        <f t="shared" si="42"/>
        <v>3.54273020908603e-6</v>
      </c>
      <c r="I1115" s="30"/>
    </row>
    <row r="1116" spans="1:9">
      <c r="A1116" s="10">
        <v>1114</v>
      </c>
      <c r="B1116" s="12">
        <f>'2_Discount_Factors'!B1117</f>
        <v>3.05205479452055</v>
      </c>
      <c r="C1116" s="12">
        <f>EXP(-r_free*(('2_Discount_Factors'!B1116+'2_Discount_Factors'!B1117)/2))</f>
        <v>0.912542565084739</v>
      </c>
      <c r="D1116" s="12">
        <f>'3_Survival_Probs'!D1116</f>
        <v>0.939789594656501</v>
      </c>
      <c r="E1116" s="12">
        <f>'3_Survival_Probs'!D1117</f>
        <v>0.939710884053726</v>
      </c>
      <c r="F1116" s="14">
        <f t="shared" si="41"/>
        <v>7.87106027754225e-5</v>
      </c>
      <c r="G1116" s="32">
        <f>(1-recovery)*notional*C1116*F1116</f>
        <v>430.9606521363</v>
      </c>
      <c r="H1116" s="14">
        <f t="shared" si="42"/>
        <v>3.73892803223275e-6</v>
      </c>
      <c r="I1116" s="33"/>
    </row>
    <row r="1117" spans="1:9">
      <c r="A1117" s="4">
        <v>1115</v>
      </c>
      <c r="B1117" s="6">
        <f>'2_Discount_Factors'!B1118</f>
        <v>3.05479452054795</v>
      </c>
      <c r="C1117" s="6">
        <f>EXP(-r_free*(('2_Discount_Factors'!B1117+'2_Discount_Factors'!B1118)/2))</f>
        <v>0.91246756466849</v>
      </c>
      <c r="D1117" s="6">
        <f>'3_Survival_Probs'!D1117</f>
        <v>0.939710884053726</v>
      </c>
      <c r="E1117" s="6">
        <f>'3_Survival_Probs'!D1118</f>
        <v>0.939632180043234</v>
      </c>
      <c r="F1117" s="8">
        <f t="shared" si="41"/>
        <v>7.87040104924808e-5</v>
      </c>
      <c r="G1117" s="29">
        <f>(1-recovery)*notional*C1117*F1117</f>
        <v>430.889140702303</v>
      </c>
      <c r="H1117" s="8">
        <f t="shared" si="42"/>
        <v>3.93506064568315e-6</v>
      </c>
      <c r="I1117" s="30"/>
    </row>
    <row r="1118" spans="1:9">
      <c r="A1118" s="10">
        <v>1116</v>
      </c>
      <c r="B1118" s="12">
        <f>'2_Discount_Factors'!B1119</f>
        <v>3.05753424657534</v>
      </c>
      <c r="C1118" s="12">
        <f>EXP(-r_free*(('2_Discount_Factors'!B1118+'2_Discount_Factors'!B1119)/2))</f>
        <v>0.912392570416405</v>
      </c>
      <c r="D1118" s="12">
        <f>'3_Survival_Probs'!D1118</f>
        <v>0.939632180043234</v>
      </c>
      <c r="E1118" s="12">
        <f>'3_Survival_Probs'!D1119</f>
        <v>0.939553482624472</v>
      </c>
      <c r="F1118" s="14">
        <f t="shared" si="41"/>
        <v>7.86974187615419e-5</v>
      </c>
      <c r="G1118" s="32">
        <f>(1-recovery)*notional*C1118*F1118</f>
        <v>430.817641133877</v>
      </c>
      <c r="H1118" s="14">
        <f t="shared" si="42"/>
        <v>4.1311280656673e-6</v>
      </c>
      <c r="I1118" s="33"/>
    </row>
    <row r="1119" spans="1:9">
      <c r="A1119" s="4">
        <v>1117</v>
      </c>
      <c r="B1119" s="6">
        <f>'2_Discount_Factors'!B1120</f>
        <v>3.06027397260274</v>
      </c>
      <c r="C1119" s="6">
        <f>EXP(-r_free*(('2_Discount_Factors'!B1119+'2_Discount_Factors'!B1120)/2))</f>
        <v>0.912317582327979</v>
      </c>
      <c r="D1119" s="6">
        <f>'3_Survival_Probs'!D1119</f>
        <v>0.939553482624472</v>
      </c>
      <c r="E1119" s="6">
        <f>'3_Survival_Probs'!D1120</f>
        <v>0.939474791796889</v>
      </c>
      <c r="F1119" s="8">
        <f t="shared" si="41"/>
        <v>7.86908275827169e-5</v>
      </c>
      <c r="G1119" s="29">
        <f>(1-recovery)*notional*C1119*F1119</f>
        <v>430.746153429913</v>
      </c>
      <c r="H1119" s="8">
        <f t="shared" si="42"/>
        <v>4.32713030842835e-6</v>
      </c>
      <c r="I1119" s="30"/>
    </row>
    <row r="1120" spans="1:9">
      <c r="A1120" s="10">
        <v>1118</v>
      </c>
      <c r="B1120" s="12">
        <f>'2_Discount_Factors'!B1121</f>
        <v>3.06301369863014</v>
      </c>
      <c r="C1120" s="12">
        <f>EXP(-r_free*(('2_Discount_Factors'!B1120+'2_Discount_Factors'!B1121)/2))</f>
        <v>0.912242600402703</v>
      </c>
      <c r="D1120" s="12">
        <f>'3_Survival_Probs'!D1120</f>
        <v>0.939474791796889</v>
      </c>
      <c r="E1120" s="12">
        <f>'3_Survival_Probs'!D1121</f>
        <v>0.939396107559933</v>
      </c>
      <c r="F1120" s="14">
        <f t="shared" si="41"/>
        <v>7.86842369558949e-5</v>
      </c>
      <c r="G1120" s="32">
        <f>(1-recovery)*notional*C1120*F1120</f>
        <v>430.674677588088</v>
      </c>
      <c r="H1120" s="14">
        <f t="shared" si="42"/>
        <v>4.52306739019454e-6</v>
      </c>
      <c r="I1120" s="33"/>
    </row>
    <row r="1121" spans="1:9">
      <c r="A1121" s="4">
        <v>1119</v>
      </c>
      <c r="B1121" s="6">
        <f>'2_Discount_Factors'!B1122</f>
        <v>3.06575342465753</v>
      </c>
      <c r="C1121" s="6">
        <f>EXP(-r_free*(('2_Discount_Factors'!B1121+'2_Discount_Factors'!B1122)/2))</f>
        <v>0.912167624640072</v>
      </c>
      <c r="D1121" s="6">
        <f>'3_Survival_Probs'!D1121</f>
        <v>0.939396107559933</v>
      </c>
      <c r="E1121" s="6">
        <f>'3_Survival_Probs'!D1122</f>
        <v>0.939317429913052</v>
      </c>
      <c r="F1121" s="8">
        <f t="shared" si="41"/>
        <v>7.86776468811867e-5</v>
      </c>
      <c r="G1121" s="29">
        <f>(1-recovery)*notional*C1121*F1121</f>
        <v>430.603213607295</v>
      </c>
      <c r="H1121" s="8">
        <f t="shared" si="42"/>
        <v>4.71893932720324e-6</v>
      </c>
      <c r="I1121" s="30"/>
    </row>
    <row r="1122" spans="1:9">
      <c r="A1122" s="10">
        <v>1120</v>
      </c>
      <c r="B1122" s="12">
        <f>'2_Discount_Factors'!B1123</f>
        <v>3.06849315068493</v>
      </c>
      <c r="C1122" s="12">
        <f>EXP(-r_free*(('2_Discount_Factors'!B1122+'2_Discount_Factors'!B1123)/2))</f>
        <v>0.91209265503958</v>
      </c>
      <c r="D1122" s="12">
        <f>'3_Survival_Probs'!D1122</f>
        <v>0.939317429913052</v>
      </c>
      <c r="E1122" s="12">
        <f>'3_Survival_Probs'!D1123</f>
        <v>0.939238758855694</v>
      </c>
      <c r="F1122" s="14">
        <f t="shared" si="41"/>
        <v>7.86710573582594e-5</v>
      </c>
      <c r="G1122" s="32">
        <f>(1-recovery)*notional*C1122*F1122</f>
        <v>430.531761483995</v>
      </c>
      <c r="H1122" s="14">
        <f t="shared" si="42"/>
        <v>4.91474613566203e-6</v>
      </c>
      <c r="I1122" s="33"/>
    </row>
    <row r="1123" spans="1:9">
      <c r="A1123" s="4">
        <v>1121</v>
      </c>
      <c r="B1123" s="6">
        <f>'2_Discount_Factors'!B1124</f>
        <v>3.07123287671233</v>
      </c>
      <c r="C1123" s="6">
        <f>EXP(-r_free*(('2_Discount_Factors'!B1123+'2_Discount_Factors'!B1124)/2))</f>
        <v>0.912017691600719</v>
      </c>
      <c r="D1123" s="6">
        <f>'3_Survival_Probs'!D1123</f>
        <v>0.939238758855694</v>
      </c>
      <c r="E1123" s="6">
        <f>'3_Survival_Probs'!D1124</f>
        <v>0.939160094387307</v>
      </c>
      <c r="F1123" s="8">
        <f t="shared" si="41"/>
        <v>7.8664468387335e-5</v>
      </c>
      <c r="G1123" s="29">
        <f>(1-recovery)*notional*C1123*F1123</f>
        <v>430.46032121769</v>
      </c>
      <c r="H1123" s="8">
        <f t="shared" si="42"/>
        <v>5.11048783180819e-6</v>
      </c>
      <c r="I1123" s="30"/>
    </row>
    <row r="1124" spans="1:9">
      <c r="A1124" s="10">
        <v>1122</v>
      </c>
      <c r="B1124" s="12">
        <f>'2_Discount_Factors'!B1125</f>
        <v>3.07397260273973</v>
      </c>
      <c r="C1124" s="12">
        <f>EXP(-r_free*(('2_Discount_Factors'!B1124+'2_Discount_Factors'!B1125)/2))</f>
        <v>0.911942734322983</v>
      </c>
      <c r="D1124" s="12">
        <f>'3_Survival_Probs'!D1124</f>
        <v>0.939160094387307</v>
      </c>
      <c r="E1124" s="12">
        <f>'3_Survival_Probs'!D1125</f>
        <v>0.939081436507338</v>
      </c>
      <c r="F1124" s="14">
        <f t="shared" si="41"/>
        <v>7.86578799681914e-5</v>
      </c>
      <c r="G1124" s="32">
        <f>(1-recovery)*notional*C1124*F1124</f>
        <v>430.388892805449</v>
      </c>
      <c r="H1124" s="14">
        <f t="shared" si="42"/>
        <v>5.306164431848e-6</v>
      </c>
      <c r="I1124" s="33"/>
    </row>
    <row r="1125" spans="1:9">
      <c r="A1125" s="4">
        <v>1123</v>
      </c>
      <c r="B1125" s="6">
        <f>'2_Discount_Factors'!B1126</f>
        <v>3.07671232876712</v>
      </c>
      <c r="C1125" s="6">
        <f>EXP(-r_free*(('2_Discount_Factors'!B1125+'2_Discount_Factors'!B1126)/2))</f>
        <v>0.911867783205867</v>
      </c>
      <c r="D1125" s="6">
        <f>'3_Survival_Probs'!D1125</f>
        <v>0.939081436507338</v>
      </c>
      <c r="E1125" s="6">
        <f>'3_Survival_Probs'!D1126</f>
        <v>0.939002785215238</v>
      </c>
      <c r="F1125" s="8">
        <f t="shared" si="41"/>
        <v>7.86512921009397e-5</v>
      </c>
      <c r="G1125" s="29">
        <f>(1-recovery)*notional*C1125*F1125</f>
        <v>430.317476246166</v>
      </c>
      <c r="H1125" s="8">
        <f t="shared" si="42"/>
        <v>5.50177595200578e-6</v>
      </c>
      <c r="I1125" s="30"/>
    </row>
    <row r="1126" spans="1:9">
      <c r="A1126" s="10">
        <v>1124</v>
      </c>
      <c r="B1126" s="12">
        <f>'2_Discount_Factors'!B1127</f>
        <v>3.07945205479452</v>
      </c>
      <c r="C1126" s="12">
        <f>EXP(-r_free*(('2_Discount_Factors'!B1126+'2_Discount_Factors'!B1127)/2))</f>
        <v>0.911792838248863</v>
      </c>
      <c r="D1126" s="12">
        <f>'3_Survival_Probs'!D1126</f>
        <v>0.939002785215238</v>
      </c>
      <c r="E1126" s="12">
        <f>'3_Survival_Probs'!D1127</f>
        <v>0.938924140510452</v>
      </c>
      <c r="F1126" s="14">
        <f t="shared" si="41"/>
        <v>7.86447047853578e-5</v>
      </c>
      <c r="G1126" s="32">
        <f>(1-recovery)*notional*C1126*F1126</f>
        <v>430.246071536912</v>
      </c>
      <c r="H1126" s="14">
        <f t="shared" si="42"/>
        <v>5.69732240847964e-6</v>
      </c>
      <c r="I1126" s="33"/>
    </row>
    <row r="1127" spans="1:9">
      <c r="A1127" s="4">
        <v>1125</v>
      </c>
      <c r="B1127" s="6">
        <f>'2_Discount_Factors'!B1128</f>
        <v>3.08219178082192</v>
      </c>
      <c r="C1127" s="6">
        <f>EXP(-r_free*(('2_Discount_Factors'!B1127+'2_Discount_Factors'!B1128)/2))</f>
        <v>0.911717899451465</v>
      </c>
      <c r="D1127" s="6">
        <f>'3_Survival_Probs'!D1127</f>
        <v>0.938924140510452</v>
      </c>
      <c r="E1127" s="6">
        <f>'3_Survival_Probs'!D1128</f>
        <v>0.938845502392431</v>
      </c>
      <c r="F1127" s="8">
        <f t="shared" si="41"/>
        <v>7.86381180215567e-5</v>
      </c>
      <c r="G1127" s="29">
        <f>(1-recovery)*notional*C1127*F1127</f>
        <v>430.174678676581</v>
      </c>
      <c r="H1127" s="8">
        <f t="shared" si="42"/>
        <v>5.8928038174874e-6</v>
      </c>
      <c r="I1127" s="30"/>
    </row>
    <row r="1128" spans="1:9">
      <c r="A1128" s="10">
        <v>1126</v>
      </c>
      <c r="B1128" s="12">
        <f>'2_Discount_Factors'!B1129</f>
        <v>3.08493150684931</v>
      </c>
      <c r="C1128" s="12">
        <f>EXP(-r_free*(('2_Discount_Factors'!B1128+'2_Discount_Factors'!B1129)/2))</f>
        <v>0.911642966813168</v>
      </c>
      <c r="D1128" s="12">
        <f>'3_Survival_Probs'!D1128</f>
        <v>0.938845502392431</v>
      </c>
      <c r="E1128" s="12">
        <f>'3_Survival_Probs'!D1129</f>
        <v>0.938766870860621</v>
      </c>
      <c r="F1128" s="14">
        <f t="shared" si="41"/>
        <v>7.86315318093145e-5</v>
      </c>
      <c r="G1128" s="32">
        <f>(1-recovery)*notional*C1128*F1128</f>
        <v>430.103297662245</v>
      </c>
      <c r="H1128" s="14">
        <f t="shared" si="42"/>
        <v>6.08822019521899e-6</v>
      </c>
      <c r="I1128" s="33"/>
    </row>
    <row r="1129" spans="1:9">
      <c r="A1129" s="4">
        <v>1127</v>
      </c>
      <c r="B1129" s="6">
        <f>'2_Discount_Factors'!B1130</f>
        <v>3.08767123287671</v>
      </c>
      <c r="C1129" s="6">
        <f>EXP(-r_free*(('2_Discount_Factors'!B1129+'2_Discount_Factors'!B1130)/2))</f>
        <v>0.911568040333464</v>
      </c>
      <c r="D1129" s="6">
        <f>'3_Survival_Probs'!D1129</f>
        <v>0.938766870860621</v>
      </c>
      <c r="E1129" s="6">
        <f>'3_Survival_Probs'!D1130</f>
        <v>0.938688245914473</v>
      </c>
      <c r="F1129" s="8">
        <f t="shared" si="41"/>
        <v>7.8624946148742e-5</v>
      </c>
      <c r="G1129" s="29">
        <f>(1-recovery)*notional*C1129*F1129</f>
        <v>430.031928492798</v>
      </c>
      <c r="H1129" s="8">
        <f t="shared" si="42"/>
        <v>6.28357155788564e-6</v>
      </c>
      <c r="I1129" s="30"/>
    </row>
    <row r="1130" spans="1:9">
      <c r="A1130" s="10">
        <v>1128</v>
      </c>
      <c r="B1130" s="12">
        <f>'2_Discount_Factors'!B1131</f>
        <v>3.09041095890411</v>
      </c>
      <c r="C1130" s="12">
        <f>EXP(-r_free*(('2_Discount_Factors'!B1130+'2_Discount_Factors'!B1131)/2))</f>
        <v>0.911493120011849</v>
      </c>
      <c r="D1130" s="12">
        <f>'3_Survival_Probs'!D1130</f>
        <v>0.938688245914473</v>
      </c>
      <c r="E1130" s="12">
        <f>'3_Survival_Probs'!D1131</f>
        <v>0.938609627553433</v>
      </c>
      <c r="F1130" s="14">
        <f t="shared" si="41"/>
        <v>7.86183610398394e-5</v>
      </c>
      <c r="G1130" s="32">
        <f>(1-recovery)*notional*C1130*F1130</f>
        <v>429.960571166527</v>
      </c>
      <c r="H1130" s="14">
        <f t="shared" si="42"/>
        <v>6.47885792168741e-6</v>
      </c>
      <c r="I1130" s="33"/>
    </row>
    <row r="1131" spans="1:9">
      <c r="A1131" s="4">
        <v>1129</v>
      </c>
      <c r="B1131" s="6">
        <f>'2_Discount_Factors'!B1132</f>
        <v>3.09315068493151</v>
      </c>
      <c r="C1131" s="6">
        <f>EXP(-r_free*(('2_Discount_Factors'!B1131+'2_Discount_Factors'!B1132)/2))</f>
        <v>0.911418205847814</v>
      </c>
      <c r="D1131" s="6">
        <f>'3_Survival_Probs'!D1131</f>
        <v>0.938609627553433</v>
      </c>
      <c r="E1131" s="6">
        <f>'3_Survival_Probs'!D1132</f>
        <v>0.93853101577695</v>
      </c>
      <c r="F1131" s="8">
        <f t="shared" si="41"/>
        <v>7.86117764823846e-5</v>
      </c>
      <c r="G1131" s="29">
        <f>(1-recovery)*notional*C1131*F1131</f>
        <v>429.889225680506</v>
      </c>
      <c r="H1131" s="8">
        <f t="shared" si="42"/>
        <v>6.67407930280237e-6</v>
      </c>
      <c r="I1131" s="30"/>
    </row>
    <row r="1132" spans="1:9">
      <c r="A1132" s="10">
        <v>1130</v>
      </c>
      <c r="B1132" s="12">
        <f>'2_Discount_Factors'!B1133</f>
        <v>3.0958904109589</v>
      </c>
      <c r="C1132" s="12">
        <f>EXP(-r_free*(('2_Discount_Factors'!B1132+'2_Discount_Factors'!B1133)/2))</f>
        <v>0.911343297840856</v>
      </c>
      <c r="D1132" s="12">
        <f>'3_Survival_Probs'!D1132</f>
        <v>0.93853101577695</v>
      </c>
      <c r="E1132" s="12">
        <f>'3_Survival_Probs'!D1133</f>
        <v>0.938452410584474</v>
      </c>
      <c r="F1132" s="14">
        <f t="shared" si="41"/>
        <v>7.86051924763775e-5</v>
      </c>
      <c r="G1132" s="32">
        <f>(1-recovery)*notional*C1132*F1132</f>
        <v>429.817892033023</v>
      </c>
      <c r="H1132" s="14">
        <f t="shared" si="42"/>
        <v>6.86923571742273e-6</v>
      </c>
      <c r="I1132" s="33"/>
    </row>
    <row r="1133" spans="1:9">
      <c r="A1133" s="4">
        <v>1131</v>
      </c>
      <c r="B1133" s="6">
        <f>'2_Discount_Factors'!B1134</f>
        <v>3.0986301369863</v>
      </c>
      <c r="C1133" s="6">
        <f>EXP(-r_free*(('2_Discount_Factors'!B1133+'2_Discount_Factors'!B1134)/2))</f>
        <v>0.911268395990466</v>
      </c>
      <c r="D1133" s="6">
        <f>'3_Survival_Probs'!D1133</f>
        <v>0.938452410584474</v>
      </c>
      <c r="E1133" s="6">
        <f>'3_Survival_Probs'!D1134</f>
        <v>0.938373811975452</v>
      </c>
      <c r="F1133" s="8">
        <f t="shared" si="41"/>
        <v>7.85986090218183e-5</v>
      </c>
      <c r="G1133" s="29">
        <f>(1-recovery)*notional*C1133*F1133</f>
        <v>429.746570222365</v>
      </c>
      <c r="H1133" s="8">
        <f t="shared" si="42"/>
        <v>7.06432718173751e-6</v>
      </c>
      <c r="I1133" s="30"/>
    </row>
    <row r="1134" spans="1:9">
      <c r="A1134" s="10">
        <v>1132</v>
      </c>
      <c r="B1134" s="12">
        <f>'2_Discount_Factors'!B1135</f>
        <v>3.1013698630137</v>
      </c>
      <c r="C1134" s="12">
        <f>EXP(-r_free*(('2_Discount_Factors'!B1134+'2_Discount_Factors'!B1135)/2))</f>
        <v>0.911193500296141</v>
      </c>
      <c r="D1134" s="12">
        <f>'3_Survival_Probs'!D1134</f>
        <v>0.938373811975452</v>
      </c>
      <c r="E1134" s="12">
        <f>'3_Survival_Probs'!D1135</f>
        <v>0.938295219949333</v>
      </c>
      <c r="F1134" s="14">
        <f t="shared" si="41"/>
        <v>7.85920261187067e-5</v>
      </c>
      <c r="G1134" s="32">
        <f>(1-recovery)*notional*C1134*F1134</f>
        <v>429.675260246821</v>
      </c>
      <c r="H1134" s="14">
        <f t="shared" si="42"/>
        <v>7.2593537119326e-6</v>
      </c>
      <c r="I1134" s="33"/>
    </row>
    <row r="1135" spans="1:9">
      <c r="A1135" s="4">
        <v>1133</v>
      </c>
      <c r="B1135" s="6">
        <f>'2_Discount_Factors'!B1136</f>
        <v>3.1041095890411</v>
      </c>
      <c r="C1135" s="6">
        <f>EXP(-r_free*(('2_Discount_Factors'!B1135+'2_Discount_Factors'!B1136)/2))</f>
        <v>0.911118610757372</v>
      </c>
      <c r="D1135" s="6">
        <f>'3_Survival_Probs'!D1135</f>
        <v>0.938295219949333</v>
      </c>
      <c r="E1135" s="6">
        <f>'3_Survival_Probs'!D1136</f>
        <v>0.938216634505567</v>
      </c>
      <c r="F1135" s="8">
        <f t="shared" si="41"/>
        <v>7.8585443766821e-5</v>
      </c>
      <c r="G1135" s="29">
        <f>(1-recovery)*notional*C1135*F1135</f>
        <v>429.603962103465</v>
      </c>
      <c r="H1135" s="8">
        <f t="shared" si="42"/>
        <v>7.4543153241697e-6</v>
      </c>
      <c r="I1135" s="30"/>
    </row>
    <row r="1136" spans="1:9">
      <c r="A1136" s="10">
        <v>1134</v>
      </c>
      <c r="B1136" s="12">
        <f>'2_Discount_Factors'!B1137</f>
        <v>3.10684931506849</v>
      </c>
      <c r="C1136" s="12">
        <f>EXP(-r_free*(('2_Discount_Factors'!B1136+'2_Discount_Factors'!B1137)/2))</f>
        <v>0.911043727373656</v>
      </c>
      <c r="D1136" s="12">
        <f>'3_Survival_Probs'!D1136</f>
        <v>0.938216634505567</v>
      </c>
      <c r="E1136" s="12">
        <f>'3_Survival_Probs'!D1137</f>
        <v>0.9381380556436</v>
      </c>
      <c r="F1136" s="14">
        <f t="shared" si="41"/>
        <v>7.8578861966272e-5</v>
      </c>
      <c r="G1136" s="32">
        <f>(1-recovery)*notional*C1136*F1136</f>
        <v>429.532675791194</v>
      </c>
      <c r="H1136" s="14">
        <f t="shared" si="42"/>
        <v>7.6492120346377e-6</v>
      </c>
      <c r="I1136" s="33"/>
    </row>
    <row r="1137" spans="1:9">
      <c r="A1137" s="4">
        <v>1135</v>
      </c>
      <c r="B1137" s="6">
        <f>'2_Discount_Factors'!B1138</f>
        <v>3.10958904109589</v>
      </c>
      <c r="C1137" s="6">
        <f>EXP(-r_free*(('2_Discount_Factors'!B1137+'2_Discount_Factors'!B1138)/2))</f>
        <v>0.910968850144485</v>
      </c>
      <c r="D1137" s="6">
        <f>'3_Survival_Probs'!D1137</f>
        <v>0.9381380556436</v>
      </c>
      <c r="E1137" s="6">
        <f>'3_Survival_Probs'!D1138</f>
        <v>0.938059483362883</v>
      </c>
      <c r="F1137" s="8">
        <f t="shared" si="41"/>
        <v>7.85722807170597e-5</v>
      </c>
      <c r="G1137" s="29">
        <f>(1-recovery)*notional*C1137*F1137</f>
        <v>429.461401308297</v>
      </c>
      <c r="H1137" s="8">
        <f t="shared" si="42"/>
        <v>7.84404385951228e-6</v>
      </c>
      <c r="I1137" s="30"/>
    </row>
    <row r="1138" spans="1:9">
      <c r="A1138" s="10">
        <v>1136</v>
      </c>
      <c r="B1138" s="12">
        <f>'2_Discount_Factors'!B1139</f>
        <v>3.11232876712329</v>
      </c>
      <c r="C1138" s="12">
        <f>EXP(-r_free*(('2_Discount_Factors'!B1138+'2_Discount_Factors'!B1139)/2))</f>
        <v>0.910893979069354</v>
      </c>
      <c r="D1138" s="12">
        <f>'3_Survival_Probs'!D1138</f>
        <v>0.938059483362883</v>
      </c>
      <c r="E1138" s="12">
        <f>'3_Survival_Probs'!D1139</f>
        <v>0.937980917662864</v>
      </c>
      <c r="F1138" s="14">
        <f t="shared" si="41"/>
        <v>7.85657000189621e-5</v>
      </c>
      <c r="G1138" s="32">
        <f>(1-recovery)*notional*C1138*F1138</f>
        <v>429.39013865185</v>
      </c>
      <c r="H1138" s="14">
        <f t="shared" si="42"/>
        <v>8.03881081494331e-6</v>
      </c>
      <c r="I1138" s="33"/>
    </row>
    <row r="1139" spans="1:9">
      <c r="A1139" s="4">
        <v>1137</v>
      </c>
      <c r="B1139" s="6">
        <f>'2_Discount_Factors'!B1140</f>
        <v>3.11506849315068</v>
      </c>
      <c r="C1139" s="6">
        <f>EXP(-r_free*(('2_Discount_Factors'!B1139+'2_Discount_Factors'!B1140)/2))</f>
        <v>0.910819114147757</v>
      </c>
      <c r="D1139" s="6">
        <f>'3_Survival_Probs'!D1139</f>
        <v>0.937980917662864</v>
      </c>
      <c r="E1139" s="6">
        <f>'3_Survival_Probs'!D1140</f>
        <v>0.937902358542992</v>
      </c>
      <c r="F1139" s="8">
        <f t="shared" si="41"/>
        <v>7.85591198720903e-5</v>
      </c>
      <c r="G1139" s="29">
        <f>(1-recovery)*notional*C1139*F1139</f>
        <v>429.318887820748</v>
      </c>
      <c r="H1139" s="8">
        <f t="shared" si="42"/>
        <v>8.23351291711026e-6</v>
      </c>
      <c r="I1139" s="30"/>
    </row>
    <row r="1140" spans="1:9">
      <c r="A1140" s="10">
        <v>1138</v>
      </c>
      <c r="B1140" s="12">
        <f>'2_Discount_Factors'!B1141</f>
        <v>3.11780821917808</v>
      </c>
      <c r="C1140" s="12">
        <f>EXP(-r_free*(('2_Discount_Factors'!B1140+'2_Discount_Factors'!B1141)/2))</f>
        <v>0.910744255379188</v>
      </c>
      <c r="D1140" s="12">
        <f>'3_Survival_Probs'!D1140</f>
        <v>0.937902358542992</v>
      </c>
      <c r="E1140" s="12">
        <f>'3_Survival_Probs'!D1141</f>
        <v>0.937823806002716</v>
      </c>
      <c r="F1140" s="14">
        <f t="shared" si="41"/>
        <v>7.85525402762222e-5</v>
      </c>
      <c r="G1140" s="32">
        <f>(1-recovery)*notional*C1140*F1140</f>
        <v>429.24764881207</v>
      </c>
      <c r="H1140" s="14">
        <f t="shared" si="42"/>
        <v>8.42815018215479e-6</v>
      </c>
      <c r="I1140" s="33"/>
    </row>
    <row r="1141" spans="1:9">
      <c r="A1141" s="4">
        <v>1139</v>
      </c>
      <c r="B1141" s="6">
        <f>'2_Discount_Factors'!B1142</f>
        <v>3.12054794520548</v>
      </c>
      <c r="C1141" s="6">
        <f>EXP(-r_free*(('2_Discount_Factors'!B1141+'2_Discount_Factors'!B1142)/2))</f>
        <v>0.910669402763142</v>
      </c>
      <c r="D1141" s="6">
        <f>'3_Survival_Probs'!D1141</f>
        <v>0.937823806002716</v>
      </c>
      <c r="E1141" s="6">
        <f>'3_Survival_Probs'!D1142</f>
        <v>0.937745260041485</v>
      </c>
      <c r="F1141" s="8">
        <f t="shared" si="41"/>
        <v>7.85459612314687e-5</v>
      </c>
      <c r="G1141" s="29">
        <f>(1-recovery)*notional*C1141*F1141</f>
        <v>429.176421624711</v>
      </c>
      <c r="H1141" s="8">
        <f t="shared" si="42"/>
        <v>8.6227226262499e-6</v>
      </c>
      <c r="I1141" s="30"/>
    </row>
    <row r="1142" spans="1:9">
      <c r="A1142" s="10">
        <v>1140</v>
      </c>
      <c r="B1142" s="12">
        <f>'2_Discount_Factors'!B1143</f>
        <v>3.12328767123288</v>
      </c>
      <c r="C1142" s="12">
        <f>EXP(-r_free*(('2_Discount_Factors'!B1142+'2_Discount_Factors'!B1143)/2))</f>
        <v>0.910594556299113</v>
      </c>
      <c r="D1142" s="12">
        <f>'3_Survival_Probs'!D1142</f>
        <v>0.937745260041485</v>
      </c>
      <c r="E1142" s="12">
        <f>'3_Survival_Probs'!D1143</f>
        <v>0.937666720658747</v>
      </c>
      <c r="F1142" s="14">
        <f t="shared" si="41"/>
        <v>7.8539382737719e-5</v>
      </c>
      <c r="G1142" s="32">
        <f>(1-recovery)*notional*C1142*F1142</f>
        <v>429.105206256357</v>
      </c>
      <c r="H1142" s="14">
        <f t="shared" si="42"/>
        <v>8.81723026554158e-6</v>
      </c>
      <c r="I1142" s="33"/>
    </row>
    <row r="1143" spans="1:9">
      <c r="A1143" s="4">
        <v>1141</v>
      </c>
      <c r="B1143" s="6">
        <f>'2_Discount_Factors'!B1144</f>
        <v>3.12602739726027</v>
      </c>
      <c r="C1143" s="6">
        <f>EXP(-r_free*(('2_Discount_Factors'!B1143+'2_Discount_Factors'!B1144)/2))</f>
        <v>0.910519715986596</v>
      </c>
      <c r="D1143" s="6">
        <f>'3_Survival_Probs'!D1143</f>
        <v>0.937666720658747</v>
      </c>
      <c r="E1143" s="6">
        <f>'3_Survival_Probs'!D1144</f>
        <v>0.937588187853952</v>
      </c>
      <c r="F1143" s="8">
        <f t="shared" si="41"/>
        <v>7.85328047949729e-5</v>
      </c>
      <c r="G1143" s="29">
        <f>(1-recovery)*notional*C1143*F1143</f>
        <v>429.034002705297</v>
      </c>
      <c r="H1143" s="8">
        <f t="shared" si="42"/>
        <v>9.01167311618433e-6</v>
      </c>
      <c r="I1143" s="30"/>
    </row>
    <row r="1144" spans="1:9">
      <c r="A1144" s="10">
        <v>1142</v>
      </c>
      <c r="B1144" s="12">
        <f>'2_Discount_Factors'!B1145</f>
        <v>3.12876712328767</v>
      </c>
      <c r="C1144" s="12">
        <f>EXP(-r_free*(('2_Discount_Factors'!B1144+'2_Discount_Factors'!B1145)/2))</f>
        <v>0.910444881825084</v>
      </c>
      <c r="D1144" s="12">
        <f>'3_Survival_Probs'!D1144</f>
        <v>0.937588187853952</v>
      </c>
      <c r="E1144" s="12">
        <f>'3_Survival_Probs'!D1145</f>
        <v>0.937509661626549</v>
      </c>
      <c r="F1144" s="14">
        <f t="shared" si="41"/>
        <v>7.85262274031195e-5</v>
      </c>
      <c r="G1144" s="32">
        <f>(1-recovery)*notional*C1144*F1144</f>
        <v>428.962810969217</v>
      </c>
      <c r="H1144" s="14">
        <f t="shared" si="42"/>
        <v>9.20605119431652e-6</v>
      </c>
      <c r="I1144" s="33"/>
    </row>
    <row r="1145" spans="1:9">
      <c r="A1145" s="4">
        <v>1143</v>
      </c>
      <c r="B1145" s="6">
        <f>'2_Discount_Factors'!B1146</f>
        <v>3.13150684931507</v>
      </c>
      <c r="C1145" s="6">
        <f>EXP(-r_free*(('2_Discount_Factors'!B1145+'2_Discount_Factors'!B1146)/2))</f>
        <v>0.910370053814073</v>
      </c>
      <c r="D1145" s="6">
        <f>'3_Survival_Probs'!D1145</f>
        <v>0.937509661626549</v>
      </c>
      <c r="E1145" s="6">
        <f>'3_Survival_Probs'!D1146</f>
        <v>0.937431141975987</v>
      </c>
      <c r="F1145" s="8">
        <f t="shared" si="41"/>
        <v>7.85196505621588e-5</v>
      </c>
      <c r="G1145" s="29">
        <f>(1-recovery)*notional*C1145*F1145</f>
        <v>428.891631046408</v>
      </c>
      <c r="H1145" s="8">
        <f t="shared" si="42"/>
        <v>9.40036451608565e-6</v>
      </c>
      <c r="I1145" s="30"/>
    </row>
    <row r="1146" spans="1:9">
      <c r="A1146" s="10">
        <v>1144</v>
      </c>
      <c r="B1146" s="12">
        <f>'2_Discount_Factors'!B1147</f>
        <v>3.13424657534247</v>
      </c>
      <c r="C1146" s="12">
        <f>EXP(-r_free*(('2_Discount_Factors'!B1146+'2_Discount_Factors'!B1147)/2))</f>
        <v>0.910295231953056</v>
      </c>
      <c r="D1146" s="12">
        <f>'3_Survival_Probs'!D1146</f>
        <v>0.937431141975987</v>
      </c>
      <c r="E1146" s="12">
        <f>'3_Survival_Probs'!D1147</f>
        <v>0.937352628901714</v>
      </c>
      <c r="F1146" s="14">
        <f t="shared" si="41"/>
        <v>7.85130742720908e-5</v>
      </c>
      <c r="G1146" s="32">
        <f>(1-recovery)*notional*C1146*F1146</f>
        <v>428.820462935162</v>
      </c>
      <c r="H1146" s="14">
        <f t="shared" si="42"/>
        <v>9.59461309763605e-6</v>
      </c>
      <c r="I1146" s="33"/>
    </row>
    <row r="1147" spans="1:9">
      <c r="A1147" s="4">
        <v>1145</v>
      </c>
      <c r="B1147" s="6">
        <f>'2_Discount_Factors'!B1148</f>
        <v>3.13698630136986</v>
      </c>
      <c r="C1147" s="6">
        <f>EXP(-r_free*(('2_Discount_Factors'!B1147+'2_Discount_Factors'!B1148)/2))</f>
        <v>0.910220416241528</v>
      </c>
      <c r="D1147" s="6">
        <f>'3_Survival_Probs'!D1147</f>
        <v>0.937352628901714</v>
      </c>
      <c r="E1147" s="6">
        <f>'3_Survival_Probs'!D1148</f>
        <v>0.937274122403182</v>
      </c>
      <c r="F1147" s="8">
        <f t="shared" si="41"/>
        <v>7.85064985328043e-5</v>
      </c>
      <c r="G1147" s="29">
        <f>(1-recovery)*notional*C1147*F1147</f>
        <v>428.749306633165</v>
      </c>
      <c r="H1147" s="8">
        <f t="shared" si="42"/>
        <v>9.78879695509509e-6</v>
      </c>
      <c r="I1147" s="30"/>
    </row>
    <row r="1148" spans="1:9">
      <c r="A1148" s="10">
        <v>1146</v>
      </c>
      <c r="B1148" s="12">
        <f>'2_Discount_Factors'!B1149</f>
        <v>3.13972602739726</v>
      </c>
      <c r="C1148" s="12">
        <f>EXP(-r_free*(('2_Discount_Factors'!B1148+'2_Discount_Factors'!B1149)/2))</f>
        <v>0.910145606678985</v>
      </c>
      <c r="D1148" s="12">
        <f>'3_Survival_Probs'!D1148</f>
        <v>0.937274122403182</v>
      </c>
      <c r="E1148" s="12">
        <f>'3_Survival_Probs'!D1149</f>
        <v>0.937195622479837</v>
      </c>
      <c r="F1148" s="14">
        <f t="shared" si="41"/>
        <v>7.84999233441885e-5</v>
      </c>
      <c r="G1148" s="32">
        <f>(1-recovery)*notional*C1148*F1148</f>
        <v>428.678162138102</v>
      </c>
      <c r="H1148" s="14">
        <f t="shared" si="42"/>
        <v>9.98291610458594e-6</v>
      </c>
      <c r="I1148" s="33"/>
    </row>
    <row r="1149" spans="1:9">
      <c r="A1149" s="4">
        <v>1147</v>
      </c>
      <c r="B1149" s="6">
        <f>'2_Discount_Factors'!B1150</f>
        <v>3.14246575342466</v>
      </c>
      <c r="C1149" s="6">
        <f>EXP(-r_free*(('2_Discount_Factors'!B1149+'2_Discount_Factors'!B1150)/2))</f>
        <v>0.910070803264919</v>
      </c>
      <c r="D1149" s="6">
        <f>'3_Survival_Probs'!D1149</f>
        <v>0.937195622479837</v>
      </c>
      <c r="E1149" s="6">
        <f>'3_Survival_Probs'!D1150</f>
        <v>0.937117129131131</v>
      </c>
      <c r="F1149" s="8">
        <f t="shared" si="41"/>
        <v>7.84933487062434e-5</v>
      </c>
      <c r="G1149" s="29">
        <f>(1-recovery)*notional*C1149*F1149</f>
        <v>428.607029448266</v>
      </c>
      <c r="H1149" s="8">
        <f t="shared" si="42"/>
        <v>1.01769705622419e-5</v>
      </c>
      <c r="I1149" s="30"/>
    </row>
    <row r="1150" spans="1:9">
      <c r="A1150" s="10">
        <v>1148</v>
      </c>
      <c r="B1150" s="12">
        <f>'2_Discount_Factors'!B1151</f>
        <v>3.14520547945205</v>
      </c>
      <c r="C1150" s="12">
        <f>EXP(-r_free*(('2_Discount_Factors'!B1150+'2_Discount_Factors'!B1151)/2))</f>
        <v>0.909996005998827</v>
      </c>
      <c r="D1150" s="12">
        <f>'3_Survival_Probs'!D1150</f>
        <v>0.937117129131131</v>
      </c>
      <c r="E1150" s="12">
        <f>'3_Survival_Probs'!D1151</f>
        <v>0.937038642356512</v>
      </c>
      <c r="F1150" s="14">
        <f t="shared" si="41"/>
        <v>7.84867746190798e-5</v>
      </c>
      <c r="G1150" s="32">
        <f>(1-recovery)*notional*C1150*F1150</f>
        <v>428.535908562557</v>
      </c>
      <c r="H1150" s="14">
        <f t="shared" si="42"/>
        <v>1.0370960344208e-5</v>
      </c>
      <c r="I1150" s="33"/>
    </row>
    <row r="1151" spans="1:9">
      <c r="A1151" s="4">
        <v>1149</v>
      </c>
      <c r="B1151" s="6">
        <f>'2_Discount_Factors'!B1152</f>
        <v>3.14794520547945</v>
      </c>
      <c r="C1151" s="6">
        <f>EXP(-r_free*(('2_Discount_Factors'!B1151+'2_Discount_Factors'!B1152)/2))</f>
        <v>0.909921214880203</v>
      </c>
      <c r="D1151" s="6">
        <f>'3_Survival_Probs'!D1151</f>
        <v>0.937038642356512</v>
      </c>
      <c r="E1151" s="6">
        <f>'3_Survival_Probs'!D1152</f>
        <v>0.93696016215543</v>
      </c>
      <c r="F1151" s="8">
        <f t="shared" si="41"/>
        <v>7.84802010823649e-5</v>
      </c>
      <c r="G1151" s="29">
        <f>(1-recovery)*notional*C1151*F1151</f>
        <v>428.464799477448</v>
      </c>
      <c r="H1151" s="8">
        <f t="shared" si="42"/>
        <v>1.05648854665672e-5</v>
      </c>
      <c r="I1151" s="30"/>
    </row>
    <row r="1152" spans="1:9">
      <c r="A1152" s="10">
        <v>1150</v>
      </c>
      <c r="B1152" s="12">
        <f>'2_Discount_Factors'!B1153</f>
        <v>3.15068493150685</v>
      </c>
      <c r="C1152" s="12">
        <f>EXP(-r_free*(('2_Discount_Factors'!B1152+'2_Discount_Factors'!B1153)/2))</f>
        <v>0.909846429908542</v>
      </c>
      <c r="D1152" s="12">
        <f>'3_Survival_Probs'!D1152</f>
        <v>0.93696016215543</v>
      </c>
      <c r="E1152" s="12">
        <f>'3_Survival_Probs'!D1153</f>
        <v>0.936881688527333</v>
      </c>
      <c r="F1152" s="14">
        <f t="shared" si="41"/>
        <v>7.84736280963205e-5</v>
      </c>
      <c r="G1152" s="32">
        <f>(1-recovery)*notional*C1152*F1152</f>
        <v>428.393702192447</v>
      </c>
      <c r="H1152" s="14">
        <f t="shared" si="42"/>
        <v>1.07587459454724e-5</v>
      </c>
      <c r="I1152" s="33"/>
    </row>
    <row r="1153" spans="1:9">
      <c r="A1153" s="4">
        <v>1151</v>
      </c>
      <c r="B1153" s="6">
        <f>'2_Discount_Factors'!B1154</f>
        <v>3.15342465753425</v>
      </c>
      <c r="C1153" s="6">
        <f>EXP(-r_free*(('2_Discount_Factors'!B1153+'2_Discount_Factors'!B1154)/2))</f>
        <v>0.909771651083338</v>
      </c>
      <c r="D1153" s="6">
        <f>'3_Survival_Probs'!D1153</f>
        <v>0.936881688527333</v>
      </c>
      <c r="E1153" s="6">
        <f>'3_Survival_Probs'!D1154</f>
        <v>0.936803221471673</v>
      </c>
      <c r="F1153" s="8">
        <f t="shared" si="41"/>
        <v>7.84670556607248e-5</v>
      </c>
      <c r="G1153" s="29">
        <f>(1-recovery)*notional*C1153*F1153</f>
        <v>428.322616704634</v>
      </c>
      <c r="H1153" s="8">
        <f t="shared" si="42"/>
        <v>1.09525417970135e-5</v>
      </c>
      <c r="I1153" s="30"/>
    </row>
    <row r="1154" spans="1:9">
      <c r="A1154" s="10">
        <v>1152</v>
      </c>
      <c r="B1154" s="12">
        <f>'2_Discount_Factors'!B1155</f>
        <v>3.15616438356164</v>
      </c>
      <c r="C1154" s="12">
        <f>EXP(-r_free*(('2_Discount_Factors'!B1154+'2_Discount_Factors'!B1155)/2))</f>
        <v>0.909696878404086</v>
      </c>
      <c r="D1154" s="12">
        <f>'3_Survival_Probs'!D1154</f>
        <v>0.936803221471673</v>
      </c>
      <c r="E1154" s="12">
        <f>'3_Survival_Probs'!D1155</f>
        <v>0.936724760987897</v>
      </c>
      <c r="F1154" s="14">
        <f t="shared" si="41"/>
        <v>7.84604837755776e-5</v>
      </c>
      <c r="G1154" s="32">
        <f>(1-recovery)*notional*C1154*F1154</f>
        <v>428.251543012304</v>
      </c>
      <c r="H1154" s="14">
        <f t="shared" si="42"/>
        <v>1.11462730373065e-5</v>
      </c>
      <c r="I1154" s="33"/>
    </row>
    <row r="1155" spans="1:9">
      <c r="A1155" s="4">
        <v>1153</v>
      </c>
      <c r="B1155" s="6">
        <f>'2_Discount_Factors'!B1156</f>
        <v>3.15890410958904</v>
      </c>
      <c r="C1155" s="6">
        <f>EXP(-r_free*(('2_Discount_Factors'!B1155+'2_Discount_Factors'!B1156)/2))</f>
        <v>0.909622111870281</v>
      </c>
      <c r="D1155" s="6">
        <f>'3_Survival_Probs'!D1155</f>
        <v>0.936724760987897</v>
      </c>
      <c r="E1155" s="6">
        <f>'3_Survival_Probs'!D1156</f>
        <v>0.936646307075456</v>
      </c>
      <c r="F1155" s="8">
        <f t="shared" ref="F1155:F1218" si="43">D1155-E1155</f>
        <v>7.8453912440879e-5</v>
      </c>
      <c r="G1155" s="29">
        <f>(1-recovery)*notional*C1155*F1155</f>
        <v>428.180481113751</v>
      </c>
      <c r="H1155" s="8">
        <f t="shared" si="42"/>
        <v>1.13399396824646e-5</v>
      </c>
      <c r="I1155" s="30"/>
    </row>
    <row r="1156" spans="1:9">
      <c r="A1156" s="10">
        <v>1154</v>
      </c>
      <c r="B1156" s="12">
        <f>'2_Discount_Factors'!B1157</f>
        <v>3.16164383561644</v>
      </c>
      <c r="C1156" s="12">
        <f>EXP(-r_free*(('2_Discount_Factors'!B1156+'2_Discount_Factors'!B1157)/2))</f>
        <v>0.909547351481418</v>
      </c>
      <c r="D1156" s="12">
        <f>'3_Survival_Probs'!D1156</f>
        <v>0.936646307075456</v>
      </c>
      <c r="E1156" s="12">
        <f>'3_Survival_Probs'!D1157</f>
        <v>0.9365678597338</v>
      </c>
      <c r="F1156" s="14">
        <f t="shared" si="43"/>
        <v>7.84473416565179e-5</v>
      </c>
      <c r="G1156" s="32">
        <f>(1-recovery)*notional*C1156*F1156</f>
        <v>428.109431006663</v>
      </c>
      <c r="H1156" s="14">
        <f t="shared" si="42"/>
        <v>1.15335417485813e-5</v>
      </c>
      <c r="I1156" s="33"/>
    </row>
    <row r="1157" spans="1:9">
      <c r="A1157" s="4">
        <v>1155</v>
      </c>
      <c r="B1157" s="6">
        <f>'2_Discount_Factors'!B1158</f>
        <v>3.16438356164384</v>
      </c>
      <c r="C1157" s="6">
        <f>EXP(-r_free*(('2_Discount_Factors'!B1157+'2_Discount_Factors'!B1158)/2))</f>
        <v>0.909472597236992</v>
      </c>
      <c r="D1157" s="6">
        <f>'3_Survival_Probs'!D1157</f>
        <v>0.9365678597338</v>
      </c>
      <c r="E1157" s="6">
        <f>'3_Survival_Probs'!D1158</f>
        <v>0.936489418962377</v>
      </c>
      <c r="F1157" s="8">
        <f t="shared" si="43"/>
        <v>7.84407714226054e-5</v>
      </c>
      <c r="G1157" s="29">
        <f>(1-recovery)*notional*C1157*F1157</f>
        <v>428.038392689941</v>
      </c>
      <c r="H1157" s="8">
        <f t="shared" si="42"/>
        <v>1.17270792517792e-5</v>
      </c>
      <c r="I1157" s="30"/>
    </row>
    <row r="1158" spans="1:9">
      <c r="A1158" s="10">
        <v>1156</v>
      </c>
      <c r="B1158" s="12">
        <f>'2_Discount_Factors'!B1159</f>
        <v>3.16712328767123</v>
      </c>
      <c r="C1158" s="12">
        <f>EXP(-r_free*(('2_Discount_Factors'!B1158+'2_Discount_Factors'!B1159)/2))</f>
        <v>0.909397849136498</v>
      </c>
      <c r="D1158" s="12">
        <f>'3_Survival_Probs'!D1158</f>
        <v>0.936489418962377</v>
      </c>
      <c r="E1158" s="12">
        <f>'3_Survival_Probs'!D1159</f>
        <v>0.936410984760638</v>
      </c>
      <c r="F1158" s="14">
        <f t="shared" si="43"/>
        <v>7.84342017388084e-5</v>
      </c>
      <c r="G1158" s="32">
        <f>(1-recovery)*notional*C1158*F1158</f>
        <v>427.967366160064</v>
      </c>
      <c r="H1158" s="14">
        <f t="shared" si="42"/>
        <v>1.19205522081114e-5</v>
      </c>
      <c r="I1158" s="33"/>
    </row>
    <row r="1159" spans="1:9">
      <c r="A1159" s="4">
        <v>1157</v>
      </c>
      <c r="B1159" s="6">
        <f>'2_Discount_Factors'!B1160</f>
        <v>3.16986301369863</v>
      </c>
      <c r="C1159" s="6">
        <f>EXP(-r_free*(('2_Discount_Factors'!B1159+'2_Discount_Factors'!B1160)/2))</f>
        <v>0.909323107179432</v>
      </c>
      <c r="D1159" s="6">
        <f>'3_Survival_Probs'!D1159</f>
        <v>0.936410984760638</v>
      </c>
      <c r="E1159" s="6">
        <f>'3_Survival_Probs'!D1160</f>
        <v>0.936332557128033</v>
      </c>
      <c r="F1159" s="8">
        <f t="shared" si="43"/>
        <v>7.8427632605349e-5</v>
      </c>
      <c r="G1159" s="29">
        <f>(1-recovery)*notional*C1159*F1159</f>
        <v>427.896351416537</v>
      </c>
      <c r="H1159" s="8">
        <f t="shared" si="42"/>
        <v>1.21139606337102e-5</v>
      </c>
      <c r="I1159" s="30"/>
    </row>
    <row r="1160" spans="1:9">
      <c r="A1160" s="10">
        <v>1158</v>
      </c>
      <c r="B1160" s="12">
        <f>'2_Discount_Factors'!B1161</f>
        <v>3.17260273972603</v>
      </c>
      <c r="C1160" s="12">
        <f>EXP(-r_free*(('2_Discount_Factors'!B1160+'2_Discount_Factors'!B1161)/2))</f>
        <v>0.909248371365287</v>
      </c>
      <c r="D1160" s="12">
        <f>'3_Survival_Probs'!D1160</f>
        <v>0.936332557128033</v>
      </c>
      <c r="E1160" s="12">
        <f>'3_Survival_Probs'!D1161</f>
        <v>0.936254136064011</v>
      </c>
      <c r="F1160" s="14">
        <f t="shared" si="43"/>
        <v>7.84210640221161e-5</v>
      </c>
      <c r="G1160" s="32">
        <f>(1-recovery)*notional*C1160*F1160</f>
        <v>427.825348457052</v>
      </c>
      <c r="H1160" s="14">
        <f t="shared" si="42"/>
        <v>1.23073045446549e-5</v>
      </c>
      <c r="I1160" s="33"/>
    </row>
    <row r="1161" spans="1:9">
      <c r="A1161" s="4">
        <v>1159</v>
      </c>
      <c r="B1161" s="6">
        <f>'2_Discount_Factors'!B1162</f>
        <v>3.17534246575342</v>
      </c>
      <c r="C1161" s="6">
        <f>EXP(-r_free*(('2_Discount_Factors'!B1161+'2_Discount_Factors'!B1162)/2))</f>
        <v>0.909173641693559</v>
      </c>
      <c r="D1161" s="6">
        <f>'3_Survival_Probs'!D1161</f>
        <v>0.936254136064011</v>
      </c>
      <c r="E1161" s="6">
        <f>'3_Survival_Probs'!D1162</f>
        <v>0.936175721568022</v>
      </c>
      <c r="F1161" s="8">
        <f t="shared" si="43"/>
        <v>7.84144959888877e-5</v>
      </c>
      <c r="G1161" s="29">
        <f>(1-recovery)*notional*C1161*F1161</f>
        <v>427.754357278692</v>
      </c>
      <c r="H1161" s="8">
        <f t="shared" si="42"/>
        <v>1.25005839570029e-5</v>
      </c>
      <c r="I1161" s="30"/>
    </row>
    <row r="1162" spans="1:9">
      <c r="A1162" s="10">
        <v>1160</v>
      </c>
      <c r="B1162" s="12">
        <f>'2_Discount_Factors'!B1163</f>
        <v>3.17808219178082</v>
      </c>
      <c r="C1162" s="12">
        <f>EXP(-r_free*(('2_Discount_Factors'!B1162+'2_Discount_Factors'!B1163)/2))</f>
        <v>0.909098918163744</v>
      </c>
      <c r="D1162" s="12">
        <f>'3_Survival_Probs'!D1162</f>
        <v>0.936175721568022</v>
      </c>
      <c r="E1162" s="12">
        <f>'3_Survival_Probs'!D1163</f>
        <v>0.936097313639516</v>
      </c>
      <c r="F1162" s="14">
        <f t="shared" si="43"/>
        <v>7.84079285058858e-5</v>
      </c>
      <c r="G1162" s="32">
        <f>(1-recovery)*notional*C1162*F1162</f>
        <v>427.683377880966</v>
      </c>
      <c r="H1162" s="14">
        <f t="shared" ref="H1162:H1188" si="44">C1162*(B1162-3)*F1162</f>
        <v>1.2693798886878e-5</v>
      </c>
      <c r="I1162" s="33"/>
    </row>
    <row r="1163" spans="1:9">
      <c r="A1163" s="4">
        <v>1161</v>
      </c>
      <c r="B1163" s="6">
        <f>'2_Discount_Factors'!B1164</f>
        <v>3.18082191780822</v>
      </c>
      <c r="C1163" s="6">
        <f>EXP(-r_free*(('2_Discount_Factors'!B1163+'2_Discount_Factors'!B1164)/2))</f>
        <v>0.909024200775337</v>
      </c>
      <c r="D1163" s="6">
        <f>'3_Survival_Probs'!D1163</f>
        <v>0.936097313639516</v>
      </c>
      <c r="E1163" s="6">
        <f>'3_Survival_Probs'!D1164</f>
        <v>0.936018912277943</v>
      </c>
      <c r="F1163" s="8">
        <f t="shared" si="43"/>
        <v>7.84013615727774e-5</v>
      </c>
      <c r="G1163" s="29">
        <f>(1-recovery)*notional*C1163*F1163</f>
        <v>427.612410260353</v>
      </c>
      <c r="H1163" s="8">
        <f t="shared" si="44"/>
        <v>1.2886949350312e-5</v>
      </c>
      <c r="I1163" s="30"/>
    </row>
    <row r="1164" spans="1:9">
      <c r="A1164" s="10">
        <v>1162</v>
      </c>
      <c r="B1164" s="12">
        <f>'2_Discount_Factors'!B1165</f>
        <v>3.18356164383562</v>
      </c>
      <c r="C1164" s="12">
        <f>EXP(-r_free*(('2_Discount_Factors'!B1164+'2_Discount_Factors'!B1165)/2))</f>
        <v>0.908949489527832</v>
      </c>
      <c r="D1164" s="12">
        <f>'3_Survival_Probs'!D1164</f>
        <v>0.936018912277943</v>
      </c>
      <c r="E1164" s="12">
        <f>'3_Survival_Probs'!D1165</f>
        <v>0.935940517482754</v>
      </c>
      <c r="F1164" s="14">
        <f t="shared" si="43"/>
        <v>7.83947951897845e-5</v>
      </c>
      <c r="G1164" s="32">
        <f>(1-recovery)*notional*C1164*F1164</f>
        <v>427.541454416362</v>
      </c>
      <c r="H1164" s="14">
        <f t="shared" si="44"/>
        <v>1.30800353634229e-5</v>
      </c>
      <c r="I1164" s="33"/>
    </row>
    <row r="1165" spans="1:9">
      <c r="A1165" s="4">
        <v>1163</v>
      </c>
      <c r="B1165" s="6">
        <f>'2_Discount_Factors'!B1166</f>
        <v>3.18630136986301</v>
      </c>
      <c r="C1165" s="6">
        <f>EXP(-r_free*(('2_Discount_Factors'!B1165+'2_Discount_Factors'!B1166)/2))</f>
        <v>0.908874784420726</v>
      </c>
      <c r="D1165" s="6">
        <f>'3_Survival_Probs'!D1165</f>
        <v>0.935940517482754</v>
      </c>
      <c r="E1165" s="6">
        <f>'3_Survival_Probs'!D1166</f>
        <v>0.935862129253397</v>
      </c>
      <c r="F1165" s="8">
        <f t="shared" si="43"/>
        <v>7.83882293567961e-5</v>
      </c>
      <c r="G1165" s="29">
        <f>(1-recovery)*notional*C1165*F1165</f>
        <v>427.470510346683</v>
      </c>
      <c r="H1165" s="8">
        <f t="shared" si="44"/>
        <v>1.32730569422714e-5</v>
      </c>
      <c r="I1165" s="30"/>
    </row>
    <row r="1166" spans="1:9">
      <c r="A1166" s="10">
        <v>1164</v>
      </c>
      <c r="B1166" s="12">
        <f>'2_Discount_Factors'!B1167</f>
        <v>3.18904109589041</v>
      </c>
      <c r="C1166" s="12">
        <f>EXP(-r_free*(('2_Discount_Factors'!B1166+'2_Discount_Factors'!B1167)/2))</f>
        <v>0.908800085453513</v>
      </c>
      <c r="D1166" s="12">
        <f>'3_Survival_Probs'!D1166</f>
        <v>0.935862129253397</v>
      </c>
      <c r="E1166" s="12">
        <f>'3_Survival_Probs'!D1167</f>
        <v>0.935783747589323</v>
      </c>
      <c r="F1166" s="14">
        <f t="shared" si="43"/>
        <v>7.83816640735902e-5</v>
      </c>
      <c r="G1166" s="32">
        <f>(1-recovery)*notional*C1166*F1166</f>
        <v>427.399578048403</v>
      </c>
      <c r="H1166" s="14">
        <f t="shared" si="44"/>
        <v>1.34660141028949e-5</v>
      </c>
      <c r="I1166" s="33"/>
    </row>
    <row r="1167" spans="1:9">
      <c r="A1167" s="4">
        <v>1165</v>
      </c>
      <c r="B1167" s="6">
        <f>'2_Discount_Factors'!B1168</f>
        <v>3.19178082191781</v>
      </c>
      <c r="C1167" s="6">
        <f>EXP(-r_free*(('2_Discount_Factors'!B1167+'2_Discount_Factors'!B1168)/2))</f>
        <v>0.908725392625688</v>
      </c>
      <c r="D1167" s="6">
        <f>'3_Survival_Probs'!D1167</f>
        <v>0.935783747589323</v>
      </c>
      <c r="E1167" s="6">
        <f>'3_Survival_Probs'!D1168</f>
        <v>0.935705372489983</v>
      </c>
      <c r="F1167" s="8">
        <f t="shared" si="43"/>
        <v>7.83750993403887e-5</v>
      </c>
      <c r="G1167" s="29">
        <f>(1-recovery)*notional*C1167*F1167</f>
        <v>427.328657521032</v>
      </c>
      <c r="H1167" s="8">
        <f t="shared" si="44"/>
        <v>1.36589068614028e-5</v>
      </c>
      <c r="I1167" s="30"/>
    </row>
    <row r="1168" spans="1:9">
      <c r="A1168" s="10">
        <v>1166</v>
      </c>
      <c r="B1168" s="12">
        <f>'2_Discount_Factors'!B1169</f>
        <v>3.19452054794521</v>
      </c>
      <c r="C1168" s="12">
        <f>EXP(-r_free*(('2_Discount_Factors'!B1168+'2_Discount_Factors'!B1169)/2))</f>
        <v>0.908650705936748</v>
      </c>
      <c r="D1168" s="12">
        <f>'3_Survival_Probs'!D1168</f>
        <v>0.935705372489983</v>
      </c>
      <c r="E1168" s="12">
        <f>'3_Survival_Probs'!D1169</f>
        <v>0.935627003954826</v>
      </c>
      <c r="F1168" s="14">
        <f t="shared" si="43"/>
        <v>7.83685351568586e-5</v>
      </c>
      <c r="G1168" s="32">
        <f>(1-recovery)*notional*C1168*F1168</f>
        <v>427.257748761051</v>
      </c>
      <c r="H1168" s="14">
        <f t="shared" si="44"/>
        <v>1.38517352338058e-5</v>
      </c>
      <c r="I1168" s="33"/>
    </row>
    <row r="1169" spans="1:9">
      <c r="A1169" s="4">
        <v>1167</v>
      </c>
      <c r="B1169" s="6">
        <f>'2_Discount_Factors'!B1170</f>
        <v>3.1972602739726</v>
      </c>
      <c r="C1169" s="6">
        <f>EXP(-r_free*(('2_Discount_Factors'!B1169+'2_Discount_Factors'!B1170)/2))</f>
        <v>0.908576025386188</v>
      </c>
      <c r="D1169" s="6">
        <f>'3_Survival_Probs'!D1169</f>
        <v>0.935627003954826</v>
      </c>
      <c r="E1169" s="6">
        <f>'3_Survival_Probs'!D1170</f>
        <v>0.935548641983303</v>
      </c>
      <c r="F1169" s="8">
        <f t="shared" si="43"/>
        <v>7.8361971523222e-5</v>
      </c>
      <c r="G1169" s="29">
        <f>(1-recovery)*notional*C1169*F1169</f>
        <v>427.186851767968</v>
      </c>
      <c r="H1169" s="8">
        <f t="shared" si="44"/>
        <v>1.40444992362072e-5</v>
      </c>
      <c r="I1169" s="30"/>
    </row>
    <row r="1170" spans="1:9">
      <c r="A1170" s="10">
        <v>1168</v>
      </c>
      <c r="B1170" s="12">
        <f>'2_Discount_Factors'!B1171</f>
        <v>3.2</v>
      </c>
      <c r="C1170" s="12">
        <f>EXP(-r_free*(('2_Discount_Factors'!B1170+'2_Discount_Factors'!B1171)/2))</f>
        <v>0.908501350973503</v>
      </c>
      <c r="D1170" s="12">
        <f>'3_Survival_Probs'!D1170</f>
        <v>0.935548641983303</v>
      </c>
      <c r="E1170" s="12">
        <f>'3_Survival_Probs'!D1171</f>
        <v>0.935470286574863</v>
      </c>
      <c r="F1170" s="14">
        <f t="shared" si="43"/>
        <v>7.83554084392568e-5</v>
      </c>
      <c r="G1170" s="32">
        <f>(1-recovery)*notional*C1170*F1170</f>
        <v>427.115966538873</v>
      </c>
      <c r="H1170" s="14">
        <f t="shared" si="44"/>
        <v>1.42371988846291e-5</v>
      </c>
      <c r="I1170" s="33"/>
    </row>
    <row r="1171" spans="1:9">
      <c r="A1171" s="4">
        <v>1169</v>
      </c>
      <c r="B1171" s="6">
        <f>'2_Discount_Factors'!B1172</f>
        <v>3.2027397260274</v>
      </c>
      <c r="C1171" s="6">
        <f>EXP(-r_free*(('2_Discount_Factors'!B1171+'2_Discount_Factors'!B1172)/2))</f>
        <v>0.908426682698189</v>
      </c>
      <c r="D1171" s="6">
        <f>'3_Survival_Probs'!D1171</f>
        <v>0.935470286574863</v>
      </c>
      <c r="E1171" s="6">
        <f>'3_Survival_Probs'!D1172</f>
        <v>0.935391937728958</v>
      </c>
      <c r="F1171" s="8">
        <f t="shared" si="43"/>
        <v>7.8348845904963e-5</v>
      </c>
      <c r="G1171" s="29">
        <f>(1-recovery)*notional*C1171*F1171</f>
        <v>427.045093072063</v>
      </c>
      <c r="H1171" s="8">
        <f t="shared" si="44"/>
        <v>1.44298341951291e-5</v>
      </c>
      <c r="I1171" s="30"/>
    </row>
    <row r="1172" spans="1:9">
      <c r="A1172" s="10">
        <v>1170</v>
      </c>
      <c r="B1172" s="12">
        <f>'2_Discount_Factors'!B1173</f>
        <v>3.20547945205479</v>
      </c>
      <c r="C1172" s="12">
        <f>EXP(-r_free*(('2_Discount_Factors'!B1172+'2_Discount_Factors'!B1173)/2))</f>
        <v>0.908352020559741</v>
      </c>
      <c r="D1172" s="12">
        <f>'3_Survival_Probs'!D1172</f>
        <v>0.935391937728958</v>
      </c>
      <c r="E1172" s="12">
        <f>'3_Survival_Probs'!D1173</f>
        <v>0.935313595445038</v>
      </c>
      <c r="F1172" s="14">
        <f t="shared" si="43"/>
        <v>7.83422839203407e-5</v>
      </c>
      <c r="G1172" s="32">
        <f>(1-recovery)*notional*C1172*F1172</f>
        <v>426.974231365838</v>
      </c>
      <c r="H1172" s="14">
        <f t="shared" si="44"/>
        <v>1.46224051837616e-5</v>
      </c>
      <c r="I1172" s="33"/>
    </row>
    <row r="1173" spans="1:9">
      <c r="A1173" s="4">
        <v>1171</v>
      </c>
      <c r="B1173" s="6">
        <f>'2_Discount_Factors'!B1174</f>
        <v>3.20821917808219</v>
      </c>
      <c r="C1173" s="6">
        <f>EXP(-r_free*(('2_Discount_Factors'!B1173+'2_Discount_Factors'!B1174)/2))</f>
        <v>0.908277364557655</v>
      </c>
      <c r="D1173" s="6">
        <f>'3_Survival_Probs'!D1173</f>
        <v>0.935313595445038</v>
      </c>
      <c r="E1173" s="6">
        <f>'3_Survival_Probs'!D1174</f>
        <v>0.935235259722553</v>
      </c>
      <c r="F1173" s="8">
        <f t="shared" si="43"/>
        <v>7.83357224852788e-5</v>
      </c>
      <c r="G1173" s="29">
        <f>(1-recovery)*notional*C1173*F1173</f>
        <v>426.903381417893</v>
      </c>
      <c r="H1173" s="8">
        <f t="shared" si="44"/>
        <v>1.4814911866557e-5</v>
      </c>
      <c r="I1173" s="30"/>
    </row>
    <row r="1174" spans="1:9">
      <c r="A1174" s="10">
        <v>1172</v>
      </c>
      <c r="B1174" s="12">
        <f>'2_Discount_Factors'!B1175</f>
        <v>3.21095890410959</v>
      </c>
      <c r="C1174" s="12">
        <f>EXP(-r_free*(('2_Discount_Factors'!B1174+'2_Discount_Factors'!B1175)/2))</f>
        <v>0.908202714691426</v>
      </c>
      <c r="D1174" s="12">
        <f>'3_Survival_Probs'!D1174</f>
        <v>0.935235259722553</v>
      </c>
      <c r="E1174" s="12">
        <f>'3_Survival_Probs'!D1175</f>
        <v>0.935156930560953</v>
      </c>
      <c r="F1174" s="14">
        <f t="shared" si="43"/>
        <v>7.83291615997772e-5</v>
      </c>
      <c r="G1174" s="32">
        <f>(1-recovery)*notional*C1174*F1174</f>
        <v>426.832543226526</v>
      </c>
      <c r="H1174" s="14">
        <f t="shared" si="44"/>
        <v>1.50073542595628e-5</v>
      </c>
      <c r="I1174" s="33"/>
    </row>
    <row r="1175" spans="1:9">
      <c r="A1175" s="4">
        <v>1173</v>
      </c>
      <c r="B1175" s="6">
        <f>'2_Discount_Factors'!B1176</f>
        <v>3.21369863013699</v>
      </c>
      <c r="C1175" s="6">
        <f>EXP(-r_free*(('2_Discount_Factors'!B1175+'2_Discount_Factors'!B1176)/2))</f>
        <v>0.908128070960551</v>
      </c>
      <c r="D1175" s="6">
        <f>'3_Survival_Probs'!D1175</f>
        <v>0.935156930560953</v>
      </c>
      <c r="E1175" s="6">
        <f>'3_Survival_Probs'!D1176</f>
        <v>0.935078607959689</v>
      </c>
      <c r="F1175" s="8">
        <f t="shared" si="43"/>
        <v>7.8322601263725e-5</v>
      </c>
      <c r="G1175" s="29">
        <f>(1-recovery)*notional*C1175*F1175</f>
        <v>426.761716789434</v>
      </c>
      <c r="H1175" s="8">
        <f t="shared" si="44"/>
        <v>1.51997323788018e-5</v>
      </c>
      <c r="I1175" s="30"/>
    </row>
    <row r="1176" spans="1:9">
      <c r="A1176" s="10">
        <v>1174</v>
      </c>
      <c r="B1176" s="12">
        <f>'2_Discount_Factors'!B1177</f>
        <v>3.21643835616438</v>
      </c>
      <c r="C1176" s="12">
        <f>EXP(-r_free*(('2_Discount_Factors'!B1176+'2_Discount_Factors'!B1177)/2))</f>
        <v>0.908053433364525</v>
      </c>
      <c r="D1176" s="12">
        <f>'3_Survival_Probs'!D1176</f>
        <v>0.935078607959689</v>
      </c>
      <c r="E1176" s="12">
        <f>'3_Survival_Probs'!D1177</f>
        <v>0.935000291918212</v>
      </c>
      <c r="F1176" s="14">
        <f t="shared" si="43"/>
        <v>7.83160414771222e-5</v>
      </c>
      <c r="G1176" s="32">
        <f>(1-recovery)*notional*C1176*F1176</f>
        <v>426.690902104916</v>
      </c>
      <c r="H1176" s="14">
        <f t="shared" si="44"/>
        <v>1.53920462403143e-5</v>
      </c>
      <c r="I1176" s="33"/>
    </row>
    <row r="1177" spans="1:9">
      <c r="A1177" s="4">
        <v>1175</v>
      </c>
      <c r="B1177" s="6">
        <f>'2_Discount_Factors'!B1178</f>
        <v>3.21917808219178</v>
      </c>
      <c r="C1177" s="6">
        <f>EXP(-r_free*(('2_Discount_Factors'!B1177+'2_Discount_Factors'!B1178)/2))</f>
        <v>0.907978801902844</v>
      </c>
      <c r="D1177" s="6">
        <f>'3_Survival_Probs'!D1177</f>
        <v>0.935000291918212</v>
      </c>
      <c r="E1177" s="6">
        <f>'3_Survival_Probs'!D1178</f>
        <v>0.934921982435972</v>
      </c>
      <c r="F1177" s="8">
        <f t="shared" si="43"/>
        <v>7.83094822399688e-5</v>
      </c>
      <c r="G1177" s="29">
        <f>(1-recovery)*notional*C1177*F1177</f>
        <v>426.620099171273</v>
      </c>
      <c r="H1177" s="8">
        <f t="shared" si="44"/>
        <v>1.55842958601378e-5</v>
      </c>
      <c r="I1177" s="30"/>
    </row>
    <row r="1178" spans="1:9">
      <c r="A1178" s="10">
        <v>1176</v>
      </c>
      <c r="B1178" s="12">
        <f>'2_Discount_Factors'!B1179</f>
        <v>3.22191780821918</v>
      </c>
      <c r="C1178" s="12">
        <f>EXP(-r_free*(('2_Discount_Factors'!B1178+'2_Discount_Factors'!B1179)/2))</f>
        <v>0.907904176575003</v>
      </c>
      <c r="D1178" s="12">
        <f>'3_Survival_Probs'!D1178</f>
        <v>0.934921982435972</v>
      </c>
      <c r="E1178" s="12">
        <f>'3_Survival_Probs'!D1179</f>
        <v>0.93484367951242</v>
      </c>
      <c r="F1178" s="14">
        <f t="shared" si="43"/>
        <v>7.83029235522648e-5</v>
      </c>
      <c r="G1178" s="32">
        <f>(1-recovery)*notional*C1178*F1178</f>
        <v>426.549307986806</v>
      </c>
      <c r="H1178" s="14">
        <f t="shared" si="44"/>
        <v>1.57764812543065e-5</v>
      </c>
      <c r="I1178" s="33"/>
    </row>
    <row r="1179" spans="1:9">
      <c r="A1179" s="4">
        <v>1177</v>
      </c>
      <c r="B1179" s="6">
        <f>'2_Discount_Factors'!B1180</f>
        <v>3.22465753424658</v>
      </c>
      <c r="C1179" s="6">
        <f>EXP(-r_free*(('2_Discount_Factors'!B1179+'2_Discount_Factors'!B1180)/2))</f>
        <v>0.907829557380499</v>
      </c>
      <c r="D1179" s="6">
        <f>'3_Survival_Probs'!D1179</f>
        <v>0.93484367951242</v>
      </c>
      <c r="E1179" s="6">
        <f>'3_Survival_Probs'!D1180</f>
        <v>0.934765383147006</v>
      </c>
      <c r="F1179" s="8">
        <f t="shared" si="43"/>
        <v>7.8296365413677e-5</v>
      </c>
      <c r="G1179" s="29">
        <f>(1-recovery)*notional*C1179*F1179</f>
        <v>426.478528548001</v>
      </c>
      <c r="H1179" s="8">
        <f t="shared" si="44"/>
        <v>1.59686024387836e-5</v>
      </c>
      <c r="I1179" s="30"/>
    </row>
    <row r="1180" spans="1:9">
      <c r="A1180" s="10">
        <v>1178</v>
      </c>
      <c r="B1180" s="12">
        <f>'2_Discount_Factors'!B1181</f>
        <v>3.22739726027397</v>
      </c>
      <c r="C1180" s="12">
        <f>EXP(-r_free*(('2_Discount_Factors'!B1180+'2_Discount_Factors'!B1181)/2))</f>
        <v>0.907754944318827</v>
      </c>
      <c r="D1180" s="12">
        <f>'3_Survival_Probs'!D1180</f>
        <v>0.934765383147006</v>
      </c>
      <c r="E1180" s="12">
        <f>'3_Survival_Probs'!D1181</f>
        <v>0.934687093339182</v>
      </c>
      <c r="F1180" s="14">
        <f t="shared" si="43"/>
        <v>7.82898078245386e-5</v>
      </c>
      <c r="G1180" s="32">
        <f>(1-recovery)*notional*C1180*F1180</f>
        <v>426.407760854975</v>
      </c>
      <c r="H1180" s="14">
        <f t="shared" si="44"/>
        <v>1.61606594296634e-5</v>
      </c>
      <c r="I1180" s="33"/>
    </row>
    <row r="1181" spans="1:9">
      <c r="A1181" s="4">
        <v>1179</v>
      </c>
      <c r="B1181" s="6">
        <f>'2_Discount_Factors'!B1182</f>
        <v>3.23013698630137</v>
      </c>
      <c r="C1181" s="6">
        <f>EXP(-r_free*(('2_Discount_Factors'!B1181+'2_Discount_Factors'!B1182)/2))</f>
        <v>0.907680337389484</v>
      </c>
      <c r="D1181" s="6">
        <f>'3_Survival_Probs'!D1181</f>
        <v>0.934687093339182</v>
      </c>
      <c r="E1181" s="6">
        <f>'3_Survival_Probs'!D1182</f>
        <v>0.934608810088397</v>
      </c>
      <c r="F1181" s="8">
        <f t="shared" si="43"/>
        <v>7.82832507845166e-5</v>
      </c>
      <c r="G1181" s="29">
        <f>(1-recovery)*notional*C1181*F1181</f>
        <v>426.337004904214</v>
      </c>
      <c r="H1181" s="8">
        <f t="shared" si="44"/>
        <v>1.63526522429013e-5</v>
      </c>
      <c r="I1181" s="30"/>
    </row>
    <row r="1182" spans="1:9">
      <c r="A1182" s="10">
        <v>1180</v>
      </c>
      <c r="B1182" s="12">
        <f>'2_Discount_Factors'!B1183</f>
        <v>3.23287671232877</v>
      </c>
      <c r="C1182" s="12">
        <f>EXP(-r_free*(('2_Discount_Factors'!B1182+'2_Discount_Factors'!B1183)/2))</f>
        <v>0.907605736591965</v>
      </c>
      <c r="D1182" s="12">
        <f>'3_Survival_Probs'!D1182</f>
        <v>0.934608810088397</v>
      </c>
      <c r="E1182" s="12">
        <f>'3_Survival_Probs'!D1183</f>
        <v>0.934530533394104</v>
      </c>
      <c r="F1182" s="14">
        <f t="shared" si="43"/>
        <v>7.82766942937219e-5</v>
      </c>
      <c r="G1182" s="32">
        <f>(1-recovery)*notional*C1182*F1182</f>
        <v>426.266260694625</v>
      </c>
      <c r="H1182" s="14">
        <f t="shared" si="44"/>
        <v>1.65445808945402e-5</v>
      </c>
      <c r="I1182" s="33"/>
    </row>
    <row r="1183" spans="1:9">
      <c r="A1183" s="4">
        <v>1181</v>
      </c>
      <c r="B1183" s="6">
        <f>'2_Discount_Factors'!B1184</f>
        <v>3.23561643835616</v>
      </c>
      <c r="C1183" s="6">
        <f>EXP(-r_free*(('2_Discount_Factors'!B1183+'2_Discount_Factors'!B1184)/2))</f>
        <v>0.907531141925767</v>
      </c>
      <c r="D1183" s="6">
        <f>'3_Survival_Probs'!D1183</f>
        <v>0.934530533394104</v>
      </c>
      <c r="E1183" s="6">
        <f>'3_Survival_Probs'!D1184</f>
        <v>0.934452263255752</v>
      </c>
      <c r="F1183" s="8">
        <f t="shared" si="43"/>
        <v>7.82701383519324e-5</v>
      </c>
      <c r="G1183" s="29">
        <f>(1-recovery)*notional*C1183*F1183</f>
        <v>426.195528223302</v>
      </c>
      <c r="H1183" s="8">
        <f t="shared" si="44"/>
        <v>1.67364454005498e-5</v>
      </c>
      <c r="I1183" s="30"/>
    </row>
    <row r="1184" spans="1:9">
      <c r="A1184" s="10">
        <v>1182</v>
      </c>
      <c r="B1184" s="12">
        <f>'2_Discount_Factors'!B1185</f>
        <v>3.23835616438356</v>
      </c>
      <c r="C1184" s="12">
        <f>EXP(-r_free*(('2_Discount_Factors'!B1184+'2_Discount_Factors'!B1185)/2))</f>
        <v>0.907456553390385</v>
      </c>
      <c r="D1184" s="12">
        <f>'3_Survival_Probs'!D1184</f>
        <v>0.934452263255752</v>
      </c>
      <c r="E1184" s="12">
        <f>'3_Survival_Probs'!D1185</f>
        <v>0.934373999672792</v>
      </c>
      <c r="F1184" s="14">
        <f t="shared" si="43"/>
        <v>7.82635829593703e-5</v>
      </c>
      <c r="G1184" s="32">
        <f>(1-recovery)*notional*C1184*F1184</f>
        <v>426.124807489756</v>
      </c>
      <c r="H1184" s="14">
        <f t="shared" si="44"/>
        <v>1.69282457769903e-5</v>
      </c>
      <c r="I1184" s="33"/>
    </row>
    <row r="1185" spans="1:9">
      <c r="A1185" s="4">
        <v>1183</v>
      </c>
      <c r="B1185" s="6">
        <f>'2_Discount_Factors'!B1186</f>
        <v>3.24109589041096</v>
      </c>
      <c r="C1185" s="6">
        <f>EXP(-r_free*(('2_Discount_Factors'!B1185+'2_Discount_Factors'!B1186)/2))</f>
        <v>0.907381970985315</v>
      </c>
      <c r="D1185" s="6">
        <f>'3_Survival_Probs'!D1185</f>
        <v>0.934373999672792</v>
      </c>
      <c r="E1185" s="6">
        <f>'3_Survival_Probs'!D1186</f>
        <v>0.934295742644676</v>
      </c>
      <c r="F1185" s="8">
        <f t="shared" si="43"/>
        <v>7.82570281158135e-5</v>
      </c>
      <c r="G1185" s="29">
        <f>(1-recovery)*notional*C1185*F1185</f>
        <v>426.05409849108</v>
      </c>
      <c r="H1185" s="8">
        <f t="shared" si="44"/>
        <v>1.71199820398242e-5</v>
      </c>
      <c r="I1185" s="30"/>
    </row>
    <row r="1186" spans="1:9">
      <c r="A1186" s="10">
        <v>1184</v>
      </c>
      <c r="B1186" s="12">
        <f>'2_Discount_Factors'!B1187</f>
        <v>3.24383561643836</v>
      </c>
      <c r="C1186" s="12">
        <f>EXP(-r_free*(('2_Discount_Factors'!B1186+'2_Discount_Factors'!B1187)/2))</f>
        <v>0.907307394710055</v>
      </c>
      <c r="D1186" s="12">
        <f>'3_Survival_Probs'!D1186</f>
        <v>0.934295742644676</v>
      </c>
      <c r="E1186" s="12">
        <f>'3_Survival_Probs'!D1187</f>
        <v>0.934217492170855</v>
      </c>
      <c r="F1186" s="14">
        <f t="shared" si="43"/>
        <v>7.82504738211509e-5</v>
      </c>
      <c r="G1186" s="32">
        <f>(1-recovery)*notional*C1186*F1186</f>
        <v>425.983401224975</v>
      </c>
      <c r="H1186" s="14">
        <f t="shared" si="44"/>
        <v>1.73116542050332e-5</v>
      </c>
      <c r="I1186" s="33"/>
    </row>
    <row r="1187" spans="1:9">
      <c r="A1187" s="4">
        <v>1185</v>
      </c>
      <c r="B1187" s="6">
        <f>'2_Discount_Factors'!B1188</f>
        <v>3.24657534246575</v>
      </c>
      <c r="C1187" s="6">
        <f>EXP(-r_free*(('2_Discount_Factors'!B1187+'2_Discount_Factors'!B1188)/2))</f>
        <v>0.907232824564099</v>
      </c>
      <c r="D1187" s="6">
        <f>'3_Survival_Probs'!D1187</f>
        <v>0.934217492170855</v>
      </c>
      <c r="E1187" s="6">
        <f>'3_Survival_Probs'!D1188</f>
        <v>0.93413924825078</v>
      </c>
      <c r="F1187" s="8">
        <f t="shared" si="43"/>
        <v>7.82439200756047e-5</v>
      </c>
      <c r="G1187" s="29">
        <f>(1-recovery)*notional*C1187*F1187</f>
        <v>425.912715690951</v>
      </c>
      <c r="H1187" s="8">
        <f t="shared" si="44"/>
        <v>1.75032622886692e-5</v>
      </c>
      <c r="I1187" s="30"/>
    </row>
    <row r="1188" spans="1:9">
      <c r="A1188" s="34">
        <v>1186</v>
      </c>
      <c r="B1188" s="35">
        <f>'2_Discount_Factors'!B1189</f>
        <v>3.24931506849315</v>
      </c>
      <c r="C1188" s="35">
        <f>EXP(-r_free*(('2_Discount_Factors'!B1188+'2_Discount_Factors'!B1189)/2))</f>
        <v>0.907158260546945</v>
      </c>
      <c r="D1188" s="35">
        <f>'3_Survival_Probs'!D1188</f>
        <v>0.93413924825078</v>
      </c>
      <c r="E1188" s="35">
        <f>'3_Survival_Probs'!D1189</f>
        <v>0.934061010883901</v>
      </c>
      <c r="F1188" s="36">
        <f t="shared" si="43"/>
        <v>7.82373668788416e-5</v>
      </c>
      <c r="G1188" s="37">
        <f>(1-recovery)*notional*C1188*F1188</f>
        <v>425.842041885499</v>
      </c>
      <c r="H1188" s="36">
        <f t="shared" si="44"/>
        <v>1.76948063066577e-5</v>
      </c>
      <c r="I1188" s="38" t="s">
        <v>71</v>
      </c>
    </row>
    <row r="1189" spans="1:9">
      <c r="A1189" s="4">
        <v>1187</v>
      </c>
      <c r="B1189" s="6">
        <f>'2_Discount_Factors'!B1190</f>
        <v>3.25205479452055</v>
      </c>
      <c r="C1189" s="6">
        <f>EXP(-r_free*(('2_Discount_Factors'!B1189+'2_Discount_Factors'!B1190)/2))</f>
        <v>0.907083702658088</v>
      </c>
      <c r="D1189" s="6">
        <f>'3_Survival_Probs'!D1189</f>
        <v>0.934061010883901</v>
      </c>
      <c r="E1189" s="6">
        <f>'3_Survival_Probs'!D1190</f>
        <v>0.93398278006967</v>
      </c>
      <c r="F1189" s="8">
        <f t="shared" si="43"/>
        <v>7.82308142308619e-5</v>
      </c>
      <c r="G1189" s="29">
        <f>(1-recovery)*notional*C1189*F1189</f>
        <v>425.771379806923</v>
      </c>
      <c r="H1189" s="8">
        <f t="shared" ref="H1189:H1252" si="45">C1189*(B1189-3.24931506849315)*F1189</f>
        <v>1.94416155163017e-7</v>
      </c>
      <c r="I1189" s="30"/>
    </row>
    <row r="1190" spans="1:9">
      <c r="A1190" s="10">
        <v>1188</v>
      </c>
      <c r="B1190" s="12">
        <f>'2_Discount_Factors'!B1191</f>
        <v>3.25479452054794</v>
      </c>
      <c r="C1190" s="12">
        <f>EXP(-r_free*(('2_Discount_Factors'!B1190+'2_Discount_Factors'!B1191)/2))</f>
        <v>0.907009150897025</v>
      </c>
      <c r="D1190" s="12">
        <f>'3_Survival_Probs'!D1190</f>
        <v>0.93398278006967</v>
      </c>
      <c r="E1190" s="12">
        <f>'3_Survival_Probs'!D1191</f>
        <v>0.933904555807538</v>
      </c>
      <c r="F1190" s="14">
        <f t="shared" si="43"/>
        <v>7.82242621317764e-5</v>
      </c>
      <c r="G1190" s="32">
        <f>(1-recovery)*notional*C1190*F1190</f>
        <v>425.700729454133</v>
      </c>
      <c r="H1190" s="14">
        <f t="shared" si="45"/>
        <v>3.88767789455875e-7</v>
      </c>
      <c r="I1190" s="33"/>
    </row>
    <row r="1191" spans="1:9">
      <c r="A1191" s="4">
        <v>1189</v>
      </c>
      <c r="B1191" s="6">
        <f>'2_Discount_Factors'!B1192</f>
        <v>3.25753424657534</v>
      </c>
      <c r="C1191" s="6">
        <f>EXP(-r_free*(('2_Discount_Factors'!B1191+'2_Discount_Factors'!B1192)/2))</f>
        <v>0.906934605263252</v>
      </c>
      <c r="D1191" s="6">
        <f>'3_Survival_Probs'!D1191</f>
        <v>0.933904555807538</v>
      </c>
      <c r="E1191" s="6">
        <f>'3_Survival_Probs'!D1192</f>
        <v>0.933826338096957</v>
      </c>
      <c r="F1191" s="8">
        <f t="shared" si="43"/>
        <v>7.82177105814741e-5</v>
      </c>
      <c r="G1191" s="29">
        <f>(1-recovery)*notional*C1191*F1191</f>
        <v>425.630090824827</v>
      </c>
      <c r="H1191" s="8">
        <f t="shared" si="45"/>
        <v>5.83054918938172e-7</v>
      </c>
      <c r="I1191" s="30"/>
    </row>
    <row r="1192" spans="1:9">
      <c r="A1192" s="10">
        <v>1190</v>
      </c>
      <c r="B1192" s="12">
        <f>'2_Discount_Factors'!B1193</f>
        <v>3.26027397260274</v>
      </c>
      <c r="C1192" s="12">
        <f>EXP(-r_free*(('2_Discount_Factors'!B1192+'2_Discount_Factors'!B1193)/2))</f>
        <v>0.906860065756266</v>
      </c>
      <c r="D1192" s="12">
        <f>'3_Survival_Probs'!D1192</f>
        <v>0.933826338096957</v>
      </c>
      <c r="E1192" s="12">
        <f>'3_Survival_Probs'!D1193</f>
        <v>0.933748126937377</v>
      </c>
      <c r="F1192" s="14">
        <f t="shared" si="43"/>
        <v>7.8211159579844e-5</v>
      </c>
      <c r="G1192" s="32">
        <f>(1-recovery)*notional*C1192*F1192</f>
        <v>425.559463916707</v>
      </c>
      <c r="H1192" s="14">
        <f t="shared" si="45"/>
        <v>7.77277559665278e-7</v>
      </c>
      <c r="I1192" s="33"/>
    </row>
    <row r="1193" spans="1:9">
      <c r="A1193" s="4">
        <v>1191</v>
      </c>
      <c r="B1193" s="6">
        <f>'2_Discount_Factors'!B1194</f>
        <v>3.26301369863014</v>
      </c>
      <c r="C1193" s="6">
        <f>EXP(-r_free*(('2_Discount_Factors'!B1193+'2_Discount_Factors'!B1194)/2))</f>
        <v>0.906785532375563</v>
      </c>
      <c r="D1193" s="6">
        <f>'3_Survival_Probs'!D1193</f>
        <v>0.933748126937377</v>
      </c>
      <c r="E1193" s="6">
        <f>'3_Survival_Probs'!D1194</f>
        <v>0.93366992232825</v>
      </c>
      <c r="F1193" s="8">
        <f t="shared" si="43"/>
        <v>7.82046091269972e-5</v>
      </c>
      <c r="G1193" s="29">
        <f>(1-recovery)*notional*C1193*F1193</f>
        <v>425.488848728682</v>
      </c>
      <c r="H1193" s="8">
        <f t="shared" si="45"/>
        <v>9.7143572769109e-7</v>
      </c>
      <c r="I1193" s="30"/>
    </row>
    <row r="1194" spans="1:9">
      <c r="A1194" s="10">
        <v>1192</v>
      </c>
      <c r="B1194" s="12">
        <f>'2_Discount_Factors'!B1195</f>
        <v>3.26575342465753</v>
      </c>
      <c r="C1194" s="12">
        <f>EXP(-r_free*(('2_Discount_Factors'!B1194+'2_Discount_Factors'!B1195)/2))</f>
        <v>0.906711005120639</v>
      </c>
      <c r="D1194" s="12">
        <f>'3_Survival_Probs'!D1194</f>
        <v>0.93366992232825</v>
      </c>
      <c r="E1194" s="12">
        <f>'3_Survival_Probs'!D1195</f>
        <v>0.933591724269027</v>
      </c>
      <c r="F1194" s="14">
        <f t="shared" si="43"/>
        <v>7.81980592226006e-5</v>
      </c>
      <c r="G1194" s="32">
        <f>(1-recovery)*notional*C1194*F1194</f>
        <v>425.418245257245</v>
      </c>
      <c r="H1194" s="14">
        <f t="shared" si="45"/>
        <v>1.16552943906099e-6</v>
      </c>
      <c r="I1194" s="33"/>
    </row>
    <row r="1195" spans="1:9">
      <c r="A1195" s="4">
        <v>1193</v>
      </c>
      <c r="B1195" s="6">
        <f>'2_Discount_Factors'!B1196</f>
        <v>3.26849315068493</v>
      </c>
      <c r="C1195" s="6">
        <f>EXP(-r_free*(('2_Discount_Factors'!B1195+'2_Discount_Factors'!B1196)/2))</f>
        <v>0.906636483990991</v>
      </c>
      <c r="D1195" s="6">
        <f>'3_Survival_Probs'!D1195</f>
        <v>0.933591724269027</v>
      </c>
      <c r="E1195" s="6">
        <f>'3_Survival_Probs'!D1196</f>
        <v>0.93351353275916</v>
      </c>
      <c r="F1195" s="8">
        <f t="shared" si="43"/>
        <v>7.81915098668762e-5</v>
      </c>
      <c r="G1195" s="29">
        <f>(1-recovery)*notional*C1195*F1195</f>
        <v>425.347653501909</v>
      </c>
      <c r="H1195" s="8">
        <f t="shared" si="45"/>
        <v>1.3595587098235e-6</v>
      </c>
      <c r="I1195" s="30"/>
    </row>
    <row r="1196" spans="1:9">
      <c r="A1196" s="10">
        <v>1194</v>
      </c>
      <c r="B1196" s="12">
        <f>'2_Discount_Factors'!B1197</f>
        <v>3.27123287671233</v>
      </c>
      <c r="C1196" s="12">
        <f>EXP(-r_free*(('2_Discount_Factors'!B1196+'2_Discount_Factors'!B1197)/2))</f>
        <v>0.906561968986116</v>
      </c>
      <c r="D1196" s="12">
        <f>'3_Survival_Probs'!D1196</f>
        <v>0.93351353275916</v>
      </c>
      <c r="E1196" s="12">
        <f>'3_Survival_Probs'!D1197</f>
        <v>0.933435347798101</v>
      </c>
      <c r="F1196" s="14">
        <f t="shared" si="43"/>
        <v>7.8184961059713e-5</v>
      </c>
      <c r="G1196" s="32">
        <f>(1-recovery)*notional*C1196*F1196</f>
        <v>425.277073460377</v>
      </c>
      <c r="H1196" s="14">
        <f t="shared" si="45"/>
        <v>1.5535235560197e-6</v>
      </c>
      <c r="I1196" s="33"/>
    </row>
    <row r="1197" spans="1:9">
      <c r="A1197" s="4">
        <v>1195</v>
      </c>
      <c r="B1197" s="6">
        <f>'2_Discount_Factors'!B1198</f>
        <v>3.27397260273973</v>
      </c>
      <c r="C1197" s="6">
        <f>EXP(-r_free*(('2_Discount_Factors'!B1197+'2_Discount_Factors'!B1198)/2))</f>
        <v>0.906487460105511</v>
      </c>
      <c r="D1197" s="6">
        <f>'3_Survival_Probs'!D1197</f>
        <v>0.933435347798101</v>
      </c>
      <c r="E1197" s="6">
        <f>'3_Survival_Probs'!D1198</f>
        <v>0.9333571693853</v>
      </c>
      <c r="F1197" s="8">
        <f t="shared" si="43"/>
        <v>7.81784128009999e-5</v>
      </c>
      <c r="G1197" s="29">
        <f>(1-recovery)*notional*C1197*F1197</f>
        <v>425.206505130351</v>
      </c>
      <c r="H1197" s="8">
        <f t="shared" si="45"/>
        <v>1.74742399368644e-6</v>
      </c>
      <c r="I1197" s="30"/>
    </row>
    <row r="1198" spans="1:9">
      <c r="A1198" s="10">
        <v>1196</v>
      </c>
      <c r="B1198" s="12">
        <f>'2_Discount_Factors'!B1199</f>
        <v>3.27671232876712</v>
      </c>
      <c r="C1198" s="12">
        <f>EXP(-r_free*(('2_Discount_Factors'!B1198+'2_Discount_Factors'!B1199)/2))</f>
        <v>0.906412957348671</v>
      </c>
      <c r="D1198" s="12">
        <f>'3_Survival_Probs'!D1198</f>
        <v>0.9333571693853</v>
      </c>
      <c r="E1198" s="12">
        <f>'3_Survival_Probs'!D1199</f>
        <v>0.933278997520209</v>
      </c>
      <c r="F1198" s="14">
        <f t="shared" si="43"/>
        <v>7.8171865090626e-5</v>
      </c>
      <c r="G1198" s="32">
        <f>(1-recovery)*notional*C1198*F1198</f>
        <v>425.135948509534</v>
      </c>
      <c r="H1198" s="14">
        <f t="shared" si="45"/>
        <v>1.94126003885636e-6</v>
      </c>
      <c r="I1198" s="33"/>
    </row>
    <row r="1199" spans="1:9">
      <c r="A1199" s="4">
        <v>1197</v>
      </c>
      <c r="B1199" s="6">
        <f>'2_Discount_Factors'!B1200</f>
        <v>3.27945205479452</v>
      </c>
      <c r="C1199" s="6">
        <f>EXP(-r_free*(('2_Discount_Factors'!B1199+'2_Discount_Factors'!B1200)/2))</f>
        <v>0.906338460715094</v>
      </c>
      <c r="D1199" s="6">
        <f>'3_Survival_Probs'!D1199</f>
        <v>0.933278997520209</v>
      </c>
      <c r="E1199" s="6">
        <f>'3_Survival_Probs'!D1200</f>
        <v>0.93320083220228</v>
      </c>
      <c r="F1199" s="8">
        <f t="shared" si="43"/>
        <v>7.81653179288133e-5</v>
      </c>
      <c r="G1199" s="29">
        <f>(1-recovery)*notional*C1199*F1199</f>
        <v>425.06540359744</v>
      </c>
      <c r="H1199" s="8">
        <f t="shared" si="45"/>
        <v>2.13503170756709e-6</v>
      </c>
      <c r="I1199" s="30"/>
    </row>
    <row r="1200" spans="1:9">
      <c r="A1200" s="10">
        <v>1198</v>
      </c>
      <c r="B1200" s="12">
        <f>'2_Discount_Factors'!B1201</f>
        <v>3.28219178082192</v>
      </c>
      <c r="C1200" s="12">
        <f>EXP(-r_free*(('2_Discount_Factors'!B1200+'2_Discount_Factors'!B1201)/2))</f>
        <v>0.906263970204276</v>
      </c>
      <c r="D1200" s="12">
        <f>'3_Survival_Probs'!D1200</f>
        <v>0.93320083220228</v>
      </c>
      <c r="E1200" s="12">
        <f>'3_Survival_Probs'!D1201</f>
        <v>0.933122673430965</v>
      </c>
      <c r="F1200" s="14">
        <f t="shared" si="43"/>
        <v>7.81587713152287e-5</v>
      </c>
      <c r="G1200" s="32">
        <f>(1-recovery)*notional*C1200*F1200</f>
        <v>424.994870390564</v>
      </c>
      <c r="H1200" s="14">
        <f t="shared" si="45"/>
        <v>2.32873901583876e-6</v>
      </c>
      <c r="I1200" s="33"/>
    </row>
    <row r="1201" spans="1:9">
      <c r="A1201" s="4">
        <v>1199</v>
      </c>
      <c r="B1201" s="6">
        <f>'2_Discount_Factors'!B1202</f>
        <v>3.28493150684932</v>
      </c>
      <c r="C1201" s="6">
        <f>EXP(-r_free*(('2_Discount_Factors'!B1201+'2_Discount_Factors'!B1202)/2))</f>
        <v>0.906189485815715</v>
      </c>
      <c r="D1201" s="6">
        <f>'3_Survival_Probs'!D1201</f>
        <v>0.933122673430965</v>
      </c>
      <c r="E1201" s="6">
        <f>'3_Survival_Probs'!D1202</f>
        <v>0.933044521205715</v>
      </c>
      <c r="F1201" s="8">
        <f t="shared" si="43"/>
        <v>7.81522252499833e-5</v>
      </c>
      <c r="G1201" s="29">
        <f>(1-recovery)*notional*C1201*F1201</f>
        <v>424.924348887818</v>
      </c>
      <c r="H1201" s="8">
        <f t="shared" si="45"/>
        <v>2.52238197969944e-6</v>
      </c>
      <c r="I1201" s="30"/>
    </row>
    <row r="1202" spans="1:9">
      <c r="A1202" s="10">
        <v>1200</v>
      </c>
      <c r="B1202" s="12">
        <f>'2_Discount_Factors'!B1203</f>
        <v>3.28767123287671</v>
      </c>
      <c r="C1202" s="12">
        <f>EXP(-r_free*(('2_Discount_Factors'!B1202+'2_Discount_Factors'!B1203)/2))</f>
        <v>0.906115007548906</v>
      </c>
      <c r="D1202" s="12">
        <f>'3_Survival_Probs'!D1202</f>
        <v>0.933044521205715</v>
      </c>
      <c r="E1202" s="12">
        <f>'3_Survival_Probs'!D1203</f>
        <v>0.932966375525982</v>
      </c>
      <c r="F1202" s="14">
        <f t="shared" si="43"/>
        <v>7.8145679732966e-5</v>
      </c>
      <c r="G1202" s="32">
        <f>(1-recovery)*notional*C1202*F1202</f>
        <v>424.853839086905</v>
      </c>
      <c r="H1202" s="14">
        <f t="shared" si="45"/>
        <v>2.71596061516747e-6</v>
      </c>
      <c r="I1202" s="33"/>
    </row>
    <row r="1203" spans="1:9">
      <c r="A1203" s="4">
        <v>1201</v>
      </c>
      <c r="B1203" s="6">
        <f>'2_Discount_Factors'!B1204</f>
        <v>3.29041095890411</v>
      </c>
      <c r="C1203" s="6">
        <f>EXP(-r_free*(('2_Discount_Factors'!B1203+'2_Discount_Factors'!B1204)/2))</f>
        <v>0.906040535403347</v>
      </c>
      <c r="D1203" s="6">
        <f>'3_Survival_Probs'!D1203</f>
        <v>0.932966375525982</v>
      </c>
      <c r="E1203" s="6">
        <f>'3_Survival_Probs'!D1204</f>
        <v>0.932888236391218</v>
      </c>
      <c r="F1203" s="8">
        <f t="shared" si="43"/>
        <v>7.81391347641769e-5</v>
      </c>
      <c r="G1203" s="29">
        <f>(1-recovery)*notional*C1203*F1203</f>
        <v>424.783340986135</v>
      </c>
      <c r="H1203" s="8">
        <f t="shared" si="45"/>
        <v>2.90947493826124e-6</v>
      </c>
      <c r="I1203" s="30"/>
    </row>
    <row r="1204" spans="1:9">
      <c r="A1204" s="10">
        <v>1202</v>
      </c>
      <c r="B1204" s="12">
        <f>'2_Discount_Factors'!B1205</f>
        <v>3.29315068493151</v>
      </c>
      <c r="C1204" s="12">
        <f>EXP(-r_free*(('2_Discount_Factors'!B1204+'2_Discount_Factors'!B1205)/2))</f>
        <v>0.905966069378535</v>
      </c>
      <c r="D1204" s="12">
        <f>'3_Survival_Probs'!D1204</f>
        <v>0.932888236391218</v>
      </c>
      <c r="E1204" s="12">
        <f>'3_Survival_Probs'!D1205</f>
        <v>0.932810103800874</v>
      </c>
      <c r="F1204" s="14">
        <f t="shared" si="43"/>
        <v>7.81325903436159e-5</v>
      </c>
      <c r="G1204" s="32">
        <f>(1-recovery)*notional*C1204*F1204</f>
        <v>424.712854583814</v>
      </c>
      <c r="H1204" s="14">
        <f t="shared" si="45"/>
        <v>3.10292496499595e-6</v>
      </c>
      <c r="I1204" s="33"/>
    </row>
    <row r="1205" spans="1:9">
      <c r="A1205" s="4">
        <v>1203</v>
      </c>
      <c r="B1205" s="6">
        <f>'2_Discount_Factors'!B1206</f>
        <v>3.2958904109589</v>
      </c>
      <c r="C1205" s="6">
        <f>EXP(-r_free*(('2_Discount_Factors'!B1205+'2_Discount_Factors'!B1206)/2))</f>
        <v>0.905891609473966</v>
      </c>
      <c r="D1205" s="6">
        <f>'3_Survival_Probs'!D1205</f>
        <v>0.932810103800874</v>
      </c>
      <c r="E1205" s="6">
        <f>'3_Survival_Probs'!D1206</f>
        <v>0.932731977754403</v>
      </c>
      <c r="F1205" s="8">
        <f t="shared" si="43"/>
        <v>7.81260464710609e-5</v>
      </c>
      <c r="G1205" s="29">
        <f>(1-recovery)*notional*C1205*F1205</f>
        <v>424.642379877044</v>
      </c>
      <c r="H1205" s="8">
        <f t="shared" si="45"/>
        <v>3.29631071137437e-6</v>
      </c>
      <c r="I1205" s="30"/>
    </row>
    <row r="1206" spans="1:9">
      <c r="A1206" s="10">
        <v>1204</v>
      </c>
      <c r="B1206" s="12">
        <f>'2_Discount_Factors'!B1207</f>
        <v>3.2986301369863</v>
      </c>
      <c r="C1206" s="12">
        <f>EXP(-r_free*(('2_Discount_Factors'!B1206+'2_Discount_Factors'!B1207)/2))</f>
        <v>0.905817155689139</v>
      </c>
      <c r="D1206" s="12">
        <f>'3_Survival_Probs'!D1206</f>
        <v>0.932731977754403</v>
      </c>
      <c r="E1206" s="12">
        <f>'3_Survival_Probs'!D1207</f>
        <v>0.932653858251256</v>
      </c>
      <c r="F1206" s="14">
        <f t="shared" si="43"/>
        <v>7.81195031467341e-5</v>
      </c>
      <c r="G1206" s="32">
        <f>(1-recovery)*notional*C1206*F1206</f>
        <v>424.57191686534</v>
      </c>
      <c r="H1206" s="14">
        <f t="shared" si="45"/>
        <v>3.48963219341382e-6</v>
      </c>
      <c r="I1206" s="33"/>
    </row>
    <row r="1207" spans="1:9">
      <c r="A1207" s="4">
        <v>1205</v>
      </c>
      <c r="B1207" s="6">
        <f>'2_Discount_Factors'!B1208</f>
        <v>3.3013698630137</v>
      </c>
      <c r="C1207" s="6">
        <f>EXP(-r_free*(('2_Discount_Factors'!B1207+'2_Discount_Factors'!B1208)/2))</f>
        <v>0.905742708023549</v>
      </c>
      <c r="D1207" s="6">
        <f>'3_Survival_Probs'!D1207</f>
        <v>0.932653858251256</v>
      </c>
      <c r="E1207" s="6">
        <f>'3_Survival_Probs'!D1208</f>
        <v>0.932575745290886</v>
      </c>
      <c r="F1207" s="8">
        <f t="shared" si="43"/>
        <v>7.81129603703024e-5</v>
      </c>
      <c r="G1207" s="29">
        <f>(1-recovery)*notional*C1207*F1207</f>
        <v>424.501465545203</v>
      </c>
      <c r="H1207" s="8">
        <f t="shared" si="45"/>
        <v>3.68288942710454e-6</v>
      </c>
      <c r="I1207" s="30"/>
    </row>
    <row r="1208" spans="1:9">
      <c r="A1208" s="10">
        <v>1206</v>
      </c>
      <c r="B1208" s="12">
        <f>'2_Discount_Factors'!B1209</f>
        <v>3.3041095890411</v>
      </c>
      <c r="C1208" s="12">
        <f>EXP(-r_free*(('2_Discount_Factors'!B1208+'2_Discount_Factors'!B1209)/2))</f>
        <v>0.905668266476693</v>
      </c>
      <c r="D1208" s="12">
        <f>'3_Survival_Probs'!D1208</f>
        <v>0.932575745290886</v>
      </c>
      <c r="E1208" s="12">
        <f>'3_Survival_Probs'!D1209</f>
        <v>0.932497638872744</v>
      </c>
      <c r="F1208" s="14">
        <f t="shared" si="43"/>
        <v>7.81064181418767e-5</v>
      </c>
      <c r="G1208" s="32">
        <f>(1-recovery)*notional*C1208*F1208</f>
        <v>424.431025915543</v>
      </c>
      <c r="H1208" s="14">
        <f t="shared" si="45"/>
        <v>3.8760824284525e-6</v>
      </c>
      <c r="I1208" s="33"/>
    </row>
    <row r="1209" spans="1:9">
      <c r="A1209" s="4">
        <v>1207</v>
      </c>
      <c r="B1209" s="6">
        <f>'2_Discount_Factors'!B1210</f>
        <v>3.30684931506849</v>
      </c>
      <c r="C1209" s="6">
        <f>EXP(-r_free*(('2_Discount_Factors'!B1209+'2_Discount_Factors'!B1210)/2))</f>
        <v>0.90559383104807</v>
      </c>
      <c r="D1209" s="6">
        <f>'3_Survival_Probs'!D1209</f>
        <v>0.932497638872744</v>
      </c>
      <c r="E1209" s="6">
        <f>'3_Survival_Probs'!D1210</f>
        <v>0.932419538996283</v>
      </c>
      <c r="F1209" s="8">
        <f t="shared" si="43"/>
        <v>7.80998764613461e-5</v>
      </c>
      <c r="G1209" s="29">
        <f>(1-recovery)*notional*C1209*F1209</f>
        <v>424.360597974068</v>
      </c>
      <c r="H1209" s="8">
        <f t="shared" si="45"/>
        <v>4.06921121345002e-6</v>
      </c>
      <c r="I1209" s="30"/>
    </row>
    <row r="1210" spans="1:9">
      <c r="A1210" s="10">
        <v>1208</v>
      </c>
      <c r="B1210" s="12">
        <f>'2_Discount_Factors'!B1211</f>
        <v>3.30958904109589</v>
      </c>
      <c r="C1210" s="12">
        <f>EXP(-r_free*(('2_Discount_Factors'!B1210+'2_Discount_Factors'!B1211)/2))</f>
        <v>0.905519401737175</v>
      </c>
      <c r="D1210" s="12">
        <f>'3_Survival_Probs'!D1210</f>
        <v>0.932419538996283</v>
      </c>
      <c r="E1210" s="12">
        <f>'3_Survival_Probs'!D1211</f>
        <v>0.932341445660954</v>
      </c>
      <c r="F1210" s="14">
        <f t="shared" si="43"/>
        <v>7.80933353288216e-5</v>
      </c>
      <c r="G1210" s="32">
        <f>(1-recovery)*notional*C1210*F1210</f>
        <v>424.290181719691</v>
      </c>
      <c r="H1210" s="14">
        <f t="shared" si="45"/>
        <v>4.26227579809741e-6</v>
      </c>
      <c r="I1210" s="33"/>
    </row>
    <row r="1211" spans="1:9">
      <c r="A1211" s="4">
        <v>1209</v>
      </c>
      <c r="B1211" s="6">
        <f>'2_Discount_Factors'!B1212</f>
        <v>3.31232876712329</v>
      </c>
      <c r="C1211" s="6">
        <f>EXP(-r_free*(('2_Discount_Factors'!B1211+'2_Discount_Factors'!B1212)/2))</f>
        <v>0.905444978543507</v>
      </c>
      <c r="D1211" s="6">
        <f>'3_Survival_Probs'!D1211</f>
        <v>0.932341445660954</v>
      </c>
      <c r="E1211" s="6">
        <f>'3_Survival_Probs'!D1212</f>
        <v>0.93226335886621</v>
      </c>
      <c r="F1211" s="8">
        <f t="shared" si="43"/>
        <v>7.80867947439701e-5</v>
      </c>
      <c r="G1211" s="29">
        <f>(1-recovery)*notional*C1211*F1211</f>
        <v>424.219777148911</v>
      </c>
      <c r="H1211" s="8">
        <f t="shared" si="45"/>
        <v>4.4552761983676e-6</v>
      </c>
      <c r="I1211" s="30"/>
    </row>
    <row r="1212" spans="1:9">
      <c r="A1212" s="10">
        <v>1210</v>
      </c>
      <c r="B1212" s="12">
        <f>'2_Discount_Factors'!B1213</f>
        <v>3.31506849315068</v>
      </c>
      <c r="C1212" s="12">
        <f>EXP(-r_free*(('2_Discount_Factors'!B1212+'2_Discount_Factors'!B1213)/2))</f>
        <v>0.905370561466562</v>
      </c>
      <c r="D1212" s="12">
        <f>'3_Survival_Probs'!D1212</f>
        <v>0.93226335886621</v>
      </c>
      <c r="E1212" s="12">
        <f>'3_Survival_Probs'!D1213</f>
        <v>0.932185278611503</v>
      </c>
      <c r="F1212" s="14">
        <f t="shared" si="43"/>
        <v>7.80802547070136e-5</v>
      </c>
      <c r="G1212" s="32">
        <f>(1-recovery)*notional*C1212*F1212</f>
        <v>424.149384261247</v>
      </c>
      <c r="H1212" s="14">
        <f t="shared" si="45"/>
        <v>4.64821243026028e-6</v>
      </c>
      <c r="I1212" s="33"/>
    </row>
    <row r="1213" spans="1:9">
      <c r="A1213" s="4">
        <v>1211</v>
      </c>
      <c r="B1213" s="6">
        <f>'2_Discount_Factors'!B1214</f>
        <v>3.31780821917808</v>
      </c>
      <c r="C1213" s="6">
        <f>EXP(-r_free*(('2_Discount_Factors'!B1213+'2_Discount_Factors'!B1214)/2))</f>
        <v>0.905296150505838</v>
      </c>
      <c r="D1213" s="6">
        <f>'3_Survival_Probs'!D1213</f>
        <v>0.932185278611503</v>
      </c>
      <c r="E1213" s="6">
        <f>'3_Survival_Probs'!D1214</f>
        <v>0.932107204896285</v>
      </c>
      <c r="F1213" s="8">
        <f t="shared" si="43"/>
        <v>7.80737152178412e-5</v>
      </c>
      <c r="G1213" s="29">
        <f>(1-recovery)*notional*C1213*F1213</f>
        <v>424.079003054404</v>
      </c>
      <c r="H1213" s="8">
        <f t="shared" si="45"/>
        <v>4.84108450975353e-6</v>
      </c>
      <c r="I1213" s="30"/>
    </row>
    <row r="1214" spans="1:9">
      <c r="A1214" s="10">
        <v>1212</v>
      </c>
      <c r="B1214" s="12">
        <f>'2_Discount_Factors'!B1215</f>
        <v>3.32054794520548</v>
      </c>
      <c r="C1214" s="12">
        <f>EXP(-r_free*(('2_Discount_Factors'!B1214+'2_Discount_Factors'!B1215)/2))</f>
        <v>0.905221745660832</v>
      </c>
      <c r="D1214" s="12">
        <f>'3_Survival_Probs'!D1214</f>
        <v>0.932107204896285</v>
      </c>
      <c r="E1214" s="12">
        <f>'3_Survival_Probs'!D1215</f>
        <v>0.932029137720009</v>
      </c>
      <c r="F1214" s="14">
        <f t="shared" si="43"/>
        <v>7.80671762763419e-5</v>
      </c>
      <c r="G1214" s="32">
        <f>(1-recovery)*notional*C1214*F1214</f>
        <v>424.008633526092</v>
      </c>
      <c r="H1214" s="14">
        <f t="shared" si="45"/>
        <v>5.03389245282125e-6</v>
      </c>
      <c r="I1214" s="33"/>
    </row>
    <row r="1215" spans="1:9">
      <c r="A1215" s="4">
        <v>1213</v>
      </c>
      <c r="B1215" s="6">
        <f>'2_Discount_Factors'!B1216</f>
        <v>3.32328767123288</v>
      </c>
      <c r="C1215" s="6">
        <f>EXP(-r_free*(('2_Discount_Factors'!B1215+'2_Discount_Factors'!B1216)/2))</f>
        <v>0.905147346931041</v>
      </c>
      <c r="D1215" s="6">
        <f>'3_Survival_Probs'!D1215</f>
        <v>0.932029137720009</v>
      </c>
      <c r="E1215" s="6">
        <f>'3_Survival_Probs'!D1216</f>
        <v>0.931951077082126</v>
      </c>
      <c r="F1215" s="8">
        <f t="shared" si="43"/>
        <v>7.80606378825155e-5</v>
      </c>
      <c r="G1215" s="29">
        <f>(1-recovery)*notional*C1215*F1215</f>
        <v>423.938275674622</v>
      </c>
      <c r="H1215" s="8">
        <f t="shared" si="45"/>
        <v>5.22663627544058e-6</v>
      </c>
      <c r="I1215" s="30"/>
    </row>
    <row r="1216" spans="1:9">
      <c r="A1216" s="10">
        <v>1214</v>
      </c>
      <c r="B1216" s="12">
        <f>'2_Discount_Factors'!B1217</f>
        <v>3.32602739726027</v>
      </c>
      <c r="C1216" s="12">
        <f>EXP(-r_free*(('2_Discount_Factors'!B1216+'2_Discount_Factors'!B1217)/2))</f>
        <v>0.905072954315963</v>
      </c>
      <c r="D1216" s="12">
        <f>'3_Survival_Probs'!D1216</f>
        <v>0.931951077082126</v>
      </c>
      <c r="E1216" s="12">
        <f>'3_Survival_Probs'!D1217</f>
        <v>0.93187302298209</v>
      </c>
      <c r="F1216" s="14">
        <f t="shared" si="43"/>
        <v>7.80541000362511e-5</v>
      </c>
      <c r="G1216" s="32">
        <f>(1-recovery)*notional*C1216*F1216</f>
        <v>423.867929497701</v>
      </c>
      <c r="H1216" s="14">
        <f t="shared" si="45"/>
        <v>5.41931599357796e-6</v>
      </c>
      <c r="I1216" s="33"/>
    </row>
    <row r="1217" spans="1:9">
      <c r="A1217" s="4">
        <v>1215</v>
      </c>
      <c r="B1217" s="6">
        <f>'2_Discount_Factors'!B1218</f>
        <v>3.32876712328767</v>
      </c>
      <c r="C1217" s="6">
        <f>EXP(-r_free*(('2_Discount_Factors'!B1217+'2_Discount_Factors'!B1218)/2))</f>
        <v>0.904998567815096</v>
      </c>
      <c r="D1217" s="6">
        <f>'3_Survival_Probs'!D1217</f>
        <v>0.93187302298209</v>
      </c>
      <c r="E1217" s="6">
        <f>'3_Survival_Probs'!D1218</f>
        <v>0.931794975419353</v>
      </c>
      <c r="F1217" s="8">
        <f t="shared" si="43"/>
        <v>7.80475627375488e-5</v>
      </c>
      <c r="G1217" s="29">
        <f>(1-recovery)*notional*C1217*F1217</f>
        <v>423.797594993643</v>
      </c>
      <c r="H1217" s="8">
        <f t="shared" si="45"/>
        <v>5.61193162320354e-6</v>
      </c>
      <c r="I1217" s="30"/>
    </row>
    <row r="1218" spans="1:9">
      <c r="A1218" s="10">
        <v>1216</v>
      </c>
      <c r="B1218" s="12">
        <f>'2_Discount_Factors'!B1219</f>
        <v>3.33150684931507</v>
      </c>
      <c r="C1218" s="12">
        <f>EXP(-r_free*(('2_Discount_Factors'!B1218+'2_Discount_Factors'!B1219)/2))</f>
        <v>0.904924187427936</v>
      </c>
      <c r="D1218" s="12">
        <f>'3_Survival_Probs'!D1218</f>
        <v>0.931794975419353</v>
      </c>
      <c r="E1218" s="12">
        <f>'3_Survival_Probs'!D1219</f>
        <v>0.931716934393366</v>
      </c>
      <c r="F1218" s="14">
        <f t="shared" si="43"/>
        <v>7.80410259864084e-5</v>
      </c>
      <c r="G1218" s="32">
        <f>(1-recovery)*notional*C1218*F1218</f>
        <v>423.727272160758</v>
      </c>
      <c r="H1218" s="14">
        <f t="shared" si="45"/>
        <v>5.80448318028441e-6</v>
      </c>
      <c r="I1218" s="33"/>
    </row>
    <row r="1219" spans="1:9">
      <c r="A1219" s="4">
        <v>1217</v>
      </c>
      <c r="B1219" s="6">
        <f>'2_Discount_Factors'!B1220</f>
        <v>3.33424657534247</v>
      </c>
      <c r="C1219" s="6">
        <f>EXP(-r_free*(('2_Discount_Factors'!B1219+'2_Discount_Factors'!B1220)/2))</f>
        <v>0.904849813153981</v>
      </c>
      <c r="D1219" s="6">
        <f>'3_Survival_Probs'!D1219</f>
        <v>0.931716934393366</v>
      </c>
      <c r="E1219" s="6">
        <f>'3_Survival_Probs'!D1220</f>
        <v>0.931638899903583</v>
      </c>
      <c r="F1219" s="8">
        <f t="shared" ref="F1219:F1282" si="46">D1219-E1219</f>
        <v>7.803448978283e-5</v>
      </c>
      <c r="G1219" s="29">
        <f>(1-recovery)*notional*C1219*F1219</f>
        <v>423.65696099736</v>
      </c>
      <c r="H1219" s="8">
        <f t="shared" si="45"/>
        <v>5.99697068078461e-6</v>
      </c>
      <c r="I1219" s="30"/>
    </row>
    <row r="1220" spans="1:9">
      <c r="A1220" s="10">
        <v>1218</v>
      </c>
      <c r="B1220" s="12">
        <f>'2_Discount_Factors'!B1221</f>
        <v>3.33698630136986</v>
      </c>
      <c r="C1220" s="12">
        <f>EXP(-r_free*(('2_Discount_Factors'!B1220+'2_Discount_Factors'!B1221)/2))</f>
        <v>0.904775444992729</v>
      </c>
      <c r="D1220" s="12">
        <f>'3_Survival_Probs'!D1220</f>
        <v>0.931638899903583</v>
      </c>
      <c r="E1220" s="12">
        <f>'3_Survival_Probs'!D1221</f>
        <v>0.931560871949457</v>
      </c>
      <c r="F1220" s="14">
        <f t="shared" si="46"/>
        <v>7.80279541265916e-5</v>
      </c>
      <c r="G1220" s="32">
        <f>(1-recovery)*notional*C1220*F1220</f>
        <v>423.586661500555</v>
      </c>
      <c r="H1220" s="14">
        <f t="shared" si="45"/>
        <v>6.18939414064742e-6</v>
      </c>
      <c r="I1220" s="33"/>
    </row>
    <row r="1221" spans="1:9">
      <c r="A1221" s="4">
        <v>1219</v>
      </c>
      <c r="B1221" s="6">
        <f>'2_Discount_Factors'!B1222</f>
        <v>3.33972602739726</v>
      </c>
      <c r="C1221" s="6">
        <f>EXP(-r_free*(('2_Discount_Factors'!B1221+'2_Discount_Factors'!B1222)/2))</f>
        <v>0.904701082943678</v>
      </c>
      <c r="D1221" s="6">
        <f>'3_Survival_Probs'!D1221</f>
        <v>0.931560871949457</v>
      </c>
      <c r="E1221" s="6">
        <f>'3_Survival_Probs'!D1222</f>
        <v>0.931482850530439</v>
      </c>
      <c r="F1221" s="8">
        <f t="shared" si="46"/>
        <v>7.80214190176931e-5</v>
      </c>
      <c r="G1221" s="29">
        <f>(1-recovery)*notional*C1221*F1221</f>
        <v>423.516373668657</v>
      </c>
      <c r="H1221" s="8">
        <f t="shared" si="45"/>
        <v>6.38175357582912e-6</v>
      </c>
      <c r="I1221" s="30"/>
    </row>
    <row r="1222" spans="1:9">
      <c r="A1222" s="10">
        <v>1220</v>
      </c>
      <c r="B1222" s="12">
        <f>'2_Discount_Factors'!B1223</f>
        <v>3.34246575342466</v>
      </c>
      <c r="C1222" s="12">
        <f>EXP(-r_free*(('2_Discount_Factors'!B1222+'2_Discount_Factors'!B1223)/2))</f>
        <v>0.904626727006325</v>
      </c>
      <c r="D1222" s="12">
        <f>'3_Survival_Probs'!D1222</f>
        <v>0.931482850530439</v>
      </c>
      <c r="E1222" s="12">
        <f>'3_Survival_Probs'!D1223</f>
        <v>0.931404835645983</v>
      </c>
      <c r="F1222" s="14">
        <f t="shared" si="46"/>
        <v>7.80148844561346e-5</v>
      </c>
      <c r="G1222" s="32">
        <f>(1-recovery)*notional*C1222*F1222</f>
        <v>423.446097499978</v>
      </c>
      <c r="H1222" s="14">
        <f t="shared" si="45"/>
        <v>6.57404900228281e-6</v>
      </c>
      <c r="I1222" s="33"/>
    </row>
    <row r="1223" spans="1:9">
      <c r="A1223" s="4">
        <v>1221</v>
      </c>
      <c r="B1223" s="6">
        <f>'2_Discount_Factors'!B1224</f>
        <v>3.34520547945205</v>
      </c>
      <c r="C1223" s="6">
        <f>EXP(-r_free*(('2_Discount_Factors'!B1223+'2_Discount_Factors'!B1224)/2))</f>
        <v>0.904552377180167</v>
      </c>
      <c r="D1223" s="6">
        <f>'3_Survival_Probs'!D1223</f>
        <v>0.931404835645983</v>
      </c>
      <c r="E1223" s="6">
        <f>'3_Survival_Probs'!D1224</f>
        <v>0.931326827295541</v>
      </c>
      <c r="F1223" s="8">
        <f t="shared" si="46"/>
        <v>7.8008350441916e-5</v>
      </c>
      <c r="G1223" s="29">
        <f>(1-recovery)*notional*C1223*F1223</f>
        <v>423.375832992832</v>
      </c>
      <c r="H1223" s="8">
        <f t="shared" si="45"/>
        <v>6.76628043595856e-6</v>
      </c>
      <c r="I1223" s="30"/>
    </row>
    <row r="1224" spans="1:9">
      <c r="A1224" s="10">
        <v>1222</v>
      </c>
      <c r="B1224" s="12">
        <f>'2_Discount_Factors'!B1225</f>
        <v>3.34794520547945</v>
      </c>
      <c r="C1224" s="12">
        <f>EXP(-r_free*(('2_Discount_Factors'!B1224+'2_Discount_Factors'!B1225)/2))</f>
        <v>0.904478033464703</v>
      </c>
      <c r="D1224" s="12">
        <f>'3_Survival_Probs'!D1224</f>
        <v>0.931326827295541</v>
      </c>
      <c r="E1224" s="12">
        <f>'3_Survival_Probs'!D1225</f>
        <v>0.931248825478566</v>
      </c>
      <c r="F1224" s="14">
        <f t="shared" si="46"/>
        <v>7.80018169749264e-5</v>
      </c>
      <c r="G1224" s="32">
        <f>(1-recovery)*notional*C1224*F1224</f>
        <v>423.305580144931</v>
      </c>
      <c r="H1224" s="14">
        <f t="shared" si="45"/>
        <v>6.95844789279341e-6</v>
      </c>
      <c r="I1224" s="33"/>
    </row>
    <row r="1225" spans="1:9">
      <c r="A1225" s="4">
        <v>1223</v>
      </c>
      <c r="B1225" s="6">
        <f>'2_Discount_Factors'!B1226</f>
        <v>3.35068493150685</v>
      </c>
      <c r="C1225" s="6">
        <f>EXP(-r_free*(('2_Discount_Factors'!B1225+'2_Discount_Factors'!B1226)/2))</f>
        <v>0.90440369585943</v>
      </c>
      <c r="D1225" s="6">
        <f>'3_Survival_Probs'!D1225</f>
        <v>0.931248825478566</v>
      </c>
      <c r="E1225" s="6">
        <f>'3_Survival_Probs'!D1226</f>
        <v>0.931170830194511</v>
      </c>
      <c r="F1225" s="8">
        <f t="shared" si="46"/>
        <v>7.79952840551656e-5</v>
      </c>
      <c r="G1225" s="29">
        <f>(1-recovery)*notional*C1225*F1225</f>
        <v>423.235338954587</v>
      </c>
      <c r="H1225" s="8">
        <f t="shared" si="45"/>
        <v>7.15055138873051e-6</v>
      </c>
      <c r="I1225" s="30"/>
    </row>
    <row r="1226" spans="1:9">
      <c r="A1226" s="10">
        <v>1224</v>
      </c>
      <c r="B1226" s="12">
        <f>'2_Discount_Factors'!B1227</f>
        <v>3.35342465753425</v>
      </c>
      <c r="C1226" s="12">
        <f>EXP(-r_free*(('2_Discount_Factors'!B1226+'2_Discount_Factors'!B1227)/2))</f>
        <v>0.904329364363846</v>
      </c>
      <c r="D1226" s="12">
        <f>'3_Survival_Probs'!D1226</f>
        <v>0.931170830194511</v>
      </c>
      <c r="E1226" s="12">
        <f>'3_Survival_Probs'!D1227</f>
        <v>0.931092841442828</v>
      </c>
      <c r="F1226" s="14">
        <f t="shared" si="46"/>
        <v>7.79887516825228e-5</v>
      </c>
      <c r="G1226" s="32">
        <f>(1-recovery)*notional*C1226*F1226</f>
        <v>423.165109419514</v>
      </c>
      <c r="H1226" s="14">
        <f t="shared" si="45"/>
        <v>7.34259093969938e-6</v>
      </c>
      <c r="I1226" s="33"/>
    </row>
    <row r="1227" spans="1:9">
      <c r="A1227" s="4">
        <v>1225</v>
      </c>
      <c r="B1227" s="6">
        <f>'2_Discount_Factors'!B1228</f>
        <v>3.35616438356164</v>
      </c>
      <c r="C1227" s="6">
        <f>EXP(-r_free*(('2_Discount_Factors'!B1227+'2_Discount_Factors'!B1228)/2))</f>
        <v>0.90425503897745</v>
      </c>
      <c r="D1227" s="6">
        <f>'3_Survival_Probs'!D1227</f>
        <v>0.931092841442828</v>
      </c>
      <c r="E1227" s="6">
        <f>'3_Survival_Probs'!D1228</f>
        <v>0.931014859222971</v>
      </c>
      <c r="F1227" s="8">
        <f t="shared" si="46"/>
        <v>7.79822198569979e-5</v>
      </c>
      <c r="G1227" s="29">
        <f>(1-recovery)*notional*C1227*F1227</f>
        <v>423.094891538026</v>
      </c>
      <c r="H1227" s="8">
        <f t="shared" si="45"/>
        <v>7.53456656163614e-6</v>
      </c>
      <c r="I1227" s="30"/>
    </row>
    <row r="1228" spans="1:9">
      <c r="A1228" s="10">
        <v>1226</v>
      </c>
      <c r="B1228" s="12">
        <f>'2_Discount_Factors'!B1229</f>
        <v>3.35890410958904</v>
      </c>
      <c r="C1228" s="12">
        <f>EXP(-r_free*(('2_Discount_Factors'!B1228+'2_Discount_Factors'!B1229)/2))</f>
        <v>0.904180719699737</v>
      </c>
      <c r="D1228" s="12">
        <f>'3_Survival_Probs'!D1228</f>
        <v>0.931014859222971</v>
      </c>
      <c r="E1228" s="12">
        <f>'3_Survival_Probs'!D1229</f>
        <v>0.930936883534393</v>
      </c>
      <c r="F1228" s="14">
        <f t="shared" si="46"/>
        <v>7.79756885785909e-5</v>
      </c>
      <c r="G1228" s="32">
        <f>(1-recovery)*notional*C1228*F1228</f>
        <v>423.024685308438</v>
      </c>
      <c r="H1228" s="14">
        <f t="shared" si="45"/>
        <v>7.72647827047381e-6</v>
      </c>
      <c r="I1228" s="33"/>
    </row>
    <row r="1229" spans="1:9">
      <c r="A1229" s="4">
        <v>1227</v>
      </c>
      <c r="B1229" s="6">
        <f>'2_Discount_Factors'!B1230</f>
        <v>3.36164383561644</v>
      </c>
      <c r="C1229" s="6">
        <f>EXP(-r_free*(('2_Discount_Factors'!B1229+'2_Discount_Factors'!B1230)/2))</f>
        <v>0.904106406530208</v>
      </c>
      <c r="D1229" s="6">
        <f>'3_Survival_Probs'!D1229</f>
        <v>0.930936883534393</v>
      </c>
      <c r="E1229" s="6">
        <f>'3_Survival_Probs'!D1230</f>
        <v>0.930858914376546</v>
      </c>
      <c r="F1229" s="8">
        <f t="shared" si="46"/>
        <v>7.79691578471908e-5</v>
      </c>
      <c r="G1229" s="29">
        <f>(1-recovery)*notional*C1229*F1229</f>
        <v>422.954490728462</v>
      </c>
      <c r="H1229" s="8">
        <f t="shared" si="45"/>
        <v>7.91832608213106e-6</v>
      </c>
      <c r="I1229" s="30"/>
    </row>
    <row r="1230" spans="1:9">
      <c r="A1230" s="10">
        <v>1228</v>
      </c>
      <c r="B1230" s="12">
        <f>'2_Discount_Factors'!B1231</f>
        <v>3.36438356164384</v>
      </c>
      <c r="C1230" s="12">
        <f>EXP(-r_free*(('2_Discount_Factors'!B1230+'2_Discount_Factors'!B1231)/2))</f>
        <v>0.90403209946836</v>
      </c>
      <c r="D1230" s="12">
        <f>'3_Survival_Probs'!D1230</f>
        <v>0.930858914376546</v>
      </c>
      <c r="E1230" s="12">
        <f>'3_Survival_Probs'!D1231</f>
        <v>0.930780951748883</v>
      </c>
      <c r="F1230" s="14">
        <f t="shared" si="46"/>
        <v>7.79626276626866e-5</v>
      </c>
      <c r="G1230" s="32">
        <f>(1-recovery)*notional*C1230*F1230</f>
        <v>422.884307795811</v>
      </c>
      <c r="H1230" s="14">
        <f t="shared" si="45"/>
        <v>8.11011001252245e-6</v>
      </c>
      <c r="I1230" s="33"/>
    </row>
    <row r="1231" spans="1:9">
      <c r="A1231" s="4">
        <v>1229</v>
      </c>
      <c r="B1231" s="6">
        <f>'2_Discount_Factors'!B1232</f>
        <v>3.36712328767123</v>
      </c>
      <c r="C1231" s="6">
        <f>EXP(-r_free*(('2_Discount_Factors'!B1231+'2_Discount_Factors'!B1232)/2))</f>
        <v>0.90395779851369</v>
      </c>
      <c r="D1231" s="6">
        <f>'3_Survival_Probs'!D1231</f>
        <v>0.930780951748883</v>
      </c>
      <c r="E1231" s="6">
        <f>'3_Survival_Probs'!D1232</f>
        <v>0.930702995650858</v>
      </c>
      <c r="F1231" s="8">
        <f t="shared" si="46"/>
        <v>7.79560980251892e-5</v>
      </c>
      <c r="G1231" s="29">
        <f>(1-recovery)*notional*C1231*F1231</f>
        <v>422.814136509405</v>
      </c>
      <c r="H1231" s="8">
        <f t="shared" si="45"/>
        <v>8.30183007758197e-6</v>
      </c>
      <c r="I1231" s="30"/>
    </row>
    <row r="1232" spans="1:9">
      <c r="A1232" s="10">
        <v>1230</v>
      </c>
      <c r="B1232" s="12">
        <f>'2_Discount_Factors'!B1233</f>
        <v>3.36986301369863</v>
      </c>
      <c r="C1232" s="12">
        <f>EXP(-r_free*(('2_Discount_Factors'!B1232+'2_Discount_Factors'!B1233)/2))</f>
        <v>0.903883503665697</v>
      </c>
      <c r="D1232" s="12">
        <f>'3_Survival_Probs'!D1232</f>
        <v>0.930702995650858</v>
      </c>
      <c r="E1232" s="12">
        <f>'3_Survival_Probs'!D1233</f>
        <v>0.930625046081923</v>
      </c>
      <c r="F1232" s="14">
        <f t="shared" si="46"/>
        <v>7.79495689344767e-5</v>
      </c>
      <c r="G1232" s="32">
        <f>(1-recovery)*notional*C1232*F1232</f>
        <v>422.743976866353</v>
      </c>
      <c r="H1232" s="14">
        <f t="shared" si="45"/>
        <v>8.49348629320533e-6</v>
      </c>
      <c r="I1232" s="33"/>
    </row>
    <row r="1233" spans="1:9">
      <c r="A1233" s="4">
        <v>1231</v>
      </c>
      <c r="B1233" s="6">
        <f>'2_Discount_Factors'!B1234</f>
        <v>3.37260273972603</v>
      </c>
      <c r="C1233" s="6">
        <f>EXP(-r_free*(('2_Discount_Factors'!B1233+'2_Discount_Factors'!B1234)/2))</f>
        <v>0.903809214923879</v>
      </c>
      <c r="D1233" s="6">
        <f>'3_Survival_Probs'!D1233</f>
        <v>0.930625046081923</v>
      </c>
      <c r="E1233" s="6">
        <f>'3_Survival_Probs'!D1234</f>
        <v>0.930547103041533</v>
      </c>
      <c r="F1233" s="8">
        <f t="shared" si="46"/>
        <v>7.794304039066e-5</v>
      </c>
      <c r="G1233" s="29">
        <f>(1-recovery)*notional*C1233*F1233</f>
        <v>422.673828865576</v>
      </c>
      <c r="H1233" s="8">
        <f t="shared" si="45"/>
        <v>8.68507867532008e-6</v>
      </c>
      <c r="I1233" s="30"/>
    </row>
    <row r="1234" spans="1:9">
      <c r="A1234" s="10">
        <v>1232</v>
      </c>
      <c r="B1234" s="12">
        <f>'2_Discount_Factors'!B1235</f>
        <v>3.37534246575342</v>
      </c>
      <c r="C1234" s="12">
        <f>EXP(-r_free*(('2_Discount_Factors'!B1234+'2_Discount_Factors'!B1235)/2))</f>
        <v>0.903734932287734</v>
      </c>
      <c r="D1234" s="12">
        <f>'3_Survival_Probs'!D1234</f>
        <v>0.930547103041533</v>
      </c>
      <c r="E1234" s="12">
        <f>'3_Survival_Probs'!D1235</f>
        <v>0.930469166529139</v>
      </c>
      <c r="F1234" s="14">
        <f t="shared" si="46"/>
        <v>7.79365123936282e-5</v>
      </c>
      <c r="G1234" s="32">
        <f>(1-recovery)*notional*C1234*F1234</f>
        <v>422.603692504786</v>
      </c>
      <c r="H1234" s="14">
        <f t="shared" si="45"/>
        <v>8.8766072398266e-6</v>
      </c>
      <c r="I1234" s="33"/>
    </row>
    <row r="1235" spans="1:9">
      <c r="A1235" s="4">
        <v>1233</v>
      </c>
      <c r="B1235" s="6">
        <f>'2_Discount_Factors'!B1236</f>
        <v>3.37808219178082</v>
      </c>
      <c r="C1235" s="6">
        <f>EXP(-r_free*(('2_Discount_Factors'!B1235+'2_Discount_Factors'!B1236)/2))</f>
        <v>0.90366065575676</v>
      </c>
      <c r="D1235" s="6">
        <f>'3_Survival_Probs'!D1235</f>
        <v>0.930469166529139</v>
      </c>
      <c r="E1235" s="6">
        <f>'3_Survival_Probs'!D1236</f>
        <v>0.930391236544196</v>
      </c>
      <c r="F1235" s="8">
        <f t="shared" si="46"/>
        <v>7.79299849433812e-5</v>
      </c>
      <c r="G1235" s="29">
        <f>(1-recovery)*notional*C1235*F1235</f>
        <v>422.533567782302</v>
      </c>
      <c r="H1235" s="8">
        <f t="shared" si="45"/>
        <v>9.06807200263393e-6</v>
      </c>
      <c r="I1235" s="30"/>
    </row>
    <row r="1236" spans="1:9">
      <c r="A1236" s="10">
        <v>1234</v>
      </c>
      <c r="B1236" s="12">
        <f>'2_Discount_Factors'!B1237</f>
        <v>3.38082191780822</v>
      </c>
      <c r="C1236" s="12">
        <f>EXP(-r_free*(('2_Discount_Factors'!B1236+'2_Discount_Factors'!B1237)/2))</f>
        <v>0.903586385330456</v>
      </c>
      <c r="D1236" s="12">
        <f>'3_Survival_Probs'!D1236</f>
        <v>0.930391236544196</v>
      </c>
      <c r="E1236" s="12">
        <f>'3_Survival_Probs'!D1237</f>
        <v>0.930313313086156</v>
      </c>
      <c r="F1236" s="14">
        <f t="shared" si="46"/>
        <v>7.7923458039697e-5</v>
      </c>
      <c r="G1236" s="32">
        <f>(1-recovery)*notional*C1236*F1236</f>
        <v>422.463454695236</v>
      </c>
      <c r="H1236" s="14">
        <f t="shared" si="45"/>
        <v>9.25947297962166e-6</v>
      </c>
      <c r="I1236" s="33"/>
    </row>
    <row r="1237" spans="1:9">
      <c r="A1237" s="4">
        <v>1235</v>
      </c>
      <c r="B1237" s="6">
        <f>'2_Discount_Factors'!B1238</f>
        <v>3.38356164383562</v>
      </c>
      <c r="C1237" s="6">
        <f>EXP(-r_free*(('2_Discount_Factors'!B1237+'2_Discount_Factors'!B1238)/2))</f>
        <v>0.90351212100832</v>
      </c>
      <c r="D1237" s="6">
        <f>'3_Survival_Probs'!D1237</f>
        <v>0.930313313086156</v>
      </c>
      <c r="E1237" s="6">
        <f>'3_Survival_Probs'!D1238</f>
        <v>0.930235396154473</v>
      </c>
      <c r="F1237" s="8">
        <f t="shared" si="46"/>
        <v>7.79169316827977e-5</v>
      </c>
      <c r="G1237" s="29">
        <f>(1-recovery)*notional*C1237*F1237</f>
        <v>422.393353243109</v>
      </c>
      <c r="H1237" s="8">
        <f t="shared" si="45"/>
        <v>9.45081018671803e-6</v>
      </c>
      <c r="I1237" s="30"/>
    </row>
    <row r="1238" spans="1:9">
      <c r="A1238" s="10">
        <v>1236</v>
      </c>
      <c r="B1238" s="12">
        <f>'2_Discount_Factors'!B1239</f>
        <v>3.38630136986301</v>
      </c>
      <c r="C1238" s="12">
        <f>EXP(-r_free*(('2_Discount_Factors'!B1238+'2_Discount_Factors'!B1239)/2))</f>
        <v>0.903437862789849</v>
      </c>
      <c r="D1238" s="12">
        <f>'3_Survival_Probs'!D1238</f>
        <v>0.930235396154473</v>
      </c>
      <c r="E1238" s="12">
        <f>'3_Survival_Probs'!D1239</f>
        <v>0.930157485748601</v>
      </c>
      <c r="F1238" s="14">
        <f t="shared" si="46"/>
        <v>7.79104058724611e-5</v>
      </c>
      <c r="G1238" s="32">
        <f>(1-recovery)*notional*C1238*F1238</f>
        <v>422.323263423036</v>
      </c>
      <c r="H1238" s="14">
        <f t="shared" si="45"/>
        <v>9.64208363979538e-6</v>
      </c>
      <c r="I1238" s="33"/>
    </row>
    <row r="1239" spans="1:9">
      <c r="A1239" s="4">
        <v>1237</v>
      </c>
      <c r="B1239" s="6">
        <f>'2_Discount_Factors'!B1240</f>
        <v>3.38904109589041</v>
      </c>
      <c r="C1239" s="6">
        <f>EXP(-r_free*(('2_Discount_Factors'!B1239+'2_Discount_Factors'!B1240)/2))</f>
        <v>0.903363610674543</v>
      </c>
      <c r="D1239" s="6">
        <f>'3_Survival_Probs'!D1239</f>
        <v>0.930157485748601</v>
      </c>
      <c r="E1239" s="6">
        <f>'3_Survival_Probs'!D1240</f>
        <v>0.930079581867992</v>
      </c>
      <c r="F1239" s="8">
        <f t="shared" si="46"/>
        <v>7.79038806086874e-5</v>
      </c>
      <c r="G1239" s="29">
        <f>(1-recovery)*notional*C1239*F1239</f>
        <v>422.253185233334</v>
      </c>
      <c r="H1239" s="8">
        <f t="shared" si="45"/>
        <v>9.83329335474892e-6</v>
      </c>
      <c r="I1239" s="30"/>
    </row>
    <row r="1240" spans="1:9">
      <c r="A1240" s="10">
        <v>1238</v>
      </c>
      <c r="B1240" s="12">
        <f>'2_Discount_Factors'!B1241</f>
        <v>3.39178082191781</v>
      </c>
      <c r="C1240" s="12">
        <f>EXP(-r_free*(('2_Discount_Factors'!B1240+'2_Discount_Factors'!B1241)/2))</f>
        <v>0.9032893646619</v>
      </c>
      <c r="D1240" s="12">
        <f>'3_Survival_Probs'!D1240</f>
        <v>0.930079581867992</v>
      </c>
      <c r="E1240" s="12">
        <f>'3_Survival_Probs'!D1241</f>
        <v>0.930001684512101</v>
      </c>
      <c r="F1240" s="14">
        <f t="shared" si="46"/>
        <v>7.78973558913654e-5</v>
      </c>
      <c r="G1240" s="32">
        <f>(1-recovery)*notional*C1240*F1240</f>
        <v>422.18311867172</v>
      </c>
      <c r="H1240" s="14">
        <f t="shared" si="45"/>
        <v>1.00244393474564e-5</v>
      </c>
      <c r="I1240" s="33"/>
    </row>
    <row r="1241" spans="1:9">
      <c r="A1241" s="4">
        <v>1239</v>
      </c>
      <c r="B1241" s="6">
        <f>'2_Discount_Factors'!B1242</f>
        <v>3.39452054794521</v>
      </c>
      <c r="C1241" s="6">
        <f>EXP(-r_free*(('2_Discount_Factors'!B1241+'2_Discount_Factors'!B1242)/2))</f>
        <v>0.903215124751418</v>
      </c>
      <c r="D1241" s="6">
        <f>'3_Survival_Probs'!D1241</f>
        <v>0.930001684512101</v>
      </c>
      <c r="E1241" s="6">
        <f>'3_Survival_Probs'!D1242</f>
        <v>0.92992379368038</v>
      </c>
      <c r="F1241" s="8">
        <f t="shared" si="46"/>
        <v>7.78908317206062e-5</v>
      </c>
      <c r="G1241" s="29">
        <f>(1-recovery)*notional*C1241*F1241</f>
        <v>422.113063737114</v>
      </c>
      <c r="H1241" s="8">
        <f t="shared" si="45"/>
        <v>1.02155216338206e-5</v>
      </c>
      <c r="I1241" s="30"/>
    </row>
    <row r="1242" spans="1:9">
      <c r="A1242" s="10">
        <v>1240</v>
      </c>
      <c r="B1242" s="12">
        <f>'2_Discount_Factors'!B1243</f>
        <v>3.3972602739726</v>
      </c>
      <c r="C1242" s="12">
        <f>EXP(-r_free*(('2_Discount_Factors'!B1242+'2_Discount_Factors'!B1243)/2))</f>
        <v>0.903140890942595</v>
      </c>
      <c r="D1242" s="12">
        <f>'3_Survival_Probs'!D1242</f>
        <v>0.92992379368038</v>
      </c>
      <c r="E1242" s="12">
        <f>'3_Survival_Probs'!D1243</f>
        <v>0.929845909372284</v>
      </c>
      <c r="F1242" s="14">
        <f t="shared" si="46"/>
        <v>7.78843080961877e-5</v>
      </c>
      <c r="G1242" s="32">
        <f>(1-recovery)*notional*C1242*F1242</f>
        <v>422.043020426632</v>
      </c>
      <c r="H1242" s="14">
        <f t="shared" si="45"/>
        <v>1.04065402296978e-5</v>
      </c>
      <c r="I1242" s="33"/>
    </row>
    <row r="1243" spans="1:9">
      <c r="A1243" s="4">
        <v>1241</v>
      </c>
      <c r="B1243" s="6">
        <f>'2_Discount_Factors'!B1244</f>
        <v>3.4</v>
      </c>
      <c r="C1243" s="6">
        <f>EXP(-r_free*(('2_Discount_Factors'!B1243+'2_Discount_Factors'!B1244)/2))</f>
        <v>0.903066663234931</v>
      </c>
      <c r="D1243" s="6">
        <f>'3_Survival_Probs'!D1243</f>
        <v>0.929845909372284</v>
      </c>
      <c r="E1243" s="6">
        <f>'3_Survival_Probs'!D1244</f>
        <v>0.929768031587266</v>
      </c>
      <c r="F1243" s="8">
        <f t="shared" si="46"/>
        <v>7.78777850182211e-5</v>
      </c>
      <c r="G1243" s="29">
        <f>(1-recovery)*notional*C1243*F1243</f>
        <v>421.972988739193</v>
      </c>
      <c r="H1243" s="8">
        <f t="shared" si="45"/>
        <v>1.05974951509844e-5</v>
      </c>
      <c r="I1243" s="30"/>
    </row>
    <row r="1244" spans="1:9">
      <c r="A1244" s="10">
        <v>1242</v>
      </c>
      <c r="B1244" s="12">
        <f>'2_Discount_Factors'!B1245</f>
        <v>3.4027397260274</v>
      </c>
      <c r="C1244" s="12">
        <f>EXP(-r_free*(('2_Discount_Factors'!B1244+'2_Discount_Factors'!B1245)/2))</f>
        <v>0.902992441627924</v>
      </c>
      <c r="D1244" s="12">
        <f>'3_Survival_Probs'!D1244</f>
        <v>0.929768031587266</v>
      </c>
      <c r="E1244" s="12">
        <f>'3_Survival_Probs'!D1245</f>
        <v>0.929690160324779</v>
      </c>
      <c r="F1244" s="14">
        <f t="shared" si="46"/>
        <v>7.78712624864841e-5</v>
      </c>
      <c r="G1244" s="32">
        <f>(1-recovery)*notional*C1244*F1244</f>
        <v>421.902968671916</v>
      </c>
      <c r="H1244" s="14">
        <f t="shared" si="45"/>
        <v>1.07883864135285e-5</v>
      </c>
      <c r="I1244" s="33"/>
    </row>
    <row r="1245" spans="1:9">
      <c r="A1245" s="4">
        <v>1243</v>
      </c>
      <c r="B1245" s="6">
        <f>'2_Discount_Factors'!B1246</f>
        <v>3.40547945205479</v>
      </c>
      <c r="C1245" s="6">
        <f>EXP(-r_free*(('2_Discount_Factors'!B1245+'2_Discount_Factors'!B1246)/2))</f>
        <v>0.902918226121072</v>
      </c>
      <c r="D1245" s="6">
        <f>'3_Survival_Probs'!D1245</f>
        <v>0.929690160324779</v>
      </c>
      <c r="E1245" s="6">
        <f>'3_Survival_Probs'!D1246</f>
        <v>0.929612295584278</v>
      </c>
      <c r="F1245" s="8">
        <f t="shared" si="46"/>
        <v>7.78647405010879e-5</v>
      </c>
      <c r="G1245" s="29">
        <f>(1-recovery)*notional*C1245*F1245</f>
        <v>421.832960223719</v>
      </c>
      <c r="H1245" s="8">
        <f t="shared" si="45"/>
        <v>1.09792140332202e-5</v>
      </c>
      <c r="I1245" s="30"/>
    </row>
    <row r="1246" spans="1:9">
      <c r="A1246" s="10">
        <v>1244</v>
      </c>
      <c r="B1246" s="12">
        <f>'2_Discount_Factors'!B1247</f>
        <v>3.40821917808219</v>
      </c>
      <c r="C1246" s="12">
        <f>EXP(-r_free*(('2_Discount_Factors'!B1246+'2_Discount_Factors'!B1247)/2))</f>
        <v>0.902844016713874</v>
      </c>
      <c r="D1246" s="12">
        <f>'3_Survival_Probs'!D1246</f>
        <v>0.929612295584278</v>
      </c>
      <c r="E1246" s="12">
        <f>'3_Survival_Probs'!D1247</f>
        <v>0.929534437365216</v>
      </c>
      <c r="F1246" s="14">
        <f t="shared" si="46"/>
        <v>7.78582190619215e-5</v>
      </c>
      <c r="G1246" s="32">
        <f>(1-recovery)*notional*C1246*F1246</f>
        <v>421.762963392323</v>
      </c>
      <c r="H1246" s="14">
        <f t="shared" si="45"/>
        <v>1.11699780259155e-5</v>
      </c>
      <c r="I1246" s="33"/>
    </row>
    <row r="1247" spans="1:9">
      <c r="A1247" s="4">
        <v>1245</v>
      </c>
      <c r="B1247" s="6">
        <f>'2_Discount_Factors'!B1248</f>
        <v>3.41095890410959</v>
      </c>
      <c r="C1247" s="6">
        <f>EXP(-r_free*(('2_Discount_Factors'!B1247+'2_Discount_Factors'!B1248)/2))</f>
        <v>0.902769813405829</v>
      </c>
      <c r="D1247" s="6">
        <f>'3_Survival_Probs'!D1247</f>
        <v>0.929534437365216</v>
      </c>
      <c r="E1247" s="6">
        <f>'3_Survival_Probs'!D1248</f>
        <v>0.929456585667047</v>
      </c>
      <c r="F1247" s="8">
        <f t="shared" si="46"/>
        <v>7.78516981689847e-5</v>
      </c>
      <c r="G1247" s="29">
        <f>(1-recovery)*notional*C1247*F1247</f>
        <v>421.692978176047</v>
      </c>
      <c r="H1247" s="8">
        <f t="shared" si="45"/>
        <v>1.13606784074826e-5</v>
      </c>
      <c r="I1247" s="30"/>
    </row>
    <row r="1248" spans="1:9">
      <c r="A1248" s="10">
        <v>1246</v>
      </c>
      <c r="B1248" s="12">
        <f>'2_Discount_Factors'!B1249</f>
        <v>3.41369863013699</v>
      </c>
      <c r="C1248" s="12">
        <f>EXP(-r_free*(('2_Discount_Factors'!B1248+'2_Discount_Factors'!B1249)/2))</f>
        <v>0.902695616196435</v>
      </c>
      <c r="D1248" s="12">
        <f>'3_Survival_Probs'!D1248</f>
        <v>0.929456585667047</v>
      </c>
      <c r="E1248" s="12">
        <f>'3_Survival_Probs'!D1249</f>
        <v>0.929378740489225</v>
      </c>
      <c r="F1248" s="14">
        <f t="shared" si="46"/>
        <v>7.78451778221667e-5</v>
      </c>
      <c r="G1248" s="32">
        <f>(1-recovery)*notional*C1248*F1248</f>
        <v>421.623004572611</v>
      </c>
      <c r="H1248" s="14">
        <f t="shared" si="45"/>
        <v>1.15513151937702e-5</v>
      </c>
      <c r="I1248" s="33"/>
    </row>
    <row r="1249" spans="1:9">
      <c r="A1249" s="4">
        <v>1247</v>
      </c>
      <c r="B1249" s="6">
        <f>'2_Discount_Factors'!B1250</f>
        <v>3.41643835616438</v>
      </c>
      <c r="C1249" s="6">
        <f>EXP(-r_free*(('2_Discount_Factors'!B1249+'2_Discount_Factors'!B1250)/2))</f>
        <v>0.902621425085191</v>
      </c>
      <c r="D1249" s="6">
        <f>'3_Survival_Probs'!D1249</f>
        <v>0.929378740489225</v>
      </c>
      <c r="E1249" s="6">
        <f>'3_Survival_Probs'!D1250</f>
        <v>0.929300901831204</v>
      </c>
      <c r="F1249" s="8">
        <f t="shared" si="46"/>
        <v>7.78386580214674e-5</v>
      </c>
      <c r="G1249" s="29">
        <f>(1-recovery)*notional*C1249*F1249</f>
        <v>421.553042580334</v>
      </c>
      <c r="H1249" s="8">
        <f t="shared" si="45"/>
        <v>1.17418884006395e-5</v>
      </c>
      <c r="I1249" s="30"/>
    </row>
    <row r="1250" spans="1:9">
      <c r="A1250" s="10">
        <v>1248</v>
      </c>
      <c r="B1250" s="12">
        <f>'2_Discount_Factors'!B1251</f>
        <v>3.41917808219178</v>
      </c>
      <c r="C1250" s="12">
        <f>EXP(-r_free*(('2_Discount_Factors'!B1250+'2_Discount_Factors'!B1251)/2))</f>
        <v>0.902547240071596</v>
      </c>
      <c r="D1250" s="12">
        <f>'3_Survival_Probs'!D1250</f>
        <v>0.929300901831204</v>
      </c>
      <c r="E1250" s="12">
        <f>'3_Survival_Probs'!D1251</f>
        <v>0.929223069692437</v>
      </c>
      <c r="F1250" s="14">
        <f t="shared" si="46"/>
        <v>7.78321387667757e-5</v>
      </c>
      <c r="G1250" s="32">
        <f>(1-recovery)*notional*C1250*F1250</f>
        <v>421.483092196938</v>
      </c>
      <c r="H1250" s="14">
        <f t="shared" si="45"/>
        <v>1.19323980439316e-5</v>
      </c>
      <c r="I1250" s="33"/>
    </row>
    <row r="1251" spans="1:9">
      <c r="A1251" s="4">
        <v>1249</v>
      </c>
      <c r="B1251" s="6">
        <f>'2_Discount_Factors'!B1252</f>
        <v>3.42191780821918</v>
      </c>
      <c r="C1251" s="6">
        <f>EXP(-r_free*(('2_Discount_Factors'!B1251+'2_Discount_Factors'!B1252)/2))</f>
        <v>0.902473061155149</v>
      </c>
      <c r="D1251" s="6">
        <f>'3_Survival_Probs'!D1251</f>
        <v>0.929223069692437</v>
      </c>
      <c r="E1251" s="6">
        <f>'3_Survival_Probs'!D1252</f>
        <v>0.929145244072379</v>
      </c>
      <c r="F1251" s="8">
        <f t="shared" si="46"/>
        <v>7.78256200582028e-5</v>
      </c>
      <c r="G1251" s="29">
        <f>(1-recovery)*notional*C1251*F1251</f>
        <v>421.413153421343</v>
      </c>
      <c r="H1251" s="8">
        <f t="shared" si="45"/>
        <v>1.21228441395181e-5</v>
      </c>
      <c r="I1251" s="30"/>
    </row>
    <row r="1252" spans="1:9">
      <c r="A1252" s="10">
        <v>1250</v>
      </c>
      <c r="B1252" s="12">
        <f>'2_Discount_Factors'!B1253</f>
        <v>3.42465753424658</v>
      </c>
      <c r="C1252" s="12">
        <f>EXP(-r_free*(('2_Discount_Factors'!B1252+'2_Discount_Factors'!B1253)/2))</f>
        <v>0.902398888335349</v>
      </c>
      <c r="D1252" s="12">
        <f>'3_Survival_Probs'!D1252</f>
        <v>0.929145244072379</v>
      </c>
      <c r="E1252" s="12">
        <f>'3_Survival_Probs'!D1253</f>
        <v>0.929067424970483</v>
      </c>
      <c r="F1252" s="14">
        <f t="shared" si="46"/>
        <v>7.78191018955265e-5</v>
      </c>
      <c r="G1252" s="32">
        <f>(1-recovery)*notional*C1252*F1252</f>
        <v>421.34322625067</v>
      </c>
      <c r="H1252" s="14">
        <f t="shared" si="45"/>
        <v>1.2313226703216e-5</v>
      </c>
      <c r="I1252" s="33"/>
    </row>
    <row r="1253" spans="1:9">
      <c r="A1253" s="4">
        <v>1251</v>
      </c>
      <c r="B1253" s="6">
        <f>'2_Discount_Factors'!B1254</f>
        <v>3.42739726027397</v>
      </c>
      <c r="C1253" s="6">
        <f>EXP(-r_free*(('2_Discount_Factors'!B1253+'2_Discount_Factors'!B1254)/2))</f>
        <v>0.902324721611694</v>
      </c>
      <c r="D1253" s="6">
        <f>'3_Survival_Probs'!D1253</f>
        <v>0.929067424970483</v>
      </c>
      <c r="E1253" s="6">
        <f>'3_Survival_Probs'!D1254</f>
        <v>0.928989612386204</v>
      </c>
      <c r="F1253" s="8">
        <f t="shared" si="46"/>
        <v>7.78125842787469e-5</v>
      </c>
      <c r="G1253" s="29">
        <f>(1-recovery)*notional*C1253*F1253</f>
        <v>421.273310683241</v>
      </c>
      <c r="H1253" s="8">
        <f t="shared" ref="H1253:H1279" si="47">C1253*(B1253-3.24931506849315)*F1253</f>
        <v>1.25035457508725e-5</v>
      </c>
      <c r="I1253" s="30"/>
    </row>
    <row r="1254" spans="1:9">
      <c r="A1254" s="10">
        <v>1252</v>
      </c>
      <c r="B1254" s="12">
        <f>'2_Discount_Factors'!B1255</f>
        <v>3.43013698630137</v>
      </c>
      <c r="C1254" s="12">
        <f>EXP(-r_free*(('2_Discount_Factors'!B1254+'2_Discount_Factors'!B1255)/2))</f>
        <v>0.902250560983684</v>
      </c>
      <c r="D1254" s="12">
        <f>'3_Survival_Probs'!D1254</f>
        <v>0.928989612386204</v>
      </c>
      <c r="E1254" s="12">
        <f>'3_Survival_Probs'!D1255</f>
        <v>0.928911806318996</v>
      </c>
      <c r="F1254" s="14">
        <f t="shared" si="46"/>
        <v>7.7806067207864e-5</v>
      </c>
      <c r="G1254" s="32">
        <f>(1-recovery)*notional*C1254*F1254</f>
        <v>421.203406717377</v>
      </c>
      <c r="H1254" s="14">
        <f t="shared" si="47"/>
        <v>1.2693801298332e-5</v>
      </c>
      <c r="I1254" s="33"/>
    </row>
    <row r="1255" spans="1:9">
      <c r="A1255" s="4">
        <v>1253</v>
      </c>
      <c r="B1255" s="6">
        <f>'2_Discount_Factors'!B1256</f>
        <v>3.43287671232877</v>
      </c>
      <c r="C1255" s="6">
        <f>EXP(-r_free*(('2_Discount_Factors'!B1255+'2_Discount_Factors'!B1256)/2))</f>
        <v>0.902176406450817</v>
      </c>
      <c r="D1255" s="6">
        <f>'3_Survival_Probs'!D1255</f>
        <v>0.928911806318996</v>
      </c>
      <c r="E1255" s="6">
        <f>'3_Survival_Probs'!D1256</f>
        <v>0.928834006768314</v>
      </c>
      <c r="F1255" s="8">
        <f t="shared" si="46"/>
        <v>7.77995506827667e-5</v>
      </c>
      <c r="G1255" s="29">
        <f>(1-recovery)*notional*C1255*F1255</f>
        <v>421.1335143508</v>
      </c>
      <c r="H1255" s="8">
        <f t="shared" si="47"/>
        <v>1.28839933614172e-5</v>
      </c>
      <c r="I1255" s="30"/>
    </row>
    <row r="1256" spans="1:9">
      <c r="A1256" s="10">
        <v>1254</v>
      </c>
      <c r="B1256" s="12">
        <f>'2_Discount_Factors'!B1257</f>
        <v>3.43561643835616</v>
      </c>
      <c r="C1256" s="12">
        <f>EXP(-r_free*(('2_Discount_Factors'!B1256+'2_Discount_Factors'!B1257)/2))</f>
        <v>0.902102258012593</v>
      </c>
      <c r="D1256" s="12">
        <f>'3_Survival_Probs'!D1256</f>
        <v>0.928834006768314</v>
      </c>
      <c r="E1256" s="12">
        <f>'3_Survival_Probs'!D1257</f>
        <v>0.92875621373361</v>
      </c>
      <c r="F1256" s="14">
        <f t="shared" si="46"/>
        <v>7.7793034703455e-5</v>
      </c>
      <c r="G1256" s="32">
        <f>(1-recovery)*notional*C1256*F1256</f>
        <v>421.063633581833</v>
      </c>
      <c r="H1256" s="14">
        <f t="shared" si="47"/>
        <v>1.30741219559656e-5</v>
      </c>
      <c r="I1256" s="33"/>
    </row>
    <row r="1257" spans="1:9">
      <c r="A1257" s="4">
        <v>1255</v>
      </c>
      <c r="B1257" s="6">
        <f>'2_Discount_Factors'!B1258</f>
        <v>3.43835616438356</v>
      </c>
      <c r="C1257" s="6">
        <f>EXP(-r_free*(('2_Discount_Factors'!B1257+'2_Discount_Factors'!B1258)/2))</f>
        <v>0.902028115668511</v>
      </c>
      <c r="D1257" s="6">
        <f>'3_Survival_Probs'!D1257</f>
        <v>0.92875621373361</v>
      </c>
      <c r="E1257" s="6">
        <f>'3_Survival_Probs'!D1258</f>
        <v>0.92867842721434</v>
      </c>
      <c r="F1257" s="8">
        <f t="shared" si="46"/>
        <v>7.7786519269929e-5</v>
      </c>
      <c r="G1257" s="29">
        <f>(1-recovery)*notional*C1257*F1257</f>
        <v>420.993764408798</v>
      </c>
      <c r="H1257" s="8">
        <f t="shared" si="47"/>
        <v>1.32641870978115e-5</v>
      </c>
      <c r="I1257" s="30"/>
    </row>
    <row r="1258" spans="1:9">
      <c r="A1258" s="10">
        <v>1256</v>
      </c>
      <c r="B1258" s="12">
        <f>'2_Discount_Factors'!B1259</f>
        <v>3.44109589041096</v>
      </c>
      <c r="C1258" s="12">
        <f>EXP(-r_free*(('2_Discount_Factors'!B1258+'2_Discount_Factors'!B1259)/2))</f>
        <v>0.90195397941807</v>
      </c>
      <c r="D1258" s="12">
        <f>'3_Survival_Probs'!D1258</f>
        <v>0.92867842721434</v>
      </c>
      <c r="E1258" s="12">
        <f>'3_Survival_Probs'!D1259</f>
        <v>0.928600647209958</v>
      </c>
      <c r="F1258" s="14">
        <f t="shared" si="46"/>
        <v>7.77800043820775e-5</v>
      </c>
      <c r="G1258" s="32">
        <f>(1-recovery)*notional*C1258*F1258</f>
        <v>420.923906829419</v>
      </c>
      <c r="H1258" s="14">
        <f t="shared" si="47"/>
        <v>1.34541888027669e-5</v>
      </c>
      <c r="I1258" s="33"/>
    </row>
    <row r="1259" spans="1:9">
      <c r="A1259" s="4">
        <v>1257</v>
      </c>
      <c r="B1259" s="6">
        <f>'2_Discount_Factors'!B1260</f>
        <v>3.44383561643836</v>
      </c>
      <c r="C1259" s="6">
        <f>EXP(-r_free*(('2_Discount_Factors'!B1259+'2_Discount_Factors'!B1260)/2))</f>
        <v>0.901879849260769</v>
      </c>
      <c r="D1259" s="6">
        <f>'3_Survival_Probs'!D1259</f>
        <v>0.928600647209958</v>
      </c>
      <c r="E1259" s="6">
        <f>'3_Survival_Probs'!D1260</f>
        <v>0.928522873719918</v>
      </c>
      <c r="F1259" s="8">
        <f t="shared" si="46"/>
        <v>7.77734900399007e-5</v>
      </c>
      <c r="G1259" s="29">
        <f>(1-recovery)*notional*C1259*F1259</f>
        <v>420.854060842018</v>
      </c>
      <c r="H1259" s="8">
        <f t="shared" si="47"/>
        <v>1.36441270866591e-5</v>
      </c>
      <c r="I1259" s="30"/>
    </row>
    <row r="1260" spans="1:9">
      <c r="A1260" s="10">
        <v>1258</v>
      </c>
      <c r="B1260" s="12">
        <f>'2_Discount_Factors'!B1261</f>
        <v>3.44657534246575</v>
      </c>
      <c r="C1260" s="12">
        <f>EXP(-r_free*(('2_Discount_Factors'!B1260+'2_Discount_Factors'!B1261)/2))</f>
        <v>0.901805725196107</v>
      </c>
      <c r="D1260" s="12">
        <f>'3_Survival_Probs'!D1260</f>
        <v>0.928522873719918</v>
      </c>
      <c r="E1260" s="12">
        <f>'3_Survival_Probs'!D1261</f>
        <v>0.928445106743675</v>
      </c>
      <c r="F1260" s="14">
        <f t="shared" si="46"/>
        <v>7.77669762431765e-5</v>
      </c>
      <c r="G1260" s="32">
        <f>(1-recovery)*notional*C1260*F1260</f>
        <v>420.784226443717</v>
      </c>
      <c r="H1260" s="14">
        <f t="shared" si="47"/>
        <v>1.38340019652729e-5</v>
      </c>
      <c r="I1260" s="33"/>
    </row>
    <row r="1261" spans="1:9">
      <c r="A1261" s="4">
        <v>1259</v>
      </c>
      <c r="B1261" s="6">
        <f>'2_Discount_Factors'!B1262</f>
        <v>3.44931506849315</v>
      </c>
      <c r="C1261" s="6">
        <f>EXP(-r_free*(('2_Discount_Factors'!B1261+'2_Discount_Factors'!B1262)/2))</f>
        <v>0.901731607223583</v>
      </c>
      <c r="D1261" s="6">
        <f>'3_Survival_Probs'!D1261</f>
        <v>0.928445106743675</v>
      </c>
      <c r="E1261" s="6">
        <f>'3_Survival_Probs'!D1262</f>
        <v>0.928367346280683</v>
      </c>
      <c r="F1261" s="8">
        <f t="shared" si="46"/>
        <v>7.77604629921269e-5</v>
      </c>
      <c r="G1261" s="29">
        <f>(1-recovery)*notional*C1261*F1261</f>
        <v>420.714403634043</v>
      </c>
      <c r="H1261" s="8">
        <f t="shared" si="47"/>
        <v>1.40238134544682e-5</v>
      </c>
      <c r="I1261" s="30"/>
    </row>
    <row r="1262" spans="1:9">
      <c r="A1262" s="10">
        <v>1260</v>
      </c>
      <c r="B1262" s="12">
        <f>'2_Discount_Factors'!B1263</f>
        <v>3.45205479452055</v>
      </c>
      <c r="C1262" s="12">
        <f>EXP(-r_free*(('2_Discount_Factors'!B1262+'2_Discount_Factors'!B1263)/2))</f>
        <v>0.901657495342698</v>
      </c>
      <c r="D1262" s="12">
        <f>'3_Survival_Probs'!D1262</f>
        <v>0.928367346280683</v>
      </c>
      <c r="E1262" s="12">
        <f>'3_Survival_Probs'!D1263</f>
        <v>0.928289592330396</v>
      </c>
      <c r="F1262" s="14">
        <f t="shared" si="46"/>
        <v>7.77539502866409e-5</v>
      </c>
      <c r="G1262" s="32">
        <f>(1-recovery)*notional*C1262*F1262</f>
        <v>420.64459241072</v>
      </c>
      <c r="H1262" s="14">
        <f t="shared" si="47"/>
        <v>1.42135615700426e-5</v>
      </c>
      <c r="I1262" s="33"/>
    </row>
    <row r="1263" spans="1:9">
      <c r="A1263" s="4">
        <v>1261</v>
      </c>
      <c r="B1263" s="6">
        <f>'2_Discount_Factors'!B1264</f>
        <v>3.45479452054795</v>
      </c>
      <c r="C1263" s="6">
        <f>EXP(-r_free*(('2_Discount_Factors'!B1263+'2_Discount_Factors'!B1264)/2))</f>
        <v>0.901583389552949</v>
      </c>
      <c r="D1263" s="6">
        <f>'3_Survival_Probs'!D1263</f>
        <v>0.928289592330396</v>
      </c>
      <c r="E1263" s="6">
        <f>'3_Survival_Probs'!D1264</f>
        <v>0.92821184489227</v>
      </c>
      <c r="F1263" s="8">
        <f t="shared" si="46"/>
        <v>7.77474381264964e-5</v>
      </c>
      <c r="G1263" s="29">
        <f>(1-recovery)*notional*C1263*F1263</f>
        <v>420.574792770869</v>
      </c>
      <c r="H1263" s="8">
        <f t="shared" si="47"/>
        <v>1.44032463277695e-5</v>
      </c>
      <c r="I1263" s="30"/>
    </row>
    <row r="1264" spans="1:9">
      <c r="A1264" s="10">
        <v>1262</v>
      </c>
      <c r="B1264" s="12">
        <f>'2_Discount_Factors'!B1265</f>
        <v>3.45753424657534</v>
      </c>
      <c r="C1264" s="12">
        <f>EXP(-r_free*(('2_Discount_Factors'!B1264+'2_Discount_Factors'!B1265)/2))</f>
        <v>0.901509289853837</v>
      </c>
      <c r="D1264" s="12">
        <f>'3_Survival_Probs'!D1264</f>
        <v>0.92821184489227</v>
      </c>
      <c r="E1264" s="12">
        <f>'3_Survival_Probs'!D1265</f>
        <v>0.928134103965758</v>
      </c>
      <c r="F1264" s="14">
        <f t="shared" si="46"/>
        <v>7.77409265118045e-5</v>
      </c>
      <c r="G1264" s="32">
        <f>(1-recovery)*notional*C1264*F1264</f>
        <v>420.505004713417</v>
      </c>
      <c r="H1264" s="14">
        <f t="shared" si="47"/>
        <v>1.45928677434794e-5</v>
      </c>
      <c r="I1264" s="33"/>
    </row>
    <row r="1265" spans="1:9">
      <c r="A1265" s="4">
        <v>1263</v>
      </c>
      <c r="B1265" s="6">
        <f>'2_Discount_Factors'!B1266</f>
        <v>3.46027397260274</v>
      </c>
      <c r="C1265" s="6">
        <f>EXP(-r_free*(('2_Discount_Factors'!B1265+'2_Discount_Factors'!B1266)/2))</f>
        <v>0.901435196244861</v>
      </c>
      <c r="D1265" s="6">
        <f>'3_Survival_Probs'!D1265</f>
        <v>0.928134103965758</v>
      </c>
      <c r="E1265" s="6">
        <f>'3_Survival_Probs'!D1266</f>
        <v>0.928056369550315</v>
      </c>
      <c r="F1265" s="8">
        <f t="shared" si="46"/>
        <v>7.77344154425652e-5</v>
      </c>
      <c r="G1265" s="29">
        <f>(1-recovery)*notional*C1265*F1265</f>
        <v>420.43522823669</v>
      </c>
      <c r="H1265" s="8">
        <f t="shared" si="47"/>
        <v>1.47824258329796e-5</v>
      </c>
      <c r="I1265" s="30"/>
    </row>
    <row r="1266" spans="1:9">
      <c r="A1266" s="10">
        <v>1264</v>
      </c>
      <c r="B1266" s="12">
        <f>'2_Discount_Factors'!B1267</f>
        <v>3.46301369863014</v>
      </c>
      <c r="C1266" s="12">
        <f>EXP(-r_free*(('2_Discount_Factors'!B1266+'2_Discount_Factors'!B1267)/2))</f>
        <v>0.901361108725521</v>
      </c>
      <c r="D1266" s="12">
        <f>'3_Survival_Probs'!D1266</f>
        <v>0.928056369550315</v>
      </c>
      <c r="E1266" s="12">
        <f>'3_Survival_Probs'!D1267</f>
        <v>0.927978641645397</v>
      </c>
      <c r="F1266" s="14">
        <f t="shared" si="46"/>
        <v>7.77279049185564e-5</v>
      </c>
      <c r="G1266" s="32">
        <f>(1-recovery)*notional*C1266*F1266</f>
        <v>420.365463337811</v>
      </c>
      <c r="H1266" s="14">
        <f t="shared" si="47"/>
        <v>1.49719206120317e-5</v>
      </c>
      <c r="I1266" s="33"/>
    </row>
    <row r="1267" spans="1:9">
      <c r="A1267" s="4">
        <v>1265</v>
      </c>
      <c r="B1267" s="6">
        <f>'2_Discount_Factors'!B1268</f>
        <v>3.46575342465753</v>
      </c>
      <c r="C1267" s="6">
        <f>EXP(-r_free*(('2_Discount_Factors'!B1267+'2_Discount_Factors'!B1268)/2))</f>
        <v>0.901287027295315</v>
      </c>
      <c r="D1267" s="6">
        <f>'3_Survival_Probs'!D1267</f>
        <v>0.927978641645397</v>
      </c>
      <c r="E1267" s="6">
        <f>'3_Survival_Probs'!D1268</f>
        <v>0.927900920250457</v>
      </c>
      <c r="F1267" s="8">
        <f t="shared" si="46"/>
        <v>7.77213949398892e-5</v>
      </c>
      <c r="G1267" s="29">
        <f>(1-recovery)*notional*C1267*F1267</f>
        <v>420.295710015707</v>
      </c>
      <c r="H1267" s="8">
        <f t="shared" si="47"/>
        <v>1.51613520964571e-5</v>
      </c>
      <c r="I1267" s="30"/>
    </row>
    <row r="1268" spans="1:9">
      <c r="A1268" s="10">
        <v>1266</v>
      </c>
      <c r="B1268" s="12">
        <f>'2_Discount_Factors'!B1269</f>
        <v>3.46849315068493</v>
      </c>
      <c r="C1268" s="12">
        <f>EXP(-r_free*(('2_Discount_Factors'!B1268+'2_Discount_Factors'!B1269)/2))</f>
        <v>0.901212951953744</v>
      </c>
      <c r="D1268" s="12">
        <f>'3_Survival_Probs'!D1268</f>
        <v>0.927900920250457</v>
      </c>
      <c r="E1268" s="12">
        <f>'3_Survival_Probs'!D1269</f>
        <v>0.927823205364951</v>
      </c>
      <c r="F1268" s="14">
        <f t="shared" si="46"/>
        <v>7.77148855063414e-5</v>
      </c>
      <c r="G1268" s="32">
        <f>(1-recovery)*notional*C1268*F1268</f>
        <v>420.225968267503</v>
      </c>
      <c r="H1268" s="14">
        <f t="shared" si="47"/>
        <v>1.53507203020093e-5</v>
      </c>
      <c r="I1268" s="33"/>
    </row>
    <row r="1269" spans="1:9">
      <c r="A1269" s="4">
        <v>1267</v>
      </c>
      <c r="B1269" s="6">
        <f>'2_Discount_Factors'!B1270</f>
        <v>3.47123287671233</v>
      </c>
      <c r="C1269" s="6">
        <f>EXP(-r_free*(('2_Discount_Factors'!B1269+'2_Discount_Factors'!B1270)/2))</f>
        <v>0.901138882700306</v>
      </c>
      <c r="D1269" s="6">
        <f>'3_Survival_Probs'!D1269</f>
        <v>0.927823205364951</v>
      </c>
      <c r="E1269" s="6">
        <f>'3_Survival_Probs'!D1270</f>
        <v>0.927745496988333</v>
      </c>
      <c r="F1269" s="8">
        <f t="shared" si="46"/>
        <v>7.77083766181352e-5</v>
      </c>
      <c r="G1269" s="29">
        <f>(1-recovery)*notional*C1269*F1269</f>
        <v>420.156238092726</v>
      </c>
      <c r="H1269" s="8">
        <f t="shared" si="47"/>
        <v>1.55400252445255e-5</v>
      </c>
      <c r="I1269" s="30"/>
    </row>
    <row r="1270" spans="1:9">
      <c r="A1270" s="10">
        <v>1268</v>
      </c>
      <c r="B1270" s="12">
        <f>'2_Discount_Factors'!B1271</f>
        <v>3.47397260273973</v>
      </c>
      <c r="C1270" s="12">
        <f>EXP(-r_free*(('2_Discount_Factors'!B1270+'2_Discount_Factors'!B1271)/2))</f>
        <v>0.901064819534503</v>
      </c>
      <c r="D1270" s="12">
        <f>'3_Survival_Probs'!D1270</f>
        <v>0.927745496988333</v>
      </c>
      <c r="E1270" s="12">
        <f>'3_Survival_Probs'!D1271</f>
        <v>0.927667795120058</v>
      </c>
      <c r="F1270" s="14">
        <f t="shared" si="46"/>
        <v>7.77018682749375e-5</v>
      </c>
      <c r="G1270" s="32">
        <f>(1-recovery)*notional*C1270*F1270</f>
        <v>420.086519487902</v>
      </c>
      <c r="H1270" s="14">
        <f t="shared" si="47"/>
        <v>1.57292669397297e-5</v>
      </c>
      <c r="I1270" s="33"/>
    </row>
    <row r="1271" spans="1:9">
      <c r="A1271" s="4">
        <v>1269</v>
      </c>
      <c r="B1271" s="6">
        <f>'2_Discount_Factors'!B1272</f>
        <v>3.47671232876712</v>
      </c>
      <c r="C1271" s="6">
        <f>EXP(-r_free*(('2_Discount_Factors'!B1271+'2_Discount_Factors'!B1272)/2))</f>
        <v>0.900990762455832</v>
      </c>
      <c r="D1271" s="6">
        <f>'3_Survival_Probs'!D1271</f>
        <v>0.927667795120058</v>
      </c>
      <c r="E1271" s="6">
        <f>'3_Survival_Probs'!D1272</f>
        <v>0.927590099759581</v>
      </c>
      <c r="F1271" s="8">
        <f t="shared" si="46"/>
        <v>7.76953604768593e-5</v>
      </c>
      <c r="G1271" s="29">
        <f>(1-recovery)*notional*C1271*F1271</f>
        <v>420.016812451957</v>
      </c>
      <c r="H1271" s="8">
        <f t="shared" si="47"/>
        <v>1.59184454034304e-5</v>
      </c>
      <c r="I1271" s="30"/>
    </row>
    <row r="1272" spans="1:9">
      <c r="A1272" s="10">
        <v>1270</v>
      </c>
      <c r="B1272" s="12">
        <f>'2_Discount_Factors'!B1273</f>
        <v>3.47945205479452</v>
      </c>
      <c r="C1272" s="12">
        <f>EXP(-r_free*(('2_Discount_Factors'!B1272+'2_Discount_Factors'!B1273)/2))</f>
        <v>0.900916711463795</v>
      </c>
      <c r="D1272" s="12">
        <f>'3_Survival_Probs'!D1272</f>
        <v>0.927590099759581</v>
      </c>
      <c r="E1272" s="12">
        <f>'3_Survival_Probs'!D1273</f>
        <v>0.927512410906357</v>
      </c>
      <c r="F1272" s="14">
        <f t="shared" si="46"/>
        <v>7.76888532239006e-5</v>
      </c>
      <c r="G1272" s="32">
        <f>(1-recovery)*notional*C1272*F1272</f>
        <v>419.94711698322</v>
      </c>
      <c r="H1272" s="14">
        <f t="shared" si="47"/>
        <v>1.61075606514112e-5</v>
      </c>
      <c r="I1272" s="33"/>
    </row>
    <row r="1273" spans="1:9">
      <c r="A1273" s="4">
        <v>1271</v>
      </c>
      <c r="B1273" s="6">
        <f>'2_Discount_Factors'!B1274</f>
        <v>3.48219178082192</v>
      </c>
      <c r="C1273" s="6">
        <f>EXP(-r_free*(('2_Discount_Factors'!B1273+'2_Discount_Factors'!B1274)/2))</f>
        <v>0.900842666557891</v>
      </c>
      <c r="D1273" s="6">
        <f>'3_Survival_Probs'!D1273</f>
        <v>0.927512410906357</v>
      </c>
      <c r="E1273" s="6">
        <f>'3_Survival_Probs'!D1274</f>
        <v>0.927434728559841</v>
      </c>
      <c r="F1273" s="8">
        <f t="shared" si="46"/>
        <v>7.76823465159504e-5</v>
      </c>
      <c r="G1273" s="29">
        <f>(1-recovery)*notional*C1273*F1273</f>
        <v>419.877433079417</v>
      </c>
      <c r="H1273" s="8">
        <f t="shared" si="47"/>
        <v>1.62966126994295e-5</v>
      </c>
      <c r="I1273" s="30"/>
    </row>
    <row r="1274" spans="1:9">
      <c r="A1274" s="10">
        <v>1272</v>
      </c>
      <c r="B1274" s="12">
        <f>'2_Discount_Factors'!B1275</f>
        <v>3.48493150684931</v>
      </c>
      <c r="C1274" s="12">
        <f>EXP(-r_free*(('2_Discount_Factors'!B1274+'2_Discount_Factors'!B1275)/2))</f>
        <v>0.900768627737619</v>
      </c>
      <c r="D1274" s="12">
        <f>'3_Survival_Probs'!D1274</f>
        <v>0.927434728559841</v>
      </c>
      <c r="E1274" s="12">
        <f>'3_Survival_Probs'!D1275</f>
        <v>0.927357052719488</v>
      </c>
      <c r="F1274" s="14">
        <f t="shared" si="46"/>
        <v>7.76758403528977e-5</v>
      </c>
      <c r="G1274" s="32">
        <f>(1-recovery)*notional*C1274*F1274</f>
        <v>419.807760738276</v>
      </c>
      <c r="H1274" s="14">
        <f t="shared" si="47"/>
        <v>1.64856015632383e-5</v>
      </c>
      <c r="I1274" s="33"/>
    </row>
    <row r="1275" spans="1:9">
      <c r="A1275" s="4">
        <v>1273</v>
      </c>
      <c r="B1275" s="6">
        <f>'2_Discount_Factors'!B1276</f>
        <v>3.48767123287671</v>
      </c>
      <c r="C1275" s="6">
        <f>EXP(-r_free*(('2_Discount_Factors'!B1275+'2_Discount_Factors'!B1276)/2))</f>
        <v>0.90069459500248</v>
      </c>
      <c r="D1275" s="6">
        <f>'3_Survival_Probs'!D1275</f>
        <v>0.927357052719488</v>
      </c>
      <c r="E1275" s="6">
        <f>'3_Survival_Probs'!D1276</f>
        <v>0.927279383384753</v>
      </c>
      <c r="F1275" s="8">
        <f t="shared" si="46"/>
        <v>7.76693347347424e-5</v>
      </c>
      <c r="G1275" s="29">
        <f>(1-recovery)*notional*C1275*F1275</f>
        <v>419.738099958125</v>
      </c>
      <c r="H1275" s="8">
        <f t="shared" si="47"/>
        <v>1.66745272586105e-5</v>
      </c>
      <c r="I1275" s="30"/>
    </row>
    <row r="1276" spans="1:9">
      <c r="A1276" s="10">
        <v>1274</v>
      </c>
      <c r="B1276" s="12">
        <f>'2_Discount_Factors'!B1277</f>
        <v>3.49041095890411</v>
      </c>
      <c r="C1276" s="12">
        <f>EXP(-r_free*(('2_Discount_Factors'!B1276+'2_Discount_Factors'!B1277)/2))</f>
        <v>0.900620568351972</v>
      </c>
      <c r="D1276" s="12">
        <f>'3_Survival_Probs'!D1276</f>
        <v>0.927279383384753</v>
      </c>
      <c r="E1276" s="12">
        <f>'3_Survival_Probs'!D1277</f>
        <v>0.927201720555092</v>
      </c>
      <c r="F1276" s="14">
        <f t="shared" si="46"/>
        <v>7.76628296614845e-5</v>
      </c>
      <c r="G1276" s="32">
        <f>(1-recovery)*notional*C1276*F1276</f>
        <v>419.668450737292</v>
      </c>
      <c r="H1276" s="14">
        <f t="shared" si="47"/>
        <v>1.68633898013159e-5</v>
      </c>
      <c r="I1276" s="33"/>
    </row>
    <row r="1277" spans="1:9">
      <c r="A1277" s="4">
        <v>1275</v>
      </c>
      <c r="B1277" s="6">
        <f>'2_Discount_Factors'!B1278</f>
        <v>3.49315068493151</v>
      </c>
      <c r="C1277" s="6">
        <f>EXP(-r_free*(('2_Discount_Factors'!B1277+'2_Discount_Factors'!B1278)/2))</f>
        <v>0.900546547785598</v>
      </c>
      <c r="D1277" s="6">
        <f>'3_Survival_Probs'!D1277</f>
        <v>0.927201720555092</v>
      </c>
      <c r="E1277" s="6">
        <f>'3_Survival_Probs'!D1278</f>
        <v>0.927124064229959</v>
      </c>
      <c r="F1277" s="8">
        <f t="shared" si="46"/>
        <v>7.76563251331241e-5</v>
      </c>
      <c r="G1277" s="29">
        <f>(1-recovery)*notional*C1277*F1277</f>
        <v>419.598813074105</v>
      </c>
      <c r="H1277" s="8">
        <f t="shared" si="47"/>
        <v>1.70521892071212e-5</v>
      </c>
      <c r="I1277" s="30"/>
    </row>
    <row r="1278" spans="1:9">
      <c r="A1278" s="10">
        <v>1276</v>
      </c>
      <c r="B1278" s="12">
        <f>'2_Discount_Factors'!B1279</f>
        <v>3.4958904109589</v>
      </c>
      <c r="C1278" s="12">
        <f>EXP(-r_free*(('2_Discount_Factors'!B1278+'2_Discount_Factors'!B1279)/2))</f>
        <v>0.900472533302855</v>
      </c>
      <c r="D1278" s="12">
        <f>'3_Survival_Probs'!D1278</f>
        <v>0.927124064229959</v>
      </c>
      <c r="E1278" s="12">
        <f>'3_Survival_Probs'!D1279</f>
        <v>0.927046414408809</v>
      </c>
      <c r="F1278" s="14">
        <f t="shared" si="46"/>
        <v>7.76498211494392e-5</v>
      </c>
      <c r="G1278" s="32">
        <f>(1-recovery)*notional*C1278*F1278</f>
        <v>419.529186965695</v>
      </c>
      <c r="H1278" s="14">
        <f t="shared" si="47"/>
        <v>1.72409254917409e-5</v>
      </c>
      <c r="I1278" s="33"/>
    </row>
    <row r="1279" spans="1:9">
      <c r="A1279" s="34">
        <v>1277</v>
      </c>
      <c r="B1279" s="35">
        <f>'2_Discount_Factors'!B1280</f>
        <v>3.4986301369863</v>
      </c>
      <c r="C1279" s="35">
        <f>EXP(-r_free*(('2_Discount_Factors'!B1279+'2_Discount_Factors'!B1280)/2))</f>
        <v>0.900398524903244</v>
      </c>
      <c r="D1279" s="35">
        <f>'3_Survival_Probs'!D1279</f>
        <v>0.927046414408809</v>
      </c>
      <c r="E1279" s="35">
        <f>'3_Survival_Probs'!D1280</f>
        <v>0.926968771091099</v>
      </c>
      <c r="F1279" s="36">
        <f t="shared" si="46"/>
        <v>7.76433177105407e-5</v>
      </c>
      <c r="G1279" s="37">
        <f>(1-recovery)*notional*C1279*F1279</f>
        <v>419.459572410989</v>
      </c>
      <c r="H1279" s="36">
        <f t="shared" si="47"/>
        <v>1.74295986709589e-5</v>
      </c>
      <c r="I1279" s="38" t="s">
        <v>71</v>
      </c>
    </row>
    <row r="1280" spans="1:9">
      <c r="A1280" s="10">
        <v>1278</v>
      </c>
      <c r="B1280" s="12">
        <f>'2_Discount_Factors'!B1281</f>
        <v>3.5013698630137</v>
      </c>
      <c r="C1280" s="12">
        <f>EXP(-r_free*(('2_Discount_Factors'!B1280+'2_Discount_Factors'!B1281)/2))</f>
        <v>0.900324522586266</v>
      </c>
      <c r="D1280" s="12">
        <f>'3_Survival_Probs'!D1280</f>
        <v>0.926968771091099</v>
      </c>
      <c r="E1280" s="12">
        <f>'3_Survival_Probs'!D1281</f>
        <v>0.926891134276282</v>
      </c>
      <c r="F1280" s="14">
        <f t="shared" si="46"/>
        <v>7.76368148163176e-5</v>
      </c>
      <c r="G1280" s="32">
        <f>(1-recovery)*notional*C1280*F1280</f>
        <v>419.389969407717</v>
      </c>
      <c r="H1280" s="14">
        <f t="shared" ref="H1280:H1343" si="48">C1280*(B1280-3.4986301369863)*F1280</f>
        <v>1.91502269136044e-7</v>
      </c>
      <c r="I1280" s="33"/>
    </row>
    <row r="1281" spans="1:9">
      <c r="A1281" s="4">
        <v>1279</v>
      </c>
      <c r="B1281" s="6">
        <f>'2_Discount_Factors'!B1282</f>
        <v>3.5041095890411</v>
      </c>
      <c r="C1281" s="6">
        <f>EXP(-r_free*(('2_Discount_Factors'!B1281+'2_Discount_Factors'!B1282)/2))</f>
        <v>0.900250526351419</v>
      </c>
      <c r="D1281" s="6">
        <f>'3_Survival_Probs'!D1281</f>
        <v>0.926891134276282</v>
      </c>
      <c r="E1281" s="6">
        <f>'3_Survival_Probs'!D1282</f>
        <v>0.926813503963816</v>
      </c>
      <c r="F1281" s="8">
        <f t="shared" si="46"/>
        <v>7.76303124666589e-5</v>
      </c>
      <c r="G1281" s="29">
        <f>(1-recovery)*notional*C1281*F1281</f>
        <v>419.320377953609</v>
      </c>
      <c r="H1281" s="8">
        <f t="shared" si="48"/>
        <v>3.82940984432627e-7</v>
      </c>
      <c r="I1281" s="30"/>
    </row>
    <row r="1282" spans="1:9">
      <c r="A1282" s="10">
        <v>1280</v>
      </c>
      <c r="B1282" s="12">
        <f>'2_Discount_Factors'!B1283</f>
        <v>3.50684931506849</v>
      </c>
      <c r="C1282" s="12">
        <f>EXP(-r_free*(('2_Discount_Factors'!B1282+'2_Discount_Factors'!B1283)/2))</f>
        <v>0.900176536198206</v>
      </c>
      <c r="D1282" s="12">
        <f>'3_Survival_Probs'!D1282</f>
        <v>0.926813503963816</v>
      </c>
      <c r="E1282" s="12">
        <f>'3_Survival_Probs'!D1283</f>
        <v>0.926735880153154</v>
      </c>
      <c r="F1282" s="14">
        <f t="shared" si="46"/>
        <v>7.76238106616756e-5</v>
      </c>
      <c r="G1282" s="32">
        <f>(1-recovery)*notional*C1282*F1282</f>
        <v>419.250798047595</v>
      </c>
      <c r="H1282" s="14">
        <f t="shared" si="48"/>
        <v>5.74316161709117e-7</v>
      </c>
      <c r="I1282" s="33"/>
    </row>
    <row r="1283" spans="1:9">
      <c r="A1283" s="4">
        <v>1281</v>
      </c>
      <c r="B1283" s="6">
        <f>'2_Discount_Factors'!B1284</f>
        <v>3.50958904109589</v>
      </c>
      <c r="C1283" s="6">
        <f>EXP(-r_free*(('2_Discount_Factors'!B1283+'2_Discount_Factors'!B1284)/2))</f>
        <v>0.900102552126124</v>
      </c>
      <c r="D1283" s="6">
        <f>'3_Survival_Probs'!D1283</f>
        <v>0.926735880153154</v>
      </c>
      <c r="E1283" s="6">
        <f>'3_Survival_Probs'!D1284</f>
        <v>0.926658262843753</v>
      </c>
      <c r="F1283" s="8">
        <f t="shared" ref="F1283:F1346" si="49">D1283-E1283</f>
        <v>7.76173094012567e-5</v>
      </c>
      <c r="G1283" s="29">
        <f>(1-recovery)*notional*C1283*F1283</f>
        <v>419.181229687405</v>
      </c>
      <c r="H1283" s="8">
        <f t="shared" si="48"/>
        <v>7.65627816780738e-7</v>
      </c>
      <c r="I1283" s="30"/>
    </row>
    <row r="1284" spans="1:9">
      <c r="A1284" s="10">
        <v>1282</v>
      </c>
      <c r="B1284" s="12">
        <f>'2_Discount_Factors'!B1285</f>
        <v>3.51232876712329</v>
      </c>
      <c r="C1284" s="12">
        <f>EXP(-r_free*(('2_Discount_Factors'!B1284+'2_Discount_Factors'!B1285)/2))</f>
        <v>0.900028574134676</v>
      </c>
      <c r="D1284" s="12">
        <f>'3_Survival_Probs'!D1284</f>
        <v>0.926658262843753</v>
      </c>
      <c r="E1284" s="12">
        <f>'3_Survival_Probs'!D1285</f>
        <v>0.926580652035067</v>
      </c>
      <c r="F1284" s="14">
        <f t="shared" si="49"/>
        <v>7.76108086852911e-5</v>
      </c>
      <c r="G1284" s="32">
        <f>(1-recovery)*notional*C1284*F1284</f>
        <v>419.11167287077</v>
      </c>
      <c r="H1284" s="14">
        <f t="shared" si="48"/>
        <v>9.56875965458476e-7</v>
      </c>
      <c r="I1284" s="33"/>
    </row>
    <row r="1285" spans="1:9">
      <c r="A1285" s="4">
        <v>1283</v>
      </c>
      <c r="B1285" s="6">
        <f>'2_Discount_Factors'!B1286</f>
        <v>3.51506849315068</v>
      </c>
      <c r="C1285" s="6">
        <f>EXP(-r_free*(('2_Discount_Factors'!B1285+'2_Discount_Factors'!B1286)/2))</f>
        <v>0.89995460222336</v>
      </c>
      <c r="D1285" s="6">
        <f>'3_Survival_Probs'!D1285</f>
        <v>0.926580652035067</v>
      </c>
      <c r="E1285" s="6">
        <f>'3_Survival_Probs'!D1286</f>
        <v>0.926503047726554</v>
      </c>
      <c r="F1285" s="8">
        <f t="shared" si="49"/>
        <v>7.7604308513779e-5</v>
      </c>
      <c r="G1285" s="29">
        <f>(1-recovery)*notional*C1285*F1285</f>
        <v>419.042127596021</v>
      </c>
      <c r="H1285" s="8">
        <f t="shared" si="48"/>
        <v>1.14806062355085e-6</v>
      </c>
      <c r="I1285" s="30"/>
    </row>
    <row r="1286" spans="1:9">
      <c r="A1286" s="10">
        <v>1284</v>
      </c>
      <c r="B1286" s="12">
        <f>'2_Discount_Factors'!B1287</f>
        <v>3.51780821917808</v>
      </c>
      <c r="C1286" s="12">
        <f>EXP(-r_free*(('2_Discount_Factors'!B1286+'2_Discount_Factors'!B1287)/2))</f>
        <v>0.899880636391678</v>
      </c>
      <c r="D1286" s="12">
        <f>'3_Survival_Probs'!D1286</f>
        <v>0.926503047726554</v>
      </c>
      <c r="E1286" s="12">
        <f>'3_Survival_Probs'!D1287</f>
        <v>0.926425449917667</v>
      </c>
      <c r="F1286" s="14">
        <f t="shared" si="49"/>
        <v>7.75978088867202e-5</v>
      </c>
      <c r="G1286" s="32">
        <f>(1-recovery)*notional*C1286*F1286</f>
        <v>418.972593861489</v>
      </c>
      <c r="H1286" s="14">
        <f t="shared" si="48"/>
        <v>1.33918180686332e-6</v>
      </c>
      <c r="I1286" s="33"/>
    </row>
    <row r="1287" spans="1:9">
      <c r="A1287" s="4">
        <v>1285</v>
      </c>
      <c r="B1287" s="6">
        <f>'2_Discount_Factors'!B1288</f>
        <v>3.52054794520548</v>
      </c>
      <c r="C1287" s="6">
        <f>EXP(-r_free*(('2_Discount_Factors'!B1287+'2_Discount_Factors'!B1288)/2))</f>
        <v>0.899806676639129</v>
      </c>
      <c r="D1287" s="6">
        <f>'3_Survival_Probs'!D1287</f>
        <v>0.926425449917667</v>
      </c>
      <c r="E1287" s="6">
        <f>'3_Survival_Probs'!D1288</f>
        <v>0.926347858607863</v>
      </c>
      <c r="F1287" s="8">
        <f t="shared" si="49"/>
        <v>7.75913098040037e-5</v>
      </c>
      <c r="G1287" s="29">
        <f>(1-recovery)*notional*C1287*F1287</f>
        <v>418.903071664906</v>
      </c>
      <c r="H1287" s="8">
        <f t="shared" si="48"/>
        <v>1.53023953119609e-6</v>
      </c>
      <c r="I1287" s="30"/>
    </row>
    <row r="1288" spans="1:9">
      <c r="A1288" s="10">
        <v>1286</v>
      </c>
      <c r="B1288" s="12">
        <f>'2_Discount_Factors'!B1289</f>
        <v>3.52328767123288</v>
      </c>
      <c r="C1288" s="12">
        <f>EXP(-r_free*(('2_Discount_Factors'!B1288+'2_Discount_Factors'!B1289)/2))</f>
        <v>0.899732722965215</v>
      </c>
      <c r="D1288" s="12">
        <f>'3_Survival_Probs'!D1288</f>
        <v>0.926347858607863</v>
      </c>
      <c r="E1288" s="12">
        <f>'3_Survival_Probs'!D1289</f>
        <v>0.926270273796597</v>
      </c>
      <c r="F1288" s="14">
        <f t="shared" si="49"/>
        <v>7.75848112655186e-5</v>
      </c>
      <c r="G1288" s="32">
        <f>(1-recovery)*notional*C1288*F1288</f>
        <v>418.833561004004</v>
      </c>
      <c r="H1288" s="14">
        <f t="shared" si="48"/>
        <v>1.72123381234532e-6</v>
      </c>
      <c r="I1288" s="33"/>
    </row>
    <row r="1289" spans="1:9">
      <c r="A1289" s="4">
        <v>1287</v>
      </c>
      <c r="B1289" s="6">
        <f>'2_Discount_Factors'!B1290</f>
        <v>3.52602739726027</v>
      </c>
      <c r="C1289" s="6">
        <f>EXP(-r_free*(('2_Discount_Factors'!B1289+'2_Discount_Factors'!B1290)/2))</f>
        <v>0.899658775369434</v>
      </c>
      <c r="D1289" s="6">
        <f>'3_Survival_Probs'!D1289</f>
        <v>0.926270273796597</v>
      </c>
      <c r="E1289" s="6">
        <f>'3_Survival_Probs'!D1290</f>
        <v>0.926192695483326</v>
      </c>
      <c r="F1289" s="8">
        <f t="shared" si="49"/>
        <v>7.75783132714869e-5</v>
      </c>
      <c r="G1289" s="29">
        <f>(1-recovery)*notional*C1289*F1289</f>
        <v>418.764061878313</v>
      </c>
      <c r="H1289" s="8">
        <f t="shared" si="48"/>
        <v>1.91216466611112e-6</v>
      </c>
      <c r="I1289" s="30"/>
    </row>
    <row r="1290" spans="1:9">
      <c r="A1290" s="10">
        <v>1288</v>
      </c>
      <c r="B1290" s="12">
        <f>'2_Discount_Factors'!B1291</f>
        <v>3.52876712328767</v>
      </c>
      <c r="C1290" s="12">
        <f>EXP(-r_free*(('2_Discount_Factors'!B1290+'2_Discount_Factors'!B1291)/2))</f>
        <v>0.899584833851289</v>
      </c>
      <c r="D1290" s="12">
        <f>'3_Survival_Probs'!D1290</f>
        <v>0.926192695483326</v>
      </c>
      <c r="E1290" s="12">
        <f>'3_Survival_Probs'!D1291</f>
        <v>0.926115123667504</v>
      </c>
      <c r="F1290" s="14">
        <f t="shared" si="49"/>
        <v>7.75718158215755e-5</v>
      </c>
      <c r="G1290" s="32">
        <f>(1-recovery)*notional*C1290*F1290</f>
        <v>418.694574284368</v>
      </c>
      <c r="H1290" s="14">
        <f t="shared" si="48"/>
        <v>2.10303210827776e-6</v>
      </c>
      <c r="I1290" s="33"/>
    </row>
    <row r="1291" spans="1:9">
      <c r="A1291" s="4">
        <v>1289</v>
      </c>
      <c r="B1291" s="6">
        <f>'2_Discount_Factors'!B1292</f>
        <v>3.53150684931507</v>
      </c>
      <c r="C1291" s="6">
        <f>EXP(-r_free*(('2_Discount_Factors'!B1291+'2_Discount_Factors'!B1292)/2))</f>
        <v>0.899510898410279</v>
      </c>
      <c r="D1291" s="6">
        <f>'3_Survival_Probs'!D1291</f>
        <v>0.926115123667504</v>
      </c>
      <c r="E1291" s="6">
        <f>'3_Survival_Probs'!D1292</f>
        <v>0.926037558348588</v>
      </c>
      <c r="F1291" s="8">
        <f t="shared" si="49"/>
        <v>7.75653189158954e-5</v>
      </c>
      <c r="G1291" s="29">
        <f>(1-recovery)*notional*C1291*F1291</f>
        <v>418.625098221101</v>
      </c>
      <c r="H1291" s="8">
        <f t="shared" si="48"/>
        <v>2.29383615463625e-6</v>
      </c>
      <c r="I1291" s="30"/>
    </row>
    <row r="1292" spans="1:9">
      <c r="A1292" s="10">
        <v>1290</v>
      </c>
      <c r="B1292" s="12">
        <f>'2_Discount_Factors'!B1293</f>
        <v>3.53424657534247</v>
      </c>
      <c r="C1292" s="12">
        <f>EXP(-r_free*(('2_Discount_Factors'!B1292+'2_Discount_Factors'!B1293)/2))</f>
        <v>0.899436969045904</v>
      </c>
      <c r="D1292" s="12">
        <f>'3_Survival_Probs'!D1292</f>
        <v>0.926037558348588</v>
      </c>
      <c r="E1292" s="12">
        <f>'3_Survival_Probs'!D1293</f>
        <v>0.925959999526034</v>
      </c>
      <c r="F1292" s="14">
        <f t="shared" si="49"/>
        <v>7.75588225543355e-5</v>
      </c>
      <c r="G1292" s="32">
        <f>(1-recovery)*notional*C1292*F1292</f>
        <v>418.555633686244</v>
      </c>
      <c r="H1292" s="14">
        <f t="shared" si="48"/>
        <v>2.48457682096866e-6</v>
      </c>
      <c r="I1292" s="33"/>
    </row>
    <row r="1293" spans="1:9">
      <c r="A1293" s="4">
        <v>1291</v>
      </c>
      <c r="B1293" s="6">
        <f>'2_Discount_Factors'!B1294</f>
        <v>3.53698630136986</v>
      </c>
      <c r="C1293" s="6">
        <f>EXP(-r_free*(('2_Discount_Factors'!B1293+'2_Discount_Factors'!B1294)/2))</f>
        <v>0.899363045757666</v>
      </c>
      <c r="D1293" s="6">
        <f>'3_Survival_Probs'!D1293</f>
        <v>0.925959999526034</v>
      </c>
      <c r="E1293" s="6">
        <f>'3_Survival_Probs'!D1294</f>
        <v>0.925882447199297</v>
      </c>
      <c r="F1293" s="8">
        <f t="shared" si="49"/>
        <v>7.7552326736785e-5</v>
      </c>
      <c r="G1293" s="29">
        <f>(1-recovery)*notional*C1293*F1293</f>
        <v>418.486180677532</v>
      </c>
      <c r="H1293" s="8">
        <f t="shared" si="48"/>
        <v>2.67525412305281e-6</v>
      </c>
      <c r="I1293" s="30"/>
    </row>
    <row r="1294" spans="1:9">
      <c r="A1294" s="10">
        <v>1292</v>
      </c>
      <c r="B1294" s="12">
        <f>'2_Discount_Factors'!B1295</f>
        <v>3.53972602739726</v>
      </c>
      <c r="C1294" s="12">
        <f>EXP(-r_free*(('2_Discount_Factors'!B1294+'2_Discount_Factors'!B1295)/2))</f>
        <v>0.899289128545065</v>
      </c>
      <c r="D1294" s="12">
        <f>'3_Survival_Probs'!D1294</f>
        <v>0.925882447199297</v>
      </c>
      <c r="E1294" s="12">
        <f>'3_Survival_Probs'!D1295</f>
        <v>0.925804901367834</v>
      </c>
      <c r="F1294" s="14">
        <f t="shared" si="49"/>
        <v>7.75458314633548e-5</v>
      </c>
      <c r="G1294" s="32">
        <f>(1-recovery)*notional*C1294*F1294</f>
        <v>418.416739193897</v>
      </c>
      <c r="H1294" s="14">
        <f t="shared" si="48"/>
        <v>2.86586807667063e-6</v>
      </c>
      <c r="I1294" s="33"/>
    </row>
    <row r="1295" spans="1:9">
      <c r="A1295" s="4">
        <v>1293</v>
      </c>
      <c r="B1295" s="6">
        <f>'2_Discount_Factors'!B1296</f>
        <v>3.54246575342466</v>
      </c>
      <c r="C1295" s="6">
        <f>EXP(-r_free*(('2_Discount_Factors'!B1295+'2_Discount_Factors'!B1296)/2))</f>
        <v>0.899215217407602</v>
      </c>
      <c r="D1295" s="6">
        <f>'3_Survival_Probs'!D1295</f>
        <v>0.925804901367834</v>
      </c>
      <c r="E1295" s="6">
        <f>'3_Survival_Probs'!D1296</f>
        <v>0.9257273620311</v>
      </c>
      <c r="F1295" s="8">
        <f t="shared" si="49"/>
        <v>7.75393367339339e-5</v>
      </c>
      <c r="G1295" s="29">
        <f>(1-recovery)*notional*C1295*F1295</f>
        <v>418.347309233074</v>
      </c>
      <c r="H1295" s="8">
        <f t="shared" si="48"/>
        <v>3.05641869759334e-6</v>
      </c>
      <c r="I1295" s="30"/>
    </row>
    <row r="1296" spans="1:9">
      <c r="A1296" s="10">
        <v>1294</v>
      </c>
      <c r="B1296" s="12">
        <f>'2_Discount_Factors'!B1297</f>
        <v>3.54520547945205</v>
      </c>
      <c r="C1296" s="12">
        <f>EXP(-r_free*(('2_Discount_Factors'!B1296+'2_Discount_Factors'!B1297)/2))</f>
        <v>0.899141312344777</v>
      </c>
      <c r="D1296" s="12">
        <f>'3_Survival_Probs'!D1296</f>
        <v>0.9257273620311</v>
      </c>
      <c r="E1296" s="12">
        <f>'3_Survival_Probs'!D1297</f>
        <v>0.925649829188552</v>
      </c>
      <c r="F1296" s="14">
        <f t="shared" si="49"/>
        <v>7.75328425485222e-5</v>
      </c>
      <c r="G1296" s="32">
        <f>(1-recovery)*notional*C1296*F1296</f>
        <v>418.277890793395</v>
      </c>
      <c r="H1296" s="14">
        <f t="shared" si="48"/>
        <v>3.24690600159265e-6</v>
      </c>
      <c r="I1296" s="33"/>
    </row>
    <row r="1297" spans="1:9">
      <c r="A1297" s="4">
        <v>1295</v>
      </c>
      <c r="B1297" s="6">
        <f>'2_Discount_Factors'!B1298</f>
        <v>3.54794520547945</v>
      </c>
      <c r="C1297" s="6">
        <f>EXP(-r_free*(('2_Discount_Factors'!B1297+'2_Discount_Factors'!B1298)/2))</f>
        <v>0.899067413356091</v>
      </c>
      <c r="D1297" s="6">
        <f>'3_Survival_Probs'!D1297</f>
        <v>0.925649829188552</v>
      </c>
      <c r="E1297" s="6">
        <f>'3_Survival_Probs'!D1298</f>
        <v>0.925572302839645</v>
      </c>
      <c r="F1297" s="8">
        <f t="shared" si="49"/>
        <v>7.75263489068978e-5</v>
      </c>
      <c r="G1297" s="29">
        <f>(1-recovery)*notional*C1297*F1297</f>
        <v>418.208483871999</v>
      </c>
      <c r="H1297" s="8">
        <f t="shared" si="48"/>
        <v>3.43733000442748e-6</v>
      </c>
      <c r="I1297" s="30"/>
    </row>
    <row r="1298" spans="1:9">
      <c r="A1298" s="10">
        <v>1296</v>
      </c>
      <c r="B1298" s="12">
        <f>'2_Discount_Factors'!B1299</f>
        <v>3.55068493150685</v>
      </c>
      <c r="C1298" s="12">
        <f>EXP(-r_free*(('2_Discount_Factors'!B1298+'2_Discount_Factors'!B1299)/2))</f>
        <v>0.898993520441045</v>
      </c>
      <c r="D1298" s="12">
        <f>'3_Survival_Probs'!D1298</f>
        <v>0.925572302839645</v>
      </c>
      <c r="E1298" s="12">
        <f>'3_Survival_Probs'!D1299</f>
        <v>0.925494782983835</v>
      </c>
      <c r="F1298" s="14">
        <f t="shared" si="49"/>
        <v>7.75198558091716e-5</v>
      </c>
      <c r="G1298" s="32">
        <f>(1-recovery)*notional*C1298*F1298</f>
        <v>418.139088467817</v>
      </c>
      <c r="H1298" s="14">
        <f t="shared" si="48"/>
        <v>3.627690721867e-6</v>
      </c>
      <c r="I1298" s="33"/>
    </row>
    <row r="1299" spans="1:9">
      <c r="A1299" s="4">
        <v>1297</v>
      </c>
      <c r="B1299" s="6">
        <f>'2_Discount_Factors'!B1300</f>
        <v>3.55342465753425</v>
      </c>
      <c r="C1299" s="6">
        <f>EXP(-r_free*(('2_Discount_Factors'!B1299+'2_Discount_Factors'!B1300)/2))</f>
        <v>0.89891963359914</v>
      </c>
      <c r="D1299" s="6">
        <f>'3_Survival_Probs'!D1299</f>
        <v>0.925494782983835</v>
      </c>
      <c r="E1299" s="6">
        <f>'3_Survival_Probs'!D1300</f>
        <v>0.92541726962058</v>
      </c>
      <c r="F1299" s="8">
        <f t="shared" si="49"/>
        <v>7.75133632553437e-5</v>
      </c>
      <c r="G1299" s="29">
        <f>(1-recovery)*notional*C1299*F1299</f>
        <v>418.069704579184</v>
      </c>
      <c r="H1299" s="8">
        <f t="shared" si="48"/>
        <v>3.81798816967302e-6</v>
      </c>
      <c r="I1299" s="30"/>
    </row>
    <row r="1300" spans="1:9">
      <c r="A1300" s="10">
        <v>1298</v>
      </c>
      <c r="B1300" s="12">
        <f>'2_Discount_Factors'!B1301</f>
        <v>3.55616438356164</v>
      </c>
      <c r="C1300" s="12">
        <f>EXP(-r_free*(('2_Discount_Factors'!B1300+'2_Discount_Factors'!B1301)/2))</f>
        <v>0.898845752829876</v>
      </c>
      <c r="D1300" s="12">
        <f>'3_Survival_Probs'!D1300</f>
        <v>0.92541726962058</v>
      </c>
      <c r="E1300" s="12">
        <f>'3_Survival_Probs'!D1301</f>
        <v>0.925339762749335</v>
      </c>
      <c r="F1300" s="14">
        <f t="shared" si="49"/>
        <v>7.75068712451921e-5</v>
      </c>
      <c r="G1300" s="32">
        <f>(1-recovery)*notional*C1300*F1300</f>
        <v>418.000332203238</v>
      </c>
      <c r="H1300" s="14">
        <f t="shared" si="48"/>
        <v>4.00822236359277e-6</v>
      </c>
      <c r="I1300" s="33"/>
    </row>
    <row r="1301" spans="1:9">
      <c r="A1301" s="4">
        <v>1299</v>
      </c>
      <c r="B1301" s="6">
        <f>'2_Discount_Factors'!B1302</f>
        <v>3.55890410958904</v>
      </c>
      <c r="C1301" s="6">
        <f>EXP(-r_free*(('2_Discount_Factors'!B1301+'2_Discount_Factors'!B1302)/2))</f>
        <v>0.898771878132755</v>
      </c>
      <c r="D1301" s="6">
        <f>'3_Survival_Probs'!D1301</f>
        <v>0.925339762749335</v>
      </c>
      <c r="E1301" s="6">
        <f>'3_Survival_Probs'!D1302</f>
        <v>0.925262262369556</v>
      </c>
      <c r="F1301" s="8">
        <f t="shared" si="49"/>
        <v>7.75003797788276e-5</v>
      </c>
      <c r="G1301" s="29">
        <f>(1-recovery)*notional*C1301*F1301</f>
        <v>417.930971338912</v>
      </c>
      <c r="H1301" s="8">
        <f t="shared" si="48"/>
        <v>4.19839331938642e-6</v>
      </c>
      <c r="I1301" s="30"/>
    </row>
    <row r="1302" spans="1:9">
      <c r="A1302" s="10">
        <v>1300</v>
      </c>
      <c r="B1302" s="12">
        <f>'2_Discount_Factors'!B1303</f>
        <v>3.56164383561644</v>
      </c>
      <c r="C1302" s="12">
        <f>EXP(-r_free*(('2_Discount_Factors'!B1302+'2_Discount_Factors'!B1303)/2))</f>
        <v>0.898698009507277</v>
      </c>
      <c r="D1302" s="12">
        <f>'3_Survival_Probs'!D1302</f>
        <v>0.925262262369556</v>
      </c>
      <c r="E1302" s="12">
        <f>'3_Survival_Probs'!D1303</f>
        <v>0.9251847684807</v>
      </c>
      <c r="F1302" s="14">
        <f t="shared" si="49"/>
        <v>7.74938888561394e-5</v>
      </c>
      <c r="G1302" s="32">
        <f>(1-recovery)*notional*C1302*F1302</f>
        <v>417.861621983944</v>
      </c>
      <c r="H1302" s="14">
        <f t="shared" si="48"/>
        <v>4.38850105279951e-6</v>
      </c>
      <c r="I1302" s="33"/>
    </row>
    <row r="1303" spans="1:9">
      <c r="A1303" s="4">
        <v>1301</v>
      </c>
      <c r="B1303" s="6">
        <f>'2_Discount_Factors'!B1304</f>
        <v>3.56438356164384</v>
      </c>
      <c r="C1303" s="6">
        <f>EXP(-r_free*(('2_Discount_Factors'!B1303+'2_Discount_Factors'!B1304)/2))</f>
        <v>0.898624146952944</v>
      </c>
      <c r="D1303" s="6">
        <f>'3_Survival_Probs'!D1303</f>
        <v>0.9251847684807</v>
      </c>
      <c r="E1303" s="6">
        <f>'3_Survival_Probs'!D1304</f>
        <v>0.925107281082223</v>
      </c>
      <c r="F1303" s="8">
        <f t="shared" si="49"/>
        <v>7.74873984771274e-5</v>
      </c>
      <c r="G1303" s="29">
        <f>(1-recovery)*notional*C1303*F1303</f>
        <v>417.792284136668</v>
      </c>
      <c r="H1303" s="8">
        <f t="shared" si="48"/>
        <v>4.57854557958003e-6</v>
      </c>
      <c r="I1303" s="30"/>
    </row>
    <row r="1304" spans="1:9">
      <c r="A1304" s="10">
        <v>1302</v>
      </c>
      <c r="B1304" s="12">
        <f>'2_Discount_Factors'!B1305</f>
        <v>3.56712328767123</v>
      </c>
      <c r="C1304" s="12">
        <f>EXP(-r_free*(('2_Discount_Factors'!B1304+'2_Discount_Factors'!B1305)/2))</f>
        <v>0.898550290469255</v>
      </c>
      <c r="D1304" s="12">
        <f>'3_Survival_Probs'!D1304</f>
        <v>0.925107281082223</v>
      </c>
      <c r="E1304" s="12">
        <f>'3_Survival_Probs'!D1305</f>
        <v>0.925029800173581</v>
      </c>
      <c r="F1304" s="14">
        <f t="shared" si="49"/>
        <v>7.74809086416806e-5</v>
      </c>
      <c r="G1304" s="32">
        <f>(1-recovery)*notional*C1304*F1304</f>
        <v>417.722957794823</v>
      </c>
      <c r="H1304" s="14">
        <f t="shared" si="48"/>
        <v>4.7685269154661e-6</v>
      </c>
      <c r="I1304" s="33"/>
    </row>
    <row r="1305" spans="1:9">
      <c r="A1305" s="4">
        <v>1303</v>
      </c>
      <c r="B1305" s="6">
        <f>'2_Discount_Factors'!B1306</f>
        <v>3.56986301369863</v>
      </c>
      <c r="C1305" s="6">
        <f>EXP(-r_free*(('2_Discount_Factors'!B1305+'2_Discount_Factors'!B1306)/2))</f>
        <v>0.898476440055714</v>
      </c>
      <c r="D1305" s="6">
        <f>'3_Survival_Probs'!D1305</f>
        <v>0.925029800173581</v>
      </c>
      <c r="E1305" s="6">
        <f>'3_Survival_Probs'!D1306</f>
        <v>0.924952325754231</v>
      </c>
      <c r="F1305" s="8">
        <f t="shared" si="49"/>
        <v>7.74744193496879e-5</v>
      </c>
      <c r="G1305" s="29">
        <f>(1-recovery)*notional*C1305*F1305</f>
        <v>417.653642956147</v>
      </c>
      <c r="H1305" s="8">
        <f t="shared" si="48"/>
        <v>4.95844507619178e-6</v>
      </c>
      <c r="I1305" s="30"/>
    </row>
    <row r="1306" spans="1:9">
      <c r="A1306" s="10">
        <v>1304</v>
      </c>
      <c r="B1306" s="12">
        <f>'2_Discount_Factors'!B1307</f>
        <v>3.57260273972603</v>
      </c>
      <c r="C1306" s="12">
        <f>EXP(-r_free*(('2_Discount_Factors'!B1306+'2_Discount_Factors'!B1307)/2))</f>
        <v>0.89840259571182</v>
      </c>
      <c r="D1306" s="12">
        <f>'3_Survival_Probs'!D1306</f>
        <v>0.924952325754231</v>
      </c>
      <c r="E1306" s="12">
        <f>'3_Survival_Probs'!D1307</f>
        <v>0.92487485782363</v>
      </c>
      <c r="F1306" s="14">
        <f t="shared" si="49"/>
        <v>7.74679306012604e-5</v>
      </c>
      <c r="G1306" s="32">
        <f>(1-recovery)*notional*C1306*F1306</f>
        <v>417.584339619573</v>
      </c>
      <c r="H1306" s="14">
        <f t="shared" si="48"/>
        <v>5.14830007750168e-6</v>
      </c>
      <c r="I1306" s="33"/>
    </row>
    <row r="1307" spans="1:9">
      <c r="A1307" s="4">
        <v>1305</v>
      </c>
      <c r="B1307" s="6">
        <f>'2_Discount_Factors'!B1308</f>
        <v>3.57534246575342</v>
      </c>
      <c r="C1307" s="6">
        <f>EXP(-r_free*(('2_Discount_Factors'!B1307+'2_Discount_Factors'!B1308)/2))</f>
        <v>0.898328757437074</v>
      </c>
      <c r="D1307" s="6">
        <f>'3_Survival_Probs'!D1307</f>
        <v>0.92487485782363</v>
      </c>
      <c r="E1307" s="6">
        <f>'3_Survival_Probs'!D1308</f>
        <v>0.924797396381234</v>
      </c>
      <c r="F1307" s="8">
        <f t="shared" si="49"/>
        <v>7.74614423962872e-5</v>
      </c>
      <c r="G1307" s="29">
        <f>(1-recovery)*notional*C1307*F1307</f>
        <v>417.515047782841</v>
      </c>
      <c r="H1307" s="8">
        <f t="shared" si="48"/>
        <v>5.33809193512318e-6</v>
      </c>
      <c r="I1307" s="30"/>
    </row>
    <row r="1308" spans="1:9">
      <c r="A1308" s="10">
        <v>1306</v>
      </c>
      <c r="B1308" s="12">
        <f>'2_Discount_Factors'!B1309</f>
        <v>3.57808219178082</v>
      </c>
      <c r="C1308" s="12">
        <f>EXP(-r_free*(('2_Discount_Factors'!B1308+'2_Discount_Factors'!B1309)/2))</f>
        <v>0.898254925230979</v>
      </c>
      <c r="D1308" s="12">
        <f>'3_Survival_Probs'!D1308</f>
        <v>0.924797396381234</v>
      </c>
      <c r="E1308" s="12">
        <f>'3_Survival_Probs'!D1309</f>
        <v>0.924719941426499</v>
      </c>
      <c r="F1308" s="14">
        <f t="shared" si="49"/>
        <v>7.7454954734768e-5</v>
      </c>
      <c r="G1308" s="32">
        <f>(1-recovery)*notional*C1308*F1308</f>
        <v>417.445767444288</v>
      </c>
      <c r="H1308" s="14">
        <f t="shared" si="48"/>
        <v>5.52782066478748e-6</v>
      </c>
      <c r="I1308" s="33"/>
    </row>
    <row r="1309" spans="1:9">
      <c r="A1309" s="4">
        <v>1307</v>
      </c>
      <c r="B1309" s="6">
        <f>'2_Discount_Factors'!B1310</f>
        <v>3.58082191780822</v>
      </c>
      <c r="C1309" s="6">
        <f>EXP(-r_free*(('2_Discount_Factors'!B1309+'2_Discount_Factors'!B1310)/2))</f>
        <v>0.898181099093035</v>
      </c>
      <c r="D1309" s="6">
        <f>'3_Survival_Probs'!D1309</f>
        <v>0.924719941426499</v>
      </c>
      <c r="E1309" s="6">
        <f>'3_Survival_Probs'!D1310</f>
        <v>0.924642492958883</v>
      </c>
      <c r="F1309" s="8">
        <f t="shared" si="49"/>
        <v>7.74484676165921e-5</v>
      </c>
      <c r="G1309" s="29">
        <f>(1-recovery)*notional*C1309*F1309</f>
        <v>417.376498601652</v>
      </c>
      <c r="H1309" s="8">
        <f t="shared" si="48"/>
        <v>5.71748628221449e-6</v>
      </c>
      <c r="I1309" s="30"/>
    </row>
    <row r="1310" spans="1:9">
      <c r="A1310" s="10">
        <v>1308</v>
      </c>
      <c r="B1310" s="12">
        <f>'2_Discount_Factors'!B1311</f>
        <v>3.58356164383562</v>
      </c>
      <c r="C1310" s="12">
        <f>EXP(-r_free*(('2_Discount_Factors'!B1310+'2_Discount_Factors'!B1311)/2))</f>
        <v>0.898107279022743</v>
      </c>
      <c r="D1310" s="12">
        <f>'3_Survival_Probs'!D1310</f>
        <v>0.924642492958883</v>
      </c>
      <c r="E1310" s="12">
        <f>'3_Survival_Probs'!D1311</f>
        <v>0.924565050977841</v>
      </c>
      <c r="F1310" s="14">
        <f t="shared" si="49"/>
        <v>7.74419810417593e-5</v>
      </c>
      <c r="G1310" s="32">
        <f>(1-recovery)*notional*C1310*F1310</f>
        <v>417.307241253271</v>
      </c>
      <c r="H1310" s="14">
        <f t="shared" si="48"/>
        <v>5.90708880312859e-6</v>
      </c>
      <c r="I1310" s="33"/>
    </row>
    <row r="1311" spans="1:9">
      <c r="A1311" s="4">
        <v>1309</v>
      </c>
      <c r="B1311" s="6">
        <f>'2_Discount_Factors'!B1312</f>
        <v>3.58630136986301</v>
      </c>
      <c r="C1311" s="6">
        <f>EXP(-r_free*(('2_Discount_Factors'!B1311+'2_Discount_Factors'!B1312)/2))</f>
        <v>0.898033465019604</v>
      </c>
      <c r="D1311" s="6">
        <f>'3_Survival_Probs'!D1311</f>
        <v>0.924565050977841</v>
      </c>
      <c r="E1311" s="6">
        <f>'3_Survival_Probs'!D1312</f>
        <v>0.924487615482831</v>
      </c>
      <c r="F1311" s="8">
        <f t="shared" si="49"/>
        <v>7.74354950101586e-5</v>
      </c>
      <c r="G1311" s="29">
        <f>(1-recovery)*notional*C1311*F1311</f>
        <v>417.237995396886</v>
      </c>
      <c r="H1311" s="8">
        <f t="shared" si="48"/>
        <v>6.09662824324227e-6</v>
      </c>
      <c r="I1311" s="30"/>
    </row>
    <row r="1312" spans="1:9">
      <c r="A1312" s="10">
        <v>1310</v>
      </c>
      <c r="B1312" s="12">
        <f>'2_Discount_Factors'!B1313</f>
        <v>3.58904109589041</v>
      </c>
      <c r="C1312" s="12">
        <f>EXP(-r_free*(('2_Discount_Factors'!B1312+'2_Discount_Factors'!B1313)/2))</f>
        <v>0.897959657083121</v>
      </c>
      <c r="D1312" s="12">
        <f>'3_Survival_Probs'!D1312</f>
        <v>0.924487615482831</v>
      </c>
      <c r="E1312" s="12">
        <f>'3_Survival_Probs'!D1313</f>
        <v>0.924410186473309</v>
      </c>
      <c r="F1312" s="14">
        <f t="shared" si="49"/>
        <v>7.742900952179e-5</v>
      </c>
      <c r="G1312" s="32">
        <f>(1-recovery)*notional*C1312*F1312</f>
        <v>417.168761030834</v>
      </c>
      <c r="H1312" s="14">
        <f t="shared" si="48"/>
        <v>6.28610461827294e-6</v>
      </c>
      <c r="I1312" s="33"/>
    </row>
    <row r="1313" spans="1:9">
      <c r="A1313" s="4">
        <v>1311</v>
      </c>
      <c r="B1313" s="6">
        <f>'2_Discount_Factors'!B1314</f>
        <v>3.59178082191781</v>
      </c>
      <c r="C1313" s="6">
        <f>EXP(-r_free*(('2_Discount_Factors'!B1313+'2_Discount_Factors'!B1314)/2))</f>
        <v>0.897885855212794</v>
      </c>
      <c r="D1313" s="6">
        <f>'3_Survival_Probs'!D1313</f>
        <v>0.924410186473309</v>
      </c>
      <c r="E1313" s="6">
        <f>'3_Survival_Probs'!D1314</f>
        <v>0.924332763948732</v>
      </c>
      <c r="F1313" s="8">
        <f t="shared" si="49"/>
        <v>7.74225245765425e-5</v>
      </c>
      <c r="G1313" s="29">
        <f>(1-recovery)*notional*C1313*F1313</f>
        <v>417.099538152855</v>
      </c>
      <c r="H1313" s="8">
        <f t="shared" si="48"/>
        <v>6.47551794392568e-6</v>
      </c>
      <c r="I1313" s="30"/>
    </row>
    <row r="1314" spans="1:9">
      <c r="A1314" s="10">
        <v>1312</v>
      </c>
      <c r="B1314" s="12">
        <f>'2_Discount_Factors'!B1315</f>
        <v>3.59452054794521</v>
      </c>
      <c r="C1314" s="12">
        <f>EXP(-r_free*(('2_Discount_Factors'!B1314+'2_Discount_Factors'!B1315)/2))</f>
        <v>0.897812059408125</v>
      </c>
      <c r="D1314" s="12">
        <f>'3_Survival_Probs'!D1314</f>
        <v>0.924332763948732</v>
      </c>
      <c r="E1314" s="12">
        <f>'3_Survival_Probs'!D1315</f>
        <v>0.924255347908558</v>
      </c>
      <c r="F1314" s="14">
        <f t="shared" si="49"/>
        <v>7.74160401745272e-5</v>
      </c>
      <c r="G1314" s="32">
        <f>(1-recovery)*notional*C1314*F1314</f>
        <v>417.030326761887</v>
      </c>
      <c r="H1314" s="14">
        <f t="shared" si="48"/>
        <v>6.66486823592065e-6</v>
      </c>
      <c r="I1314" s="33"/>
    </row>
    <row r="1315" spans="1:9">
      <c r="A1315" s="4">
        <v>1313</v>
      </c>
      <c r="B1315" s="6">
        <f>'2_Discount_Factors'!B1316</f>
        <v>3.5972602739726</v>
      </c>
      <c r="C1315" s="6">
        <f>EXP(-r_free*(('2_Discount_Factors'!B1315+'2_Discount_Factors'!B1316)/2))</f>
        <v>0.897738269668616</v>
      </c>
      <c r="D1315" s="6">
        <f>'3_Survival_Probs'!D1315</f>
        <v>0.924255347908558</v>
      </c>
      <c r="E1315" s="6">
        <f>'3_Survival_Probs'!D1316</f>
        <v>0.924177938352242</v>
      </c>
      <c r="F1315" s="8">
        <f t="shared" si="49"/>
        <v>7.74095563155219e-5</v>
      </c>
      <c r="G1315" s="29">
        <f>(1-recovery)*notional*C1315*F1315</f>
        <v>416.961126855072</v>
      </c>
      <c r="H1315" s="8">
        <f t="shared" si="48"/>
        <v>6.85415550994648e-6</v>
      </c>
      <c r="I1315" s="30"/>
    </row>
    <row r="1316" spans="1:9">
      <c r="A1316" s="10">
        <v>1314</v>
      </c>
      <c r="B1316" s="12">
        <f>'2_Discount_Factors'!B1317</f>
        <v>3.6</v>
      </c>
      <c r="C1316" s="12">
        <f>EXP(-r_free*(('2_Discount_Factors'!B1316+'2_Discount_Factors'!B1317)/2))</f>
        <v>0.897664485993767</v>
      </c>
      <c r="D1316" s="12">
        <f>'3_Survival_Probs'!D1316</f>
        <v>0.924177938352242</v>
      </c>
      <c r="E1316" s="12">
        <f>'3_Survival_Probs'!D1317</f>
        <v>0.924100535279243</v>
      </c>
      <c r="F1316" s="14">
        <f t="shared" si="49"/>
        <v>7.74030729996378e-5</v>
      </c>
      <c r="G1316" s="32">
        <f>(1-recovery)*notional*C1316*F1316</f>
        <v>416.891938431347</v>
      </c>
      <c r="H1316" s="14">
        <f t="shared" si="48"/>
        <v>7.04337978171693e-6</v>
      </c>
      <c r="I1316" s="33"/>
    </row>
    <row r="1317" spans="1:9">
      <c r="A1317" s="4">
        <v>1315</v>
      </c>
      <c r="B1317" s="6">
        <f>'2_Discount_Factors'!B1318</f>
        <v>3.6027397260274</v>
      </c>
      <c r="C1317" s="6">
        <f>EXP(-r_free*(('2_Discount_Factors'!B1317+'2_Discount_Factors'!B1318)/2))</f>
        <v>0.897590708383081</v>
      </c>
      <c r="D1317" s="6">
        <f>'3_Survival_Probs'!D1317</f>
        <v>0.924100535279243</v>
      </c>
      <c r="E1317" s="6">
        <f>'3_Survival_Probs'!D1318</f>
        <v>0.924023138689016</v>
      </c>
      <c r="F1317" s="8">
        <f t="shared" si="49"/>
        <v>7.73965902266527e-5</v>
      </c>
      <c r="G1317" s="29">
        <f>(1-recovery)*notional*C1317*F1317</f>
        <v>416.822761487857</v>
      </c>
      <c r="H1317" s="8">
        <f t="shared" si="48"/>
        <v>7.2325410669127e-6</v>
      </c>
      <c r="I1317" s="30"/>
    </row>
    <row r="1318" spans="1:9">
      <c r="A1318" s="10">
        <v>1316</v>
      </c>
      <c r="B1318" s="12">
        <f>'2_Discount_Factors'!B1319</f>
        <v>3.60547945205479</v>
      </c>
      <c r="C1318" s="12">
        <f>EXP(-r_free*(('2_Discount_Factors'!B1318+'2_Discount_Factors'!B1319)/2))</f>
        <v>0.897516936836059</v>
      </c>
      <c r="D1318" s="12">
        <f>'3_Survival_Probs'!D1318</f>
        <v>0.924023138689016</v>
      </c>
      <c r="E1318" s="12">
        <f>'3_Survival_Probs'!D1319</f>
        <v>0.923945748581019</v>
      </c>
      <c r="F1318" s="14">
        <f t="shared" si="49"/>
        <v>7.73901079967887e-5</v>
      </c>
      <c r="G1318" s="32">
        <f>(1-recovery)*notional*C1318*F1318</f>
        <v>416.753596024137</v>
      </c>
      <c r="H1318" s="14">
        <f t="shared" si="48"/>
        <v>7.42163938125185e-6</v>
      </c>
      <c r="I1318" s="33"/>
    </row>
    <row r="1319" spans="1:9">
      <c r="A1319" s="4">
        <v>1317</v>
      </c>
      <c r="B1319" s="6">
        <f>'2_Discount_Factors'!B1320</f>
        <v>3.60821917808219</v>
      </c>
      <c r="C1319" s="6">
        <f>EXP(-r_free*(('2_Discount_Factors'!B1319+'2_Discount_Factors'!B1320)/2))</f>
        <v>0.897443171352202</v>
      </c>
      <c r="D1319" s="6">
        <f>'3_Survival_Probs'!D1319</f>
        <v>0.923945748581019</v>
      </c>
      <c r="E1319" s="6">
        <f>'3_Survival_Probs'!D1320</f>
        <v>0.923868364954709</v>
      </c>
      <c r="F1319" s="8">
        <f t="shared" si="49"/>
        <v>7.73836263097127e-5</v>
      </c>
      <c r="G1319" s="29">
        <f>(1-recovery)*notional*C1319*F1319</f>
        <v>416.684442036734</v>
      </c>
      <c r="H1319" s="8">
        <f t="shared" si="48"/>
        <v>7.61067474039706e-6</v>
      </c>
      <c r="I1319" s="30"/>
    </row>
    <row r="1320" spans="1:9">
      <c r="A1320" s="10">
        <v>1318</v>
      </c>
      <c r="B1320" s="12">
        <f>'2_Discount_Factors'!B1321</f>
        <v>3.61095890410959</v>
      </c>
      <c r="C1320" s="12">
        <f>EXP(-r_free*(('2_Discount_Factors'!B1320+'2_Discount_Factors'!B1321)/2))</f>
        <v>0.897369411931013</v>
      </c>
      <c r="D1320" s="12">
        <f>'3_Survival_Probs'!D1320</f>
        <v>0.923868364954709</v>
      </c>
      <c r="E1320" s="12">
        <f>'3_Survival_Probs'!D1321</f>
        <v>0.923790987809544</v>
      </c>
      <c r="F1320" s="14">
        <f t="shared" si="49"/>
        <v>7.73771451655358e-5</v>
      </c>
      <c r="G1320" s="32">
        <f>(1-recovery)*notional*C1320*F1320</f>
        <v>416.615299524585</v>
      </c>
      <c r="H1320" s="14">
        <f t="shared" si="48"/>
        <v>7.79964716004941e-6</v>
      </c>
      <c r="I1320" s="33"/>
    </row>
    <row r="1321" spans="1:9">
      <c r="A1321" s="4">
        <v>1319</v>
      </c>
      <c r="B1321" s="6">
        <f>'2_Discount_Factors'!B1322</f>
        <v>3.61369863013699</v>
      </c>
      <c r="C1321" s="6">
        <f>EXP(-r_free*(('2_Discount_Factors'!B1321+'2_Discount_Factors'!B1322)/2))</f>
        <v>0.897295658571992</v>
      </c>
      <c r="D1321" s="6">
        <f>'3_Survival_Probs'!D1321</f>
        <v>0.923790987809544</v>
      </c>
      <c r="E1321" s="6">
        <f>'3_Survival_Probs'!D1322</f>
        <v>0.92371361714498</v>
      </c>
      <c r="F1321" s="8">
        <f t="shared" si="49"/>
        <v>7.7370664564147e-5</v>
      </c>
      <c r="G1321" s="29">
        <f>(1-recovery)*notional*C1321*F1321</f>
        <v>416.546168485434</v>
      </c>
      <c r="H1321" s="8">
        <f t="shared" si="48"/>
        <v>7.98855665588514e-6</v>
      </c>
      <c r="I1321" s="30"/>
    </row>
    <row r="1322" spans="1:9">
      <c r="A1322" s="10">
        <v>1320</v>
      </c>
      <c r="B1322" s="12">
        <f>'2_Discount_Factors'!B1323</f>
        <v>3.61643835616438</v>
      </c>
      <c r="C1322" s="12">
        <f>EXP(-r_free*(('2_Discount_Factors'!B1322+'2_Discount_Factors'!B1323)/2))</f>
        <v>0.897221911274643</v>
      </c>
      <c r="D1322" s="12">
        <f>'3_Survival_Probs'!D1322</f>
        <v>0.92371361714498</v>
      </c>
      <c r="E1322" s="12">
        <f>'3_Survival_Probs'!D1323</f>
        <v>0.923636252960474</v>
      </c>
      <c r="F1322" s="14">
        <f t="shared" si="49"/>
        <v>7.73641845055462e-5</v>
      </c>
      <c r="G1322" s="32">
        <f>(1-recovery)*notional*C1322*F1322</f>
        <v>416.477048917622</v>
      </c>
      <c r="H1322" s="14">
        <f t="shared" si="48"/>
        <v>8.17740324358808e-6</v>
      </c>
      <c r="I1322" s="33"/>
    </row>
    <row r="1323" spans="1:9">
      <c r="A1323" s="4">
        <v>1321</v>
      </c>
      <c r="B1323" s="6">
        <f>'2_Discount_Factors'!B1324</f>
        <v>3.61917808219178</v>
      </c>
      <c r="C1323" s="6">
        <f>EXP(-r_free*(('2_Discount_Factors'!B1323+'2_Discount_Factors'!B1324)/2))</f>
        <v>0.897148170038466</v>
      </c>
      <c r="D1323" s="6">
        <f>'3_Survival_Probs'!D1323</f>
        <v>0.923636252960474</v>
      </c>
      <c r="E1323" s="6">
        <f>'3_Survival_Probs'!D1324</f>
        <v>0.923558895255485</v>
      </c>
      <c r="F1323" s="8">
        <f t="shared" si="49"/>
        <v>7.73577049896224e-5</v>
      </c>
      <c r="G1323" s="29">
        <f>(1-recovery)*notional*C1323*F1323</f>
        <v>416.407940818891</v>
      </c>
      <c r="H1323" s="8">
        <f t="shared" si="48"/>
        <v>8.36618693882713e-6</v>
      </c>
      <c r="I1323" s="30"/>
    </row>
    <row r="1324" spans="1:9">
      <c r="A1324" s="10">
        <v>1322</v>
      </c>
      <c r="B1324" s="12">
        <f>'2_Discount_Factors'!B1325</f>
        <v>3.62191780821918</v>
      </c>
      <c r="C1324" s="12">
        <f>EXP(-r_free*(('2_Discount_Factors'!B1324+'2_Discount_Factors'!B1325)/2))</f>
        <v>0.897074434862964</v>
      </c>
      <c r="D1324" s="12">
        <f>'3_Survival_Probs'!D1324</f>
        <v>0.923558895255485</v>
      </c>
      <c r="E1324" s="12">
        <f>'3_Survival_Probs'!D1325</f>
        <v>0.923481544029468</v>
      </c>
      <c r="F1324" s="14">
        <f t="shared" si="49"/>
        <v>7.73512260164866e-5</v>
      </c>
      <c r="G1324" s="32">
        <f>(1-recovery)*notional*C1324*F1324</f>
        <v>416.338844188183</v>
      </c>
      <c r="H1324" s="14">
        <f t="shared" si="48"/>
        <v>8.55490775729152e-6</v>
      </c>
      <c r="I1324" s="33"/>
    </row>
    <row r="1325" spans="1:9">
      <c r="A1325" s="4">
        <v>1323</v>
      </c>
      <c r="B1325" s="6">
        <f>'2_Discount_Factors'!B1326</f>
        <v>3.62465753424658</v>
      </c>
      <c r="C1325" s="6">
        <f>EXP(-r_free*(('2_Discount_Factors'!B1325+'2_Discount_Factors'!B1326)/2))</f>
        <v>0.897000705747638</v>
      </c>
      <c r="D1325" s="6">
        <f>'3_Survival_Probs'!D1325</f>
        <v>0.923481544029468</v>
      </c>
      <c r="E1325" s="6">
        <f>'3_Survival_Probs'!D1326</f>
        <v>0.923404199281882</v>
      </c>
      <c r="F1325" s="8">
        <f t="shared" si="49"/>
        <v>7.73447475859168e-5</v>
      </c>
      <c r="G1325" s="29">
        <f>(1-recovery)*notional*C1325*F1325</f>
        <v>416.269759022642</v>
      </c>
      <c r="H1325" s="8">
        <f t="shared" si="48"/>
        <v>8.74356571463093e-6</v>
      </c>
      <c r="I1325" s="30"/>
    </row>
    <row r="1326" spans="1:9">
      <c r="A1326" s="10">
        <v>1324</v>
      </c>
      <c r="B1326" s="12">
        <f>'2_Discount_Factors'!B1327</f>
        <v>3.62739726027397</v>
      </c>
      <c r="C1326" s="12">
        <f>EXP(-r_free*(('2_Discount_Factors'!B1326+'2_Discount_Factors'!B1327)/2))</f>
        <v>0.89692698269199</v>
      </c>
      <c r="D1326" s="12">
        <f>'3_Survival_Probs'!D1326</f>
        <v>0.923404199281882</v>
      </c>
      <c r="E1326" s="12">
        <f>'3_Survival_Probs'!D1327</f>
        <v>0.923326861012184</v>
      </c>
      <c r="F1326" s="14">
        <f t="shared" si="49"/>
        <v>7.7338269697913e-5</v>
      </c>
      <c r="G1326" s="32">
        <f>(1-recovery)*notional*C1326*F1326</f>
        <v>416.200685320611</v>
      </c>
      <c r="H1326" s="14">
        <f t="shared" si="48"/>
        <v>8.9321608265155e-6</v>
      </c>
      <c r="I1326" s="33"/>
    </row>
    <row r="1327" spans="1:9">
      <c r="A1327" s="4">
        <v>1325</v>
      </c>
      <c r="B1327" s="6">
        <f>'2_Discount_Factors'!B1328</f>
        <v>3.63013698630137</v>
      </c>
      <c r="C1327" s="6">
        <f>EXP(-r_free*(('2_Discount_Factors'!B1327+'2_Discount_Factors'!B1328)/2))</f>
        <v>0.896853265695522</v>
      </c>
      <c r="D1327" s="6">
        <f>'3_Survival_Probs'!D1327</f>
        <v>0.923326861012184</v>
      </c>
      <c r="E1327" s="6">
        <f>'3_Survival_Probs'!D1328</f>
        <v>0.923249529219832</v>
      </c>
      <c r="F1327" s="8">
        <f t="shared" si="49"/>
        <v>7.73317923524752e-5</v>
      </c>
      <c r="G1327" s="29">
        <f>(1-recovery)*notional*C1327*F1327</f>
        <v>416.131623080433</v>
      </c>
      <c r="H1327" s="8">
        <f t="shared" si="48"/>
        <v>9.12069310861231e-6</v>
      </c>
      <c r="I1327" s="30"/>
    </row>
    <row r="1328" spans="1:9">
      <c r="A1328" s="10">
        <v>1326</v>
      </c>
      <c r="B1328" s="12">
        <f>'2_Discount_Factors'!B1329</f>
        <v>3.63287671232877</v>
      </c>
      <c r="C1328" s="12">
        <f>EXP(-r_free*(('2_Discount_Factors'!B1328+'2_Discount_Factors'!B1329)/2))</f>
        <v>0.896779554757737</v>
      </c>
      <c r="D1328" s="12">
        <f>'3_Survival_Probs'!D1328</f>
        <v>0.923249529219832</v>
      </c>
      <c r="E1328" s="12">
        <f>'3_Survival_Probs'!D1329</f>
        <v>0.923172203904282</v>
      </c>
      <c r="F1328" s="14">
        <f t="shared" si="49"/>
        <v>7.73253155496034e-5</v>
      </c>
      <c r="G1328" s="32">
        <f>(1-recovery)*notional*C1328*F1328</f>
        <v>416.062572300449</v>
      </c>
      <c r="H1328" s="14">
        <f t="shared" si="48"/>
        <v>9.30916257658549e-6</v>
      </c>
      <c r="I1328" s="33"/>
    </row>
    <row r="1329" spans="1:9">
      <c r="A1329" s="4">
        <v>1327</v>
      </c>
      <c r="B1329" s="6">
        <f>'2_Discount_Factors'!B1330</f>
        <v>3.63561643835616</v>
      </c>
      <c r="C1329" s="6">
        <f>EXP(-r_free*(('2_Discount_Factors'!B1329+'2_Discount_Factors'!B1330)/2))</f>
        <v>0.896705849878136</v>
      </c>
      <c r="D1329" s="6">
        <f>'3_Survival_Probs'!D1329</f>
        <v>0.923172203904282</v>
      </c>
      <c r="E1329" s="6">
        <f>'3_Survival_Probs'!D1330</f>
        <v>0.923094885064993</v>
      </c>
      <c r="F1329" s="8">
        <f t="shared" si="49"/>
        <v>7.73188392891866e-5</v>
      </c>
      <c r="G1329" s="29">
        <f>(1-recovery)*notional*C1329*F1329</f>
        <v>415.993532978406</v>
      </c>
      <c r="H1329" s="8">
        <f t="shared" si="48"/>
        <v>9.49756924608244e-6</v>
      </c>
      <c r="I1329" s="30"/>
    </row>
    <row r="1330" spans="1:9">
      <c r="A1330" s="10">
        <v>1328</v>
      </c>
      <c r="B1330" s="12">
        <f>'2_Discount_Factors'!B1331</f>
        <v>3.63835616438356</v>
      </c>
      <c r="C1330" s="12">
        <f>EXP(-r_free*(('2_Discount_Factors'!B1330+'2_Discount_Factors'!B1331)/2))</f>
        <v>0.896632151056221</v>
      </c>
      <c r="D1330" s="12">
        <f>'3_Survival_Probs'!D1330</f>
        <v>0.923094885064993</v>
      </c>
      <c r="E1330" s="12">
        <f>'3_Survival_Probs'!D1331</f>
        <v>0.923017572701422</v>
      </c>
      <c r="F1330" s="14">
        <f t="shared" si="49"/>
        <v>7.73123635711137e-5</v>
      </c>
      <c r="G1330" s="32">
        <f>(1-recovery)*notional*C1330*F1330</f>
        <v>415.92450511205</v>
      </c>
      <c r="H1330" s="14">
        <f t="shared" si="48"/>
        <v>9.68591313274647e-6</v>
      </c>
      <c r="I1330" s="33"/>
    </row>
    <row r="1331" spans="1:9">
      <c r="A1331" s="4">
        <v>1329</v>
      </c>
      <c r="B1331" s="6">
        <f>'2_Discount_Factors'!B1332</f>
        <v>3.64109589041096</v>
      </c>
      <c r="C1331" s="6">
        <f>EXP(-r_free*(('2_Discount_Factors'!B1331+'2_Discount_Factors'!B1332)/2))</f>
        <v>0.896558458291495</v>
      </c>
      <c r="D1331" s="6">
        <f>'3_Survival_Probs'!D1331</f>
        <v>0.923017572701422</v>
      </c>
      <c r="E1331" s="6">
        <f>'3_Survival_Probs'!D1332</f>
        <v>0.922940266813027</v>
      </c>
      <c r="F1331" s="8">
        <f t="shared" si="49"/>
        <v>7.73058883953848e-5</v>
      </c>
      <c r="G1331" s="29">
        <f>(1-recovery)*notional*C1331*F1331</f>
        <v>415.855488699723</v>
      </c>
      <c r="H1331" s="8">
        <f t="shared" si="48"/>
        <v>9.87419425223095e-6</v>
      </c>
      <c r="I1331" s="30"/>
    </row>
    <row r="1332" spans="1:9">
      <c r="A1332" s="10">
        <v>1330</v>
      </c>
      <c r="B1332" s="12">
        <f>'2_Discount_Factors'!B1333</f>
        <v>3.64383561643836</v>
      </c>
      <c r="C1332" s="12">
        <f>EXP(-r_free*(('2_Discount_Factors'!B1332+'2_Discount_Factors'!B1333)/2))</f>
        <v>0.896484771583459</v>
      </c>
      <c r="D1332" s="12">
        <f>'3_Survival_Probs'!D1332</f>
        <v>0.922940266813027</v>
      </c>
      <c r="E1332" s="12">
        <f>'3_Survival_Probs'!D1333</f>
        <v>0.922862967399265</v>
      </c>
      <c r="F1332" s="14">
        <f t="shared" si="49"/>
        <v>7.72994137619998e-5</v>
      </c>
      <c r="G1332" s="32">
        <f>(1-recovery)*notional*C1332*F1332</f>
        <v>415.78648373977</v>
      </c>
      <c r="H1332" s="14">
        <f t="shared" si="48"/>
        <v>1.00624126201863e-5</v>
      </c>
      <c r="I1332" s="33"/>
    </row>
    <row r="1333" spans="1:9">
      <c r="A1333" s="4">
        <v>1331</v>
      </c>
      <c r="B1333" s="6">
        <f>'2_Discount_Factors'!B1334</f>
        <v>3.64657534246575</v>
      </c>
      <c r="C1333" s="6">
        <f>EXP(-r_free*(('2_Discount_Factors'!B1333+'2_Discount_Factors'!B1334)/2))</f>
        <v>0.896411090931617</v>
      </c>
      <c r="D1333" s="6">
        <f>'3_Survival_Probs'!D1333</f>
        <v>0.922862967399265</v>
      </c>
      <c r="E1333" s="6">
        <f>'3_Survival_Probs'!D1334</f>
        <v>0.922785674459594</v>
      </c>
      <c r="F1333" s="8">
        <f t="shared" si="49"/>
        <v>7.72929396709587e-5</v>
      </c>
      <c r="G1333" s="29">
        <f>(1-recovery)*notional*C1333*F1333</f>
        <v>415.717490230535</v>
      </c>
      <c r="H1333" s="8">
        <f t="shared" si="48"/>
        <v>1.02505682522599e-5</v>
      </c>
      <c r="I1333" s="30"/>
    </row>
    <row r="1334" spans="1:9">
      <c r="A1334" s="10">
        <v>1332</v>
      </c>
      <c r="B1334" s="12">
        <f>'2_Discount_Factors'!B1335</f>
        <v>3.64931506849315</v>
      </c>
      <c r="C1334" s="12">
        <f>EXP(-r_free*(('2_Discount_Factors'!B1334+'2_Discount_Factors'!B1335)/2))</f>
        <v>0.896337416335469</v>
      </c>
      <c r="D1334" s="12">
        <f>'3_Survival_Probs'!D1334</f>
        <v>0.922785674459594</v>
      </c>
      <c r="E1334" s="12">
        <f>'3_Survival_Probs'!D1335</f>
        <v>0.922708387993472</v>
      </c>
      <c r="F1334" s="14">
        <f t="shared" si="49"/>
        <v>7.72864661220396e-5</v>
      </c>
      <c r="G1334" s="32">
        <f>(1-recovery)*notional*C1334*F1334</f>
        <v>415.648508169166</v>
      </c>
      <c r="H1334" s="14">
        <f t="shared" si="48"/>
        <v>1.04386611640659e-5</v>
      </c>
      <c r="I1334" s="33"/>
    </row>
    <row r="1335" spans="1:9">
      <c r="A1335" s="4">
        <v>1333</v>
      </c>
      <c r="B1335" s="6">
        <f>'2_Discount_Factors'!B1336</f>
        <v>3.65205479452055</v>
      </c>
      <c r="C1335" s="6">
        <f>EXP(-r_free*(('2_Discount_Factors'!B1335+'2_Discount_Factors'!B1336)/2))</f>
        <v>0.896263747794519</v>
      </c>
      <c r="D1335" s="6">
        <f>'3_Survival_Probs'!D1335</f>
        <v>0.922708387993472</v>
      </c>
      <c r="E1335" s="6">
        <f>'3_Survival_Probs'!D1336</f>
        <v>0.922631108000356</v>
      </c>
      <c r="F1335" s="8">
        <f t="shared" si="49"/>
        <v>7.72799931153534e-5</v>
      </c>
      <c r="G1335" s="29">
        <f>(1-recovery)*notional*C1335*F1335</f>
        <v>415.579537554607</v>
      </c>
      <c r="H1335" s="8">
        <f t="shared" si="48"/>
        <v>1.06266913712595e-5</v>
      </c>
      <c r="I1335" s="30"/>
    </row>
    <row r="1336" spans="1:9">
      <c r="A1336" s="10">
        <v>1334</v>
      </c>
      <c r="B1336" s="12">
        <f>'2_Discount_Factors'!B1337</f>
        <v>3.65479452054794</v>
      </c>
      <c r="C1336" s="12">
        <f>EXP(-r_free*(('2_Discount_Factors'!B1336+'2_Discount_Factors'!B1337)/2))</f>
        <v>0.896190085308268</v>
      </c>
      <c r="D1336" s="12">
        <f>'3_Survival_Probs'!D1336</f>
        <v>0.922631108000356</v>
      </c>
      <c r="E1336" s="12">
        <f>'3_Survival_Probs'!D1337</f>
        <v>0.922553834479705</v>
      </c>
      <c r="F1336" s="14">
        <f t="shared" si="49"/>
        <v>7.72735206507891e-5</v>
      </c>
      <c r="G1336" s="32">
        <f>(1-recovery)*notional*C1336*F1336</f>
        <v>415.510578384605</v>
      </c>
      <c r="H1336" s="14">
        <f t="shared" si="48"/>
        <v>1.08146588894624e-5</v>
      </c>
      <c r="I1336" s="33"/>
    </row>
    <row r="1337" spans="1:9">
      <c r="A1337" s="4">
        <v>1335</v>
      </c>
      <c r="B1337" s="6">
        <f>'2_Discount_Factors'!B1338</f>
        <v>3.65753424657534</v>
      </c>
      <c r="C1337" s="6">
        <f>EXP(-r_free*(('2_Discount_Factors'!B1337+'2_Discount_Factors'!B1338)/2))</f>
        <v>0.89611642887622</v>
      </c>
      <c r="D1337" s="6">
        <f>'3_Survival_Probs'!D1337</f>
        <v>0.922553834479705</v>
      </c>
      <c r="E1337" s="6">
        <f>'3_Survival_Probs'!D1338</f>
        <v>0.922476567430977</v>
      </c>
      <c r="F1337" s="8">
        <f t="shared" si="49"/>
        <v>7.72670487283467e-5</v>
      </c>
      <c r="G1337" s="29">
        <f>(1-recovery)*notional*C1337*F1337</f>
        <v>415.441630657505</v>
      </c>
      <c r="H1337" s="8">
        <f t="shared" si="48"/>
        <v>1.10025637343085e-5</v>
      </c>
      <c r="I1337" s="30"/>
    </row>
    <row r="1338" spans="1:9">
      <c r="A1338" s="10">
        <v>1336</v>
      </c>
      <c r="B1338" s="12">
        <f>'2_Discount_Factors'!B1339</f>
        <v>3.66027397260274</v>
      </c>
      <c r="C1338" s="12">
        <f>EXP(-r_free*(('2_Discount_Factors'!B1338+'2_Discount_Factors'!B1339)/2))</f>
        <v>0.896042778497877</v>
      </c>
      <c r="D1338" s="12">
        <f>'3_Survival_Probs'!D1338</f>
        <v>0.922476567430977</v>
      </c>
      <c r="E1338" s="12">
        <f>'3_Survival_Probs'!D1339</f>
        <v>0.922399306853629</v>
      </c>
      <c r="F1338" s="14">
        <f t="shared" si="49"/>
        <v>7.72605773479151e-5</v>
      </c>
      <c r="G1338" s="32">
        <f>(1-recovery)*notional*C1338*F1338</f>
        <v>415.372694371056</v>
      </c>
      <c r="H1338" s="14">
        <f t="shared" si="48"/>
        <v>1.11904059214121e-5</v>
      </c>
      <c r="I1338" s="33"/>
    </row>
    <row r="1339" spans="1:9">
      <c r="A1339" s="4">
        <v>1337</v>
      </c>
      <c r="B1339" s="6">
        <f>'2_Discount_Factors'!B1340</f>
        <v>3.66301369863014</v>
      </c>
      <c r="C1339" s="6">
        <f>EXP(-r_free*(('2_Discount_Factors'!B1339+'2_Discount_Factors'!B1340)/2))</f>
        <v>0.89596913417274</v>
      </c>
      <c r="D1339" s="6">
        <f>'3_Survival_Probs'!D1339</f>
        <v>0.922399306853629</v>
      </c>
      <c r="E1339" s="6">
        <f>'3_Survival_Probs'!D1340</f>
        <v>0.92232205274712</v>
      </c>
      <c r="F1339" s="8">
        <f t="shared" si="49"/>
        <v>7.72541065094945e-5</v>
      </c>
      <c r="G1339" s="29">
        <f>(1-recovery)*notional*C1339*F1339</f>
        <v>415.303769523602</v>
      </c>
      <c r="H1339" s="8">
        <f t="shared" si="48"/>
        <v>1.13781854664002e-5</v>
      </c>
      <c r="I1339" s="30"/>
    </row>
    <row r="1340" spans="1:9">
      <c r="A1340" s="10">
        <v>1338</v>
      </c>
      <c r="B1340" s="12">
        <f>'2_Discount_Factors'!B1341</f>
        <v>3.66575342465753</v>
      </c>
      <c r="C1340" s="12">
        <f>EXP(-r_free*(('2_Discount_Factors'!B1340+'2_Discount_Factors'!B1341)/2))</f>
        <v>0.895895495900312</v>
      </c>
      <c r="D1340" s="12">
        <f>'3_Survival_Probs'!D1340</f>
        <v>0.92232205274712</v>
      </c>
      <c r="E1340" s="12">
        <f>'3_Survival_Probs'!D1341</f>
        <v>0.922244805110907</v>
      </c>
      <c r="F1340" s="14">
        <f t="shared" si="49"/>
        <v>7.72476362129737e-5</v>
      </c>
      <c r="G1340" s="32">
        <f>(1-recovery)*notional*C1340*F1340</f>
        <v>415.234856112894</v>
      </c>
      <c r="H1340" s="14">
        <f t="shared" si="48"/>
        <v>1.15659023848798e-5</v>
      </c>
      <c r="I1340" s="33"/>
    </row>
    <row r="1341" spans="1:9">
      <c r="A1341" s="4">
        <v>1339</v>
      </c>
      <c r="B1341" s="6">
        <f>'2_Discount_Factors'!B1342</f>
        <v>3.66849315068493</v>
      </c>
      <c r="C1341" s="6">
        <f>EXP(-r_free*(('2_Discount_Factors'!B1341+'2_Discount_Factors'!B1342)/2))</f>
        <v>0.895821863680097</v>
      </c>
      <c r="D1341" s="6">
        <f>'3_Survival_Probs'!D1341</f>
        <v>0.922244805110907</v>
      </c>
      <c r="E1341" s="6">
        <f>'3_Survival_Probs'!D1342</f>
        <v>0.922167563944448</v>
      </c>
      <c r="F1341" s="8">
        <f t="shared" si="49"/>
        <v>7.72411664584638e-5</v>
      </c>
      <c r="G1341" s="29">
        <f>(1-recovery)*notional*C1341*F1341</f>
        <v>415.165954137874</v>
      </c>
      <c r="H1341" s="8">
        <f t="shared" si="48"/>
        <v>1.17535566924878e-5</v>
      </c>
      <c r="I1341" s="30"/>
    </row>
    <row r="1342" spans="1:9">
      <c r="A1342" s="10">
        <v>1340</v>
      </c>
      <c r="B1342" s="12">
        <f>'2_Discount_Factors'!B1343</f>
        <v>3.67123287671233</v>
      </c>
      <c r="C1342" s="12">
        <f>EXP(-r_free*(('2_Discount_Factors'!B1342+'2_Discount_Factors'!B1343)/2))</f>
        <v>0.895748237511596</v>
      </c>
      <c r="D1342" s="12">
        <f>'3_Survival_Probs'!D1342</f>
        <v>0.922167563944448</v>
      </c>
      <c r="E1342" s="12">
        <f>'3_Survival_Probs'!D1343</f>
        <v>0.922090329247202</v>
      </c>
      <c r="F1342" s="14">
        <f t="shared" si="49"/>
        <v>7.72346972457427e-5</v>
      </c>
      <c r="G1342" s="32">
        <f>(1-recovery)*notional*C1342*F1342</f>
        <v>415.097063595695</v>
      </c>
      <c r="H1342" s="14">
        <f t="shared" si="48"/>
        <v>1.19411484048078e-5</v>
      </c>
      <c r="I1342" s="33"/>
    </row>
    <row r="1343" spans="1:9">
      <c r="A1343" s="4">
        <v>1341</v>
      </c>
      <c r="B1343" s="6">
        <f>'2_Discount_Factors'!B1344</f>
        <v>3.67397260273973</v>
      </c>
      <c r="C1343" s="6">
        <f>EXP(-r_free*(('2_Discount_Factors'!B1343+'2_Discount_Factors'!B1344)/2))</f>
        <v>0.895674617394313</v>
      </c>
      <c r="D1343" s="6">
        <f>'3_Survival_Probs'!D1343</f>
        <v>0.922090329247202</v>
      </c>
      <c r="E1343" s="6">
        <f>'3_Survival_Probs'!D1344</f>
        <v>0.922013101018628</v>
      </c>
      <c r="F1343" s="8">
        <f t="shared" si="49"/>
        <v>7.72282285749215e-5</v>
      </c>
      <c r="G1343" s="29">
        <f>(1-recovery)*notional*C1343*F1343</f>
        <v>415.0281844853</v>
      </c>
      <c r="H1343" s="8">
        <f t="shared" si="48"/>
        <v>1.21286775374701e-5</v>
      </c>
      <c r="I1343" s="30"/>
    </row>
    <row r="1344" spans="1:9">
      <c r="A1344" s="10">
        <v>1342</v>
      </c>
      <c r="B1344" s="12">
        <f>'2_Discount_Factors'!B1345</f>
        <v>3.67671232876712</v>
      </c>
      <c r="C1344" s="12">
        <f>EXP(-r_free*(('2_Discount_Factors'!B1344+'2_Discount_Factors'!B1345)/2))</f>
        <v>0.895601003327749</v>
      </c>
      <c r="D1344" s="12">
        <f>'3_Survival_Probs'!D1344</f>
        <v>0.922013101018628</v>
      </c>
      <c r="E1344" s="12">
        <f>'3_Survival_Probs'!D1345</f>
        <v>0.921935879258182</v>
      </c>
      <c r="F1344" s="14">
        <f t="shared" si="49"/>
        <v>7.72217604457781e-5</v>
      </c>
      <c r="G1344" s="32">
        <f>(1-recovery)*notional*C1344*F1344</f>
        <v>414.959316803844</v>
      </c>
      <c r="H1344" s="14">
        <f t="shared" ref="H1344:H1370" si="50">C1344*(B1344-3.4986301369863)*F1344</f>
        <v>1.23161441060503e-5</v>
      </c>
      <c r="I1344" s="33"/>
    </row>
    <row r="1345" spans="1:9">
      <c r="A1345" s="4">
        <v>1343</v>
      </c>
      <c r="B1345" s="6">
        <f>'2_Discount_Factors'!B1346</f>
        <v>3.67945205479452</v>
      </c>
      <c r="C1345" s="6">
        <f>EXP(-r_free*(('2_Discount_Factors'!B1345+'2_Discount_Factors'!B1346)/2))</f>
        <v>0.895527395311408</v>
      </c>
      <c r="D1345" s="6">
        <f>'3_Survival_Probs'!D1345</f>
        <v>0.921935879258182</v>
      </c>
      <c r="E1345" s="6">
        <f>'3_Survival_Probs'!D1346</f>
        <v>0.921858663965323</v>
      </c>
      <c r="F1345" s="8">
        <f t="shared" si="49"/>
        <v>7.72152928584235e-5</v>
      </c>
      <c r="G1345" s="29">
        <f>(1-recovery)*notional*C1345*F1345</f>
        <v>414.89046055027</v>
      </c>
      <c r="H1345" s="8">
        <f t="shared" si="50"/>
        <v>1.25035481261726e-5</v>
      </c>
      <c r="I1345" s="30"/>
    </row>
    <row r="1346" spans="1:9">
      <c r="A1346" s="10">
        <v>1344</v>
      </c>
      <c r="B1346" s="12">
        <f>'2_Discount_Factors'!B1347</f>
        <v>3.68219178082192</v>
      </c>
      <c r="C1346" s="12">
        <f>EXP(-r_free*(('2_Discount_Factors'!B1346+'2_Discount_Factors'!B1347)/2))</f>
        <v>0.895453793344793</v>
      </c>
      <c r="D1346" s="12">
        <f>'3_Survival_Probs'!D1346</f>
        <v>0.921858663965323</v>
      </c>
      <c r="E1346" s="12">
        <f>'3_Survival_Probs'!D1347</f>
        <v>0.921781455139511</v>
      </c>
      <c r="F1346" s="14">
        <f t="shared" si="49"/>
        <v>7.72088258127468e-5</v>
      </c>
      <c r="G1346" s="32">
        <f>(1-recovery)*notional*C1346*F1346</f>
        <v>414.821615722329</v>
      </c>
      <c r="H1346" s="14">
        <f t="shared" si="50"/>
        <v>1.26908896134229e-5</v>
      </c>
      <c r="I1346" s="33"/>
    </row>
    <row r="1347" spans="1:9">
      <c r="A1347" s="4">
        <v>1345</v>
      </c>
      <c r="B1347" s="6">
        <f>'2_Discount_Factors'!B1348</f>
        <v>3.68493150684931</v>
      </c>
      <c r="C1347" s="6">
        <f>EXP(-r_free*(('2_Discount_Factors'!B1347+'2_Discount_Factors'!B1348)/2))</f>
        <v>0.895380197427405</v>
      </c>
      <c r="D1347" s="6">
        <f>'3_Survival_Probs'!D1347</f>
        <v>0.921781455139511</v>
      </c>
      <c r="E1347" s="6">
        <f>'3_Survival_Probs'!D1348</f>
        <v>0.921704252780202</v>
      </c>
      <c r="F1347" s="8">
        <f t="shared" ref="F1347:F1410" si="51">D1347-E1347</f>
        <v>7.72023593087479e-5</v>
      </c>
      <c r="G1347" s="29">
        <f>(1-recovery)*notional*C1347*F1347</f>
        <v>414.752782318369</v>
      </c>
      <c r="H1347" s="8">
        <f t="shared" si="50"/>
        <v>1.28781685834015e-5</v>
      </c>
      <c r="I1347" s="30"/>
    </row>
    <row r="1348" spans="1:9">
      <c r="A1348" s="10">
        <v>1346</v>
      </c>
      <c r="B1348" s="12">
        <f>'2_Discount_Factors'!B1349</f>
        <v>3.68767123287671</v>
      </c>
      <c r="C1348" s="12">
        <f>EXP(-r_free*(('2_Discount_Factors'!B1348+'2_Discount_Factors'!B1349)/2))</f>
        <v>0.895306607558749</v>
      </c>
      <c r="D1348" s="12">
        <f>'3_Survival_Probs'!D1348</f>
        <v>0.921704252780202</v>
      </c>
      <c r="E1348" s="12">
        <f>'3_Survival_Probs'!D1349</f>
        <v>0.921627056886856</v>
      </c>
      <c r="F1348" s="14">
        <f t="shared" si="51"/>
        <v>7.71958933462047e-5</v>
      </c>
      <c r="G1348" s="32">
        <f>(1-recovery)*notional*C1348*F1348</f>
        <v>414.683960335545</v>
      </c>
      <c r="H1348" s="14">
        <f t="shared" si="50"/>
        <v>1.3065385051668e-5</v>
      </c>
      <c r="I1348" s="33"/>
    </row>
    <row r="1349" spans="1:9">
      <c r="A1349" s="4">
        <v>1347</v>
      </c>
      <c r="B1349" s="6">
        <f>'2_Discount_Factors'!B1350</f>
        <v>3.69041095890411</v>
      </c>
      <c r="C1349" s="6">
        <f>EXP(-r_free*(('2_Discount_Factors'!B1349+'2_Discount_Factors'!B1350)/2))</f>
        <v>0.895233023738326</v>
      </c>
      <c r="D1349" s="6">
        <f>'3_Survival_Probs'!D1349</f>
        <v>0.921627056886856</v>
      </c>
      <c r="E1349" s="6">
        <f>'3_Survival_Probs'!D1350</f>
        <v>0.92154986745893</v>
      </c>
      <c r="F1349" s="8">
        <f t="shared" si="51"/>
        <v>7.71894279253393e-5</v>
      </c>
      <c r="G1349" s="29">
        <f>(1-recovery)*notional*C1349*F1349</f>
        <v>414.615149773399</v>
      </c>
      <c r="H1349" s="8">
        <f t="shared" si="50"/>
        <v>1.3252539033853e-5</v>
      </c>
      <c r="I1349" s="30"/>
    </row>
    <row r="1350" spans="1:9">
      <c r="A1350" s="10">
        <v>1348</v>
      </c>
      <c r="B1350" s="12">
        <f>'2_Discount_Factors'!B1351</f>
        <v>3.69315068493151</v>
      </c>
      <c r="C1350" s="12">
        <f>EXP(-r_free*(('2_Discount_Factors'!B1350+'2_Discount_Factors'!B1351)/2))</f>
        <v>0.89515944596564</v>
      </c>
      <c r="D1350" s="12">
        <f>'3_Survival_Probs'!D1350</f>
        <v>0.92154986745893</v>
      </c>
      <c r="E1350" s="12">
        <f>'3_Survival_Probs'!D1351</f>
        <v>0.921472684495884</v>
      </c>
      <c r="F1350" s="14">
        <f t="shared" si="51"/>
        <v>7.71829630459298e-5</v>
      </c>
      <c r="G1350" s="32">
        <f>(1-recovery)*notional*C1350*F1350</f>
        <v>414.546350629086</v>
      </c>
      <c r="H1350" s="14">
        <f t="shared" si="50"/>
        <v>1.34396305455093e-5</v>
      </c>
      <c r="I1350" s="33"/>
    </row>
    <row r="1351" spans="1:9">
      <c r="A1351" s="4">
        <v>1349</v>
      </c>
      <c r="B1351" s="6">
        <f>'2_Discount_Factors'!B1352</f>
        <v>3.6958904109589</v>
      </c>
      <c r="C1351" s="6">
        <f>EXP(-r_free*(('2_Discount_Factors'!B1351+'2_Discount_Factors'!B1352)/2))</f>
        <v>0.895085874240193</v>
      </c>
      <c r="D1351" s="6">
        <f>'3_Survival_Probs'!D1351</f>
        <v>0.921472684495884</v>
      </c>
      <c r="E1351" s="6">
        <f>'3_Survival_Probs'!D1352</f>
        <v>0.921395507997176</v>
      </c>
      <c r="F1351" s="8">
        <f t="shared" si="51"/>
        <v>7.71764987079759e-5</v>
      </c>
      <c r="G1351" s="29">
        <f>(1-recovery)*notional*C1351*F1351</f>
        <v>414.477562900955</v>
      </c>
      <c r="H1351" s="8">
        <f t="shared" si="50"/>
        <v>1.36266596022233e-5</v>
      </c>
      <c r="I1351" s="30"/>
    </row>
    <row r="1352" spans="1:9">
      <c r="A1352" s="10">
        <v>1350</v>
      </c>
      <c r="B1352" s="12">
        <f>'2_Discount_Factors'!B1353</f>
        <v>3.6986301369863</v>
      </c>
      <c r="C1352" s="12">
        <f>EXP(-r_free*(('2_Discount_Factors'!B1352+'2_Discount_Factors'!B1353)/2))</f>
        <v>0.895012308561489</v>
      </c>
      <c r="D1352" s="12">
        <f>'3_Survival_Probs'!D1352</f>
        <v>0.921395507997176</v>
      </c>
      <c r="E1352" s="12">
        <f>'3_Survival_Probs'!D1353</f>
        <v>0.921318337962265</v>
      </c>
      <c r="F1352" s="14">
        <f t="shared" si="51"/>
        <v>7.71700349114779e-5</v>
      </c>
      <c r="G1352" s="32">
        <f>(1-recovery)*notional*C1352*F1352</f>
        <v>414.408786587355</v>
      </c>
      <c r="H1352" s="14">
        <f t="shared" si="50"/>
        <v>1.38136262195786e-5</v>
      </c>
      <c r="I1352" s="33"/>
    </row>
    <row r="1353" spans="1:9">
      <c r="A1353" s="4">
        <v>1351</v>
      </c>
      <c r="B1353" s="6">
        <f>'2_Discount_Factors'!B1354</f>
        <v>3.7013698630137</v>
      </c>
      <c r="C1353" s="6">
        <f>EXP(-r_free*(('2_Discount_Factors'!B1353+'2_Discount_Factors'!B1354)/2))</f>
        <v>0.894938748929031</v>
      </c>
      <c r="D1353" s="6">
        <f>'3_Survival_Probs'!D1353</f>
        <v>0.921318337962265</v>
      </c>
      <c r="E1353" s="6">
        <f>'3_Survival_Probs'!D1354</f>
        <v>0.921241174390609</v>
      </c>
      <c r="F1353" s="8">
        <f t="shared" si="51"/>
        <v>7.71635716562136e-5</v>
      </c>
      <c r="G1353" s="29">
        <f>(1-recovery)*notional*C1353*F1353</f>
        <v>414.340021685444</v>
      </c>
      <c r="H1353" s="8">
        <f t="shared" si="50"/>
        <v>1.40005304131156e-5</v>
      </c>
      <c r="I1353" s="30"/>
    </row>
    <row r="1354" spans="1:9">
      <c r="A1354" s="10">
        <v>1352</v>
      </c>
      <c r="B1354" s="12">
        <f>'2_Discount_Factors'!B1355</f>
        <v>3.7041095890411</v>
      </c>
      <c r="C1354" s="12">
        <f>EXP(-r_free*(('2_Discount_Factors'!B1354+'2_Discount_Factors'!B1355)/2))</f>
        <v>0.894865195342322</v>
      </c>
      <c r="D1354" s="12">
        <f>'3_Survival_Probs'!D1354</f>
        <v>0.921241174390609</v>
      </c>
      <c r="E1354" s="12">
        <f>'3_Survival_Probs'!D1355</f>
        <v>0.921164017281666</v>
      </c>
      <c r="F1354" s="14">
        <f t="shared" si="51"/>
        <v>7.7157108942405e-5</v>
      </c>
      <c r="G1354" s="32">
        <f>(1-recovery)*notional*C1354*F1354</f>
        <v>414.271268194764</v>
      </c>
      <c r="H1354" s="14">
        <f t="shared" si="50"/>
        <v>1.41873721984509e-5</v>
      </c>
      <c r="I1354" s="33"/>
    </row>
    <row r="1355" spans="1:9">
      <c r="A1355" s="4">
        <v>1353</v>
      </c>
      <c r="B1355" s="6">
        <f>'2_Discount_Factors'!B1356</f>
        <v>3.70684931506849</v>
      </c>
      <c r="C1355" s="6">
        <f>EXP(-r_free*(('2_Discount_Factors'!B1355+'2_Discount_Factors'!B1356)/2))</f>
        <v>0.894791647800864</v>
      </c>
      <c r="D1355" s="6">
        <f>'3_Survival_Probs'!D1355</f>
        <v>0.921164017281666</v>
      </c>
      <c r="E1355" s="6">
        <f>'3_Survival_Probs'!D1356</f>
        <v>0.921086866634896</v>
      </c>
      <c r="F1355" s="8">
        <f t="shared" si="51"/>
        <v>7.71506467698302e-5</v>
      </c>
      <c r="G1355" s="29">
        <f>(1-recovery)*notional*C1355*F1355</f>
        <v>414.202526112473</v>
      </c>
      <c r="H1355" s="8">
        <f t="shared" si="50"/>
        <v>1.43741515911179e-5</v>
      </c>
      <c r="I1355" s="30"/>
    </row>
    <row r="1356" spans="1:9">
      <c r="A1356" s="10">
        <v>1354</v>
      </c>
      <c r="B1356" s="12">
        <f>'2_Discount_Factors'!B1357</f>
        <v>3.70958904109589</v>
      </c>
      <c r="C1356" s="12">
        <f>EXP(-r_free*(('2_Discount_Factors'!B1356+'2_Discount_Factors'!B1357)/2))</f>
        <v>0.894718106304161</v>
      </c>
      <c r="D1356" s="12">
        <f>'3_Survival_Probs'!D1356</f>
        <v>0.921086866634896</v>
      </c>
      <c r="E1356" s="12">
        <f>'3_Survival_Probs'!D1357</f>
        <v>0.921009722449758</v>
      </c>
      <c r="F1356" s="14">
        <f t="shared" si="51"/>
        <v>7.71441851384891e-5</v>
      </c>
      <c r="G1356" s="32">
        <f>(1-recovery)*notional*C1356*F1356</f>
        <v>414.133795436919</v>
      </c>
      <c r="H1356" s="14">
        <f t="shared" si="50"/>
        <v>1.45608686066863e-5</v>
      </c>
      <c r="I1356" s="33"/>
    </row>
    <row r="1357" spans="1:9">
      <c r="A1357" s="4">
        <v>1355</v>
      </c>
      <c r="B1357" s="6">
        <f>'2_Discount_Factors'!B1358</f>
        <v>3.71232876712329</v>
      </c>
      <c r="C1357" s="6">
        <f>EXP(-r_free*(('2_Discount_Factors'!B1357+'2_Discount_Factors'!B1358)/2))</f>
        <v>0.894644570851717</v>
      </c>
      <c r="D1357" s="6">
        <f>'3_Survival_Probs'!D1357</f>
        <v>0.921009722449758</v>
      </c>
      <c r="E1357" s="6">
        <f>'3_Survival_Probs'!D1358</f>
        <v>0.92093258472571</v>
      </c>
      <c r="F1357" s="8">
        <f t="shared" si="51"/>
        <v>7.71377240482707e-5</v>
      </c>
      <c r="G1357" s="29">
        <f>(1-recovery)*notional*C1357*F1357</f>
        <v>414.06507616586</v>
      </c>
      <c r="H1357" s="8">
        <f t="shared" si="50"/>
        <v>1.4747523260702e-5</v>
      </c>
      <c r="I1357" s="30"/>
    </row>
    <row r="1358" spans="1:9">
      <c r="A1358" s="10">
        <v>1356</v>
      </c>
      <c r="B1358" s="12">
        <f>'2_Discount_Factors'!B1359</f>
        <v>3.71506849315068</v>
      </c>
      <c r="C1358" s="12">
        <f>EXP(-r_free*(('2_Discount_Factors'!B1358+'2_Discount_Factors'!B1359)/2))</f>
        <v>0.894571041443034</v>
      </c>
      <c r="D1358" s="12">
        <f>'3_Survival_Probs'!D1358</f>
        <v>0.92093258472571</v>
      </c>
      <c r="E1358" s="12">
        <f>'3_Survival_Probs'!D1359</f>
        <v>0.92085545346221</v>
      </c>
      <c r="F1358" s="14">
        <f t="shared" si="51"/>
        <v>7.7131263499286e-5</v>
      </c>
      <c r="G1358" s="32">
        <f>(1-recovery)*notional*C1358*F1358</f>
        <v>413.99636829824</v>
      </c>
      <c r="H1358" s="14">
        <f t="shared" si="50"/>
        <v>1.49341155687494e-5</v>
      </c>
      <c r="I1358" s="33"/>
    </row>
    <row r="1359" spans="1:9">
      <c r="A1359" s="4">
        <v>1357</v>
      </c>
      <c r="B1359" s="6">
        <f>'2_Discount_Factors'!B1360</f>
        <v>3.71780821917808</v>
      </c>
      <c r="C1359" s="6">
        <f>EXP(-r_free*(('2_Discount_Factors'!B1359+'2_Discount_Factors'!B1360)/2))</f>
        <v>0.894497518077615</v>
      </c>
      <c r="D1359" s="6">
        <f>'3_Survival_Probs'!D1359</f>
        <v>0.92085545346221</v>
      </c>
      <c r="E1359" s="6">
        <f>'3_Survival_Probs'!D1360</f>
        <v>0.920778328658719</v>
      </c>
      <c r="F1359" s="8">
        <f t="shared" si="51"/>
        <v>7.7124803491313e-5</v>
      </c>
      <c r="G1359" s="29">
        <f>(1-recovery)*notional*C1359*F1359</f>
        <v>413.92767183122</v>
      </c>
      <c r="H1359" s="8">
        <f t="shared" si="50"/>
        <v>1.5120645546346e-5</v>
      </c>
      <c r="I1359" s="30"/>
    </row>
    <row r="1360" spans="1:9">
      <c r="A1360" s="10">
        <v>1358</v>
      </c>
      <c r="B1360" s="12">
        <f>'2_Discount_Factors'!B1361</f>
        <v>3.72054794520548</v>
      </c>
      <c r="C1360" s="12">
        <f>EXP(-r_free*(('2_Discount_Factors'!B1360+'2_Discount_Factors'!B1361)/2))</f>
        <v>0.894424000754965</v>
      </c>
      <c r="D1360" s="12">
        <f>'3_Survival_Probs'!D1360</f>
        <v>0.920778328658719</v>
      </c>
      <c r="E1360" s="12">
        <f>'3_Survival_Probs'!D1361</f>
        <v>0.920701210314695</v>
      </c>
      <c r="F1360" s="14">
        <f t="shared" si="51"/>
        <v>7.71183440244627e-5</v>
      </c>
      <c r="G1360" s="32">
        <f>(1-recovery)*notional*C1360*F1360</f>
        <v>413.858986763746</v>
      </c>
      <c r="H1360" s="14">
        <f t="shared" si="50"/>
        <v>1.53071132090702e-5</v>
      </c>
      <c r="I1360" s="33"/>
    </row>
    <row r="1361" spans="1:9">
      <c r="A1361" s="4">
        <v>1359</v>
      </c>
      <c r="B1361" s="6">
        <f>'2_Discount_Factors'!B1362</f>
        <v>3.72328767123288</v>
      </c>
      <c r="C1361" s="6">
        <f>EXP(-r_free*(('2_Discount_Factors'!B1361+'2_Discount_Factors'!B1362)/2))</f>
        <v>0.894350489474586</v>
      </c>
      <c r="D1361" s="6">
        <f>'3_Survival_Probs'!D1361</f>
        <v>0.920701210314695</v>
      </c>
      <c r="E1361" s="6">
        <f>'3_Survival_Probs'!D1362</f>
        <v>0.920624098429596</v>
      </c>
      <c r="F1361" s="8">
        <f t="shared" si="51"/>
        <v>7.71118850985131e-5</v>
      </c>
      <c r="G1361" s="29">
        <f>(1-recovery)*notional*C1361*F1361</f>
        <v>413.790313092979</v>
      </c>
      <c r="H1361" s="8">
        <f t="shared" si="50"/>
        <v>1.54935185724313e-5</v>
      </c>
      <c r="I1361" s="30"/>
    </row>
    <row r="1362" spans="1:9">
      <c r="A1362" s="10">
        <v>1360</v>
      </c>
      <c r="B1362" s="12">
        <f>'2_Discount_Factors'!B1363</f>
        <v>3.72602739726027</v>
      </c>
      <c r="C1362" s="12">
        <f>EXP(-r_free*(('2_Discount_Factors'!B1362+'2_Discount_Factors'!B1363)/2))</f>
        <v>0.894276984235982</v>
      </c>
      <c r="D1362" s="12">
        <f>'3_Survival_Probs'!D1362</f>
        <v>0.920624098429596</v>
      </c>
      <c r="E1362" s="12">
        <f>'3_Survival_Probs'!D1363</f>
        <v>0.920546993002883</v>
      </c>
      <c r="F1362" s="14">
        <f t="shared" si="51"/>
        <v>7.71054267135751e-5</v>
      </c>
      <c r="G1362" s="32">
        <f>(1-recovery)*notional*C1362*F1362</f>
        <v>413.721650817867</v>
      </c>
      <c r="H1362" s="14">
        <f t="shared" si="50"/>
        <v>1.56798616520014e-5</v>
      </c>
      <c r="I1362" s="33"/>
    </row>
    <row r="1363" spans="1:9">
      <c r="A1363" s="4">
        <v>1361</v>
      </c>
      <c r="B1363" s="6">
        <f>'2_Discount_Factors'!B1364</f>
        <v>3.72876712328767</v>
      </c>
      <c r="C1363" s="6">
        <f>EXP(-r_free*(('2_Discount_Factors'!B1363+'2_Discount_Factors'!B1364)/2))</f>
        <v>0.894203485038656</v>
      </c>
      <c r="D1363" s="6">
        <f>'3_Survival_Probs'!D1363</f>
        <v>0.920546993002883</v>
      </c>
      <c r="E1363" s="6">
        <f>'3_Survival_Probs'!D1364</f>
        <v>0.920469894034013</v>
      </c>
      <c r="F1363" s="8">
        <f t="shared" si="51"/>
        <v>7.70989688695378e-5</v>
      </c>
      <c r="G1363" s="29">
        <f>(1-recovery)*notional*C1363*F1363</f>
        <v>413.652999936165</v>
      </c>
      <c r="H1363" s="8">
        <f t="shared" si="50"/>
        <v>1.58661424633051e-5</v>
      </c>
      <c r="I1363" s="30"/>
    </row>
    <row r="1364" spans="1:9">
      <c r="A1364" s="10">
        <v>1362</v>
      </c>
      <c r="B1364" s="12">
        <f>'2_Discount_Factors'!B1365</f>
        <v>3.73150684931507</v>
      </c>
      <c r="C1364" s="12">
        <f>EXP(-r_free*(('2_Discount_Factors'!B1364+'2_Discount_Factors'!B1365)/2))</f>
        <v>0.894129991882111</v>
      </c>
      <c r="D1364" s="12">
        <f>'3_Survival_Probs'!D1364</f>
        <v>0.920469894034013</v>
      </c>
      <c r="E1364" s="12">
        <f>'3_Survival_Probs'!D1365</f>
        <v>0.920392801522447</v>
      </c>
      <c r="F1364" s="14">
        <f t="shared" si="51"/>
        <v>7.70925115664012e-5</v>
      </c>
      <c r="G1364" s="32">
        <f>(1-recovery)*notional*C1364*F1364</f>
        <v>413.584360446227</v>
      </c>
      <c r="H1364" s="14">
        <f t="shared" si="50"/>
        <v>1.60523610218856e-5</v>
      </c>
      <c r="I1364" s="33"/>
    </row>
    <row r="1365" spans="1:9">
      <c r="A1365" s="4">
        <v>1363</v>
      </c>
      <c r="B1365" s="6">
        <f>'2_Discount_Factors'!B1366</f>
        <v>3.73424657534247</v>
      </c>
      <c r="C1365" s="6">
        <f>EXP(-r_free*(('2_Discount_Factors'!B1365+'2_Discount_Factors'!B1366)/2))</f>
        <v>0.894056504765852</v>
      </c>
      <c r="D1365" s="6">
        <f>'3_Survival_Probs'!D1365</f>
        <v>0.920392801522447</v>
      </c>
      <c r="E1365" s="6">
        <f>'3_Survival_Probs'!D1366</f>
        <v>0.920315715467643</v>
      </c>
      <c r="F1365" s="8">
        <f t="shared" si="51"/>
        <v>7.70860548040542e-5</v>
      </c>
      <c r="G1365" s="29">
        <f>(1-recovery)*notional*C1365*F1365</f>
        <v>413.51573234581</v>
      </c>
      <c r="H1365" s="8">
        <f t="shared" si="50"/>
        <v>1.62385173432602e-5</v>
      </c>
      <c r="I1365" s="30"/>
    </row>
    <row r="1366" spans="1:9">
      <c r="A1366" s="10">
        <v>1364</v>
      </c>
      <c r="B1366" s="12">
        <f>'2_Discount_Factors'!B1367</f>
        <v>3.73698630136986</v>
      </c>
      <c r="C1366" s="12">
        <f>EXP(-r_free*(('2_Discount_Factors'!B1366+'2_Discount_Factors'!B1367)/2))</f>
        <v>0.893983023689382</v>
      </c>
      <c r="D1366" s="12">
        <f>'3_Survival_Probs'!D1366</f>
        <v>0.920315715467643</v>
      </c>
      <c r="E1366" s="12">
        <f>'3_Survival_Probs'!D1367</f>
        <v>0.92023863586906</v>
      </c>
      <c r="F1366" s="14">
        <f t="shared" si="51"/>
        <v>7.70795985824968e-5</v>
      </c>
      <c r="G1366" s="32">
        <f>(1-recovery)*notional*C1366*F1366</f>
        <v>413.447115633266</v>
      </c>
      <c r="H1366" s="14">
        <f t="shared" si="50"/>
        <v>1.64246114429654e-5</v>
      </c>
      <c r="I1366" s="33"/>
    </row>
    <row r="1367" spans="1:9">
      <c r="A1367" s="4">
        <v>1365</v>
      </c>
      <c r="B1367" s="6">
        <f>'2_Discount_Factors'!B1368</f>
        <v>3.73972602739726</v>
      </c>
      <c r="C1367" s="6">
        <f>EXP(-r_free*(('2_Discount_Factors'!B1367+'2_Discount_Factors'!B1368)/2))</f>
        <v>0.893909548652203</v>
      </c>
      <c r="D1367" s="6">
        <f>'3_Survival_Probs'!D1367</f>
        <v>0.92023863586906</v>
      </c>
      <c r="E1367" s="6">
        <f>'3_Survival_Probs'!D1368</f>
        <v>0.920161562726158</v>
      </c>
      <c r="F1367" s="8">
        <f t="shared" si="51"/>
        <v>7.70731429017291e-5</v>
      </c>
      <c r="G1367" s="29">
        <f>(1-recovery)*notional*C1367*F1367</f>
        <v>413.378510306948</v>
      </c>
      <c r="H1367" s="8">
        <f t="shared" si="50"/>
        <v>1.6610643336535e-5</v>
      </c>
      <c r="I1367" s="30"/>
    </row>
    <row r="1368" spans="1:9">
      <c r="A1368" s="10">
        <v>1366</v>
      </c>
      <c r="B1368" s="12">
        <f>'2_Discount_Factors'!B1369</f>
        <v>3.74246575342466</v>
      </c>
      <c r="C1368" s="12">
        <f>EXP(-r_free*(('2_Discount_Factors'!B1368+'2_Discount_Factors'!B1369)/2))</f>
        <v>0.893836079653821</v>
      </c>
      <c r="D1368" s="12">
        <f>'3_Survival_Probs'!D1368</f>
        <v>0.920161562726158</v>
      </c>
      <c r="E1368" s="12">
        <f>'3_Survival_Probs'!D1369</f>
        <v>0.920084496038397</v>
      </c>
      <c r="F1368" s="14">
        <f t="shared" si="51"/>
        <v>7.70666877615289e-5</v>
      </c>
      <c r="G1368" s="32">
        <f>(1-recovery)*notional*C1368*F1368</f>
        <v>413.309916364021</v>
      </c>
      <c r="H1368" s="14">
        <f t="shared" si="50"/>
        <v>1.67966130394512e-5</v>
      </c>
      <c r="I1368" s="33"/>
    </row>
    <row r="1369" spans="1:9">
      <c r="A1369" s="4">
        <v>1367</v>
      </c>
      <c r="B1369" s="6">
        <f>'2_Discount_Factors'!B1370</f>
        <v>3.74520547945205</v>
      </c>
      <c r="C1369" s="6">
        <f>EXP(-r_free*(('2_Discount_Factors'!B1369+'2_Discount_Factors'!B1370)/2))</f>
        <v>0.893762616693739</v>
      </c>
      <c r="D1369" s="6">
        <f>'3_Survival_Probs'!D1369</f>
        <v>0.920084496038397</v>
      </c>
      <c r="E1369" s="6">
        <f>'3_Survival_Probs'!D1370</f>
        <v>0.920007435805235</v>
      </c>
      <c r="F1369" s="8">
        <f t="shared" si="51"/>
        <v>7.70602331621184e-5</v>
      </c>
      <c r="G1369" s="29">
        <f>(1-recovery)*notional*C1369*F1369</f>
        <v>413.241333804027</v>
      </c>
      <c r="H1369" s="8">
        <f t="shared" si="50"/>
        <v>1.69825205672889e-5</v>
      </c>
      <c r="I1369" s="30"/>
    </row>
    <row r="1370" spans="1:9">
      <c r="A1370" s="34">
        <v>1368</v>
      </c>
      <c r="B1370" s="35">
        <f>'2_Discount_Factors'!B1371</f>
        <v>3.74794520547945</v>
      </c>
      <c r="C1370" s="35">
        <f>EXP(-r_free*(('2_Discount_Factors'!B1370+'2_Discount_Factors'!B1371)/2))</f>
        <v>0.89368915977146</v>
      </c>
      <c r="D1370" s="35">
        <f>'3_Survival_Probs'!D1370</f>
        <v>0.920007435805235</v>
      </c>
      <c r="E1370" s="35">
        <f>'3_Survival_Probs'!D1371</f>
        <v>0.919930382026132</v>
      </c>
      <c r="F1370" s="36">
        <f t="shared" si="51"/>
        <v>7.70537791031645e-5</v>
      </c>
      <c r="G1370" s="37">
        <f>(1-recovery)*notional*C1370*F1370</f>
        <v>413.172762623536</v>
      </c>
      <c r="H1370" s="36">
        <f t="shared" si="50"/>
        <v>1.71683659354986e-5</v>
      </c>
      <c r="I1370" s="38" t="s">
        <v>71</v>
      </c>
    </row>
    <row r="1371" spans="1:9">
      <c r="A1371" s="4">
        <v>1369</v>
      </c>
      <c r="B1371" s="6">
        <f>'2_Discount_Factors'!B1372</f>
        <v>3.75068493150685</v>
      </c>
      <c r="C1371" s="6">
        <f>EXP(-r_free*(('2_Discount_Factors'!B1371+'2_Discount_Factors'!B1372)/2))</f>
        <v>0.893615708886488</v>
      </c>
      <c r="D1371" s="6">
        <f>'3_Survival_Probs'!D1371</f>
        <v>0.919930382026132</v>
      </c>
      <c r="E1371" s="6">
        <f>'3_Survival_Probs'!D1372</f>
        <v>0.919853334700547</v>
      </c>
      <c r="F1371" s="8">
        <f t="shared" si="51"/>
        <v>7.70473255847781e-5</v>
      </c>
      <c r="G1371" s="29">
        <f>(1-recovery)*notional*C1371*F1371</f>
        <v>413.104202821497</v>
      </c>
      <c r="H1371" s="8">
        <f t="shared" ref="H1371:H1434" si="52">C1371*(B1371-3.74794520547945)*F1371</f>
        <v>1.88632056083005e-7</v>
      </c>
      <c r="I1371" s="30"/>
    </row>
    <row r="1372" spans="1:9">
      <c r="A1372" s="10">
        <v>1370</v>
      </c>
      <c r="B1372" s="12">
        <f>'2_Discount_Factors'!B1373</f>
        <v>3.75342465753425</v>
      </c>
      <c r="C1372" s="12">
        <f>EXP(-r_free*(('2_Discount_Factors'!B1372+'2_Discount_Factors'!B1373)/2))</f>
        <v>0.893542264038327</v>
      </c>
      <c r="D1372" s="12">
        <f>'3_Survival_Probs'!D1372</f>
        <v>0.919853334700547</v>
      </c>
      <c r="E1372" s="12">
        <f>'3_Survival_Probs'!D1373</f>
        <v>0.91977629382794</v>
      </c>
      <c r="F1372" s="14">
        <f t="shared" si="51"/>
        <v>7.70408726069594e-5</v>
      </c>
      <c r="G1372" s="32">
        <f>(1-recovery)*notional*C1372*F1372</f>
        <v>413.035654396265</v>
      </c>
      <c r="H1372" s="14">
        <f t="shared" si="52"/>
        <v>3.77201510864305e-7</v>
      </c>
      <c r="I1372" s="33"/>
    </row>
    <row r="1373" spans="1:9">
      <c r="A1373" s="4">
        <v>1371</v>
      </c>
      <c r="B1373" s="6">
        <f>'2_Discount_Factors'!B1374</f>
        <v>3.75616438356164</v>
      </c>
      <c r="C1373" s="6">
        <f>EXP(-r_free*(('2_Discount_Factors'!B1373+'2_Discount_Factors'!B1374)/2))</f>
        <v>0.89346882522648</v>
      </c>
      <c r="D1373" s="6">
        <f>'3_Survival_Probs'!D1373</f>
        <v>0.91977629382794</v>
      </c>
      <c r="E1373" s="6">
        <f>'3_Survival_Probs'!D1374</f>
        <v>0.91969925940777</v>
      </c>
      <c r="F1373" s="8">
        <f t="shared" si="51"/>
        <v>7.70344201695972e-5</v>
      </c>
      <c r="G1373" s="29">
        <f>(1-recovery)*notional*C1373*F1373</f>
        <v>412.967117345598</v>
      </c>
      <c r="H1373" s="8">
        <f t="shared" si="52"/>
        <v>5.6570837992562e-7</v>
      </c>
      <c r="I1373" s="30"/>
    </row>
    <row r="1374" spans="1:9">
      <c r="A1374" s="10">
        <v>1372</v>
      </c>
      <c r="B1374" s="12">
        <f>'2_Discount_Factors'!B1375</f>
        <v>3.75890410958904</v>
      </c>
      <c r="C1374" s="12">
        <f>EXP(-r_free*(('2_Discount_Factors'!B1374+'2_Discount_Factors'!B1375)/2))</f>
        <v>0.893395392450453</v>
      </c>
      <c r="D1374" s="12">
        <f>'3_Survival_Probs'!D1374</f>
        <v>0.91969925940777</v>
      </c>
      <c r="E1374" s="12">
        <f>'3_Survival_Probs'!D1375</f>
        <v>0.919622231439498</v>
      </c>
      <c r="F1374" s="14">
        <f t="shared" si="51"/>
        <v>7.70279682725805e-5</v>
      </c>
      <c r="G1374" s="32">
        <f>(1-recovery)*notional*C1374*F1374</f>
        <v>412.898591667259</v>
      </c>
      <c r="H1374" s="14">
        <f t="shared" si="52"/>
        <v>7.54152678844458e-7</v>
      </c>
      <c r="I1374" s="33"/>
    </row>
    <row r="1375" spans="1:9">
      <c r="A1375" s="4">
        <v>1373</v>
      </c>
      <c r="B1375" s="6">
        <f>'2_Discount_Factors'!B1376</f>
        <v>3.76164383561644</v>
      </c>
      <c r="C1375" s="6">
        <f>EXP(-r_free*(('2_Discount_Factors'!B1375+'2_Discount_Factors'!B1376)/2))</f>
        <v>0.893321965709748</v>
      </c>
      <c r="D1375" s="6">
        <f>'3_Survival_Probs'!D1375</f>
        <v>0.919622231439498</v>
      </c>
      <c r="E1375" s="6">
        <f>'3_Survival_Probs'!D1376</f>
        <v>0.919545209922582</v>
      </c>
      <c r="F1375" s="8">
        <f t="shared" si="51"/>
        <v>7.70215169160204e-5</v>
      </c>
      <c r="G1375" s="29">
        <f>(1-recovery)*notional*C1375*F1375</f>
        <v>412.830077360196</v>
      </c>
      <c r="H1375" s="8">
        <f t="shared" si="52"/>
        <v>9.42534423196951e-7</v>
      </c>
      <c r="I1375" s="30"/>
    </row>
    <row r="1376" spans="1:9">
      <c r="A1376" s="10">
        <v>1374</v>
      </c>
      <c r="B1376" s="12">
        <f>'2_Discount_Factors'!B1377</f>
        <v>3.76438356164384</v>
      </c>
      <c r="C1376" s="12">
        <f>EXP(-r_free*(('2_Discount_Factors'!B1376+'2_Discount_Factors'!B1377)/2))</f>
        <v>0.893248545003869</v>
      </c>
      <c r="D1376" s="12">
        <f>'3_Survival_Probs'!D1376</f>
        <v>0.919545209922582</v>
      </c>
      <c r="E1376" s="12">
        <f>'3_Survival_Probs'!D1377</f>
        <v>0.919468194856482</v>
      </c>
      <c r="F1376" s="14">
        <f t="shared" si="51"/>
        <v>7.70150660996949e-5</v>
      </c>
      <c r="G1376" s="32">
        <f>(1-recovery)*notional*C1376*F1376</f>
        <v>412.761574421576</v>
      </c>
      <c r="H1376" s="14">
        <f t="shared" si="52"/>
        <v>1.13085362855239e-6</v>
      </c>
      <c r="I1376" s="33"/>
    </row>
    <row r="1377" spans="1:9">
      <c r="A1377" s="4">
        <v>1375</v>
      </c>
      <c r="B1377" s="6">
        <f>'2_Discount_Factors'!B1378</f>
        <v>3.76712328767123</v>
      </c>
      <c r="C1377" s="6">
        <f>EXP(-r_free*(('2_Discount_Factors'!B1377+'2_Discount_Factors'!B1378)/2))</f>
        <v>0.893175130332322</v>
      </c>
      <c r="D1377" s="6">
        <f>'3_Survival_Probs'!D1377</f>
        <v>0.919468194856482</v>
      </c>
      <c r="E1377" s="6">
        <f>'3_Survival_Probs'!D1378</f>
        <v>0.919391186240658</v>
      </c>
      <c r="F1377" s="8">
        <f t="shared" si="51"/>
        <v>7.70086158237149e-5</v>
      </c>
      <c r="G1377" s="29">
        <f>(1-recovery)*notional*C1377*F1377</f>
        <v>412.693082850349</v>
      </c>
      <c r="H1377" s="8">
        <f t="shared" si="52"/>
        <v>1.31911031048071e-6</v>
      </c>
      <c r="I1377" s="30"/>
    </row>
    <row r="1378" spans="1:9">
      <c r="A1378" s="10">
        <v>1376</v>
      </c>
      <c r="B1378" s="12">
        <f>'2_Discount_Factors'!B1379</f>
        <v>3.76986301369863</v>
      </c>
      <c r="C1378" s="12">
        <f>EXP(-r_free*(('2_Discount_Factors'!B1378+'2_Discount_Factors'!B1379)/2))</f>
        <v>0.893101721694608</v>
      </c>
      <c r="D1378" s="12">
        <f>'3_Survival_Probs'!D1378</f>
        <v>0.919391186240658</v>
      </c>
      <c r="E1378" s="12">
        <f>'3_Survival_Probs'!D1379</f>
        <v>0.91931418407457</v>
      </c>
      <c r="F1378" s="14">
        <f t="shared" si="51"/>
        <v>7.70021660879694e-5</v>
      </c>
      <c r="G1378" s="32">
        <f>(1-recovery)*notional*C1378*F1378</f>
        <v>412.624602644278</v>
      </c>
      <c r="H1378" s="14">
        <f t="shared" si="52"/>
        <v>1.50730448454545e-6</v>
      </c>
      <c r="I1378" s="33"/>
    </row>
    <row r="1379" spans="1:9">
      <c r="A1379" s="4">
        <v>1377</v>
      </c>
      <c r="B1379" s="6">
        <f>'2_Discount_Factors'!B1380</f>
        <v>3.77260273972603</v>
      </c>
      <c r="C1379" s="6">
        <f>EXP(-r_free*(('2_Discount_Factors'!B1379+'2_Discount_Factors'!B1380)/2))</f>
        <v>0.893028319090234</v>
      </c>
      <c r="D1379" s="6">
        <f>'3_Survival_Probs'!D1379</f>
        <v>0.91931418407457</v>
      </c>
      <c r="E1379" s="6">
        <f>'3_Survival_Probs'!D1380</f>
        <v>0.919237188357678</v>
      </c>
      <c r="F1379" s="8">
        <f t="shared" si="51"/>
        <v>7.69957168923474e-5</v>
      </c>
      <c r="G1379" s="29">
        <f>(1-recovery)*notional*C1379*F1379</f>
        <v>412.556133801123</v>
      </c>
      <c r="H1379" s="8">
        <f t="shared" si="52"/>
        <v>1.69543616630614e-6</v>
      </c>
      <c r="I1379" s="30"/>
    </row>
    <row r="1380" spans="1:9">
      <c r="A1380" s="10">
        <v>1378</v>
      </c>
      <c r="B1380" s="12">
        <f>'2_Discount_Factors'!B1381</f>
        <v>3.77534246575342</v>
      </c>
      <c r="C1380" s="12">
        <f>EXP(-r_free*(('2_Discount_Factors'!B1380+'2_Discount_Factors'!B1381)/2))</f>
        <v>0.892954922518702</v>
      </c>
      <c r="D1380" s="12">
        <f>'3_Survival_Probs'!D1380</f>
        <v>0.919237188357678</v>
      </c>
      <c r="E1380" s="12">
        <f>'3_Survival_Probs'!D1381</f>
        <v>0.919160199089441</v>
      </c>
      <c r="F1380" s="14">
        <f t="shared" si="51"/>
        <v>7.69892682368489e-5</v>
      </c>
      <c r="G1380" s="32">
        <f>(1-recovery)*notional*C1380*F1380</f>
        <v>412.487676319242</v>
      </c>
      <c r="H1380" s="14">
        <f t="shared" si="52"/>
        <v>1.88350537132087e-6</v>
      </c>
      <c r="I1380" s="33"/>
    </row>
    <row r="1381" spans="1:9">
      <c r="A1381" s="4">
        <v>1379</v>
      </c>
      <c r="B1381" s="6">
        <f>'2_Discount_Factors'!B1382</f>
        <v>3.77808219178082</v>
      </c>
      <c r="C1381" s="6">
        <f>EXP(-r_free*(('2_Discount_Factors'!B1381+'2_Discount_Factors'!B1382)/2))</f>
        <v>0.892881531979517</v>
      </c>
      <c r="D1381" s="6">
        <f>'3_Survival_Probs'!D1381</f>
        <v>0.919160199089441</v>
      </c>
      <c r="E1381" s="6">
        <f>'3_Survival_Probs'!D1382</f>
        <v>0.919083216269319</v>
      </c>
      <c r="F1381" s="8">
        <f t="shared" si="51"/>
        <v>7.6982820121585e-5</v>
      </c>
      <c r="G1381" s="29">
        <f>(1-recovery)*notional*C1381*F1381</f>
        <v>412.419230197587</v>
      </c>
      <c r="H1381" s="8">
        <f t="shared" si="52"/>
        <v>2.07151211514783e-6</v>
      </c>
      <c r="I1381" s="30"/>
    </row>
    <row r="1382" spans="1:9">
      <c r="A1382" s="10">
        <v>1380</v>
      </c>
      <c r="B1382" s="12">
        <f>'2_Discount_Factors'!B1383</f>
        <v>3.78082191780822</v>
      </c>
      <c r="C1382" s="12">
        <f>EXP(-r_free*(('2_Discount_Factors'!B1382+'2_Discount_Factors'!B1383)/2))</f>
        <v>0.892808147472184</v>
      </c>
      <c r="D1382" s="12">
        <f>'3_Survival_Probs'!D1382</f>
        <v>0.919083216269319</v>
      </c>
      <c r="E1382" s="12">
        <f>'3_Survival_Probs'!D1383</f>
        <v>0.919006239896773</v>
      </c>
      <c r="F1382" s="14">
        <f t="shared" si="51"/>
        <v>7.69763725462225e-5</v>
      </c>
      <c r="G1382" s="32">
        <f>(1-recovery)*notional*C1382*F1382</f>
        <v>412.350795432729</v>
      </c>
      <c r="H1382" s="14">
        <f t="shared" si="52"/>
        <v>2.25945641333017e-6</v>
      </c>
      <c r="I1382" s="33"/>
    </row>
    <row r="1383" spans="1:9">
      <c r="A1383" s="4">
        <v>1381</v>
      </c>
      <c r="B1383" s="6">
        <f>'2_Discount_Factors'!B1384</f>
        <v>3.78356164383562</v>
      </c>
      <c r="C1383" s="6">
        <f>EXP(-r_free*(('2_Discount_Factors'!B1383+'2_Discount_Factors'!B1384)/2))</f>
        <v>0.892734768996206</v>
      </c>
      <c r="D1383" s="6">
        <f>'3_Survival_Probs'!D1383</f>
        <v>0.919006239896773</v>
      </c>
      <c r="E1383" s="6">
        <f>'3_Survival_Probs'!D1384</f>
        <v>0.918929269971262</v>
      </c>
      <c r="F1383" s="8">
        <f t="shared" si="51"/>
        <v>7.69699255109835e-5</v>
      </c>
      <c r="G1383" s="29">
        <f>(1-recovery)*notional*C1383*F1383</f>
        <v>412.282372024218</v>
      </c>
      <c r="H1383" s="8">
        <f t="shared" si="52"/>
        <v>2.44733828142245e-6</v>
      </c>
      <c r="I1383" s="30"/>
    </row>
    <row r="1384" spans="1:9">
      <c r="A1384" s="10">
        <v>1382</v>
      </c>
      <c r="B1384" s="12">
        <f>'2_Discount_Factors'!B1385</f>
        <v>3.78630136986301</v>
      </c>
      <c r="C1384" s="12">
        <f>EXP(-r_free*(('2_Discount_Factors'!B1384+'2_Discount_Factors'!B1385)/2))</f>
        <v>0.892661396551088</v>
      </c>
      <c r="D1384" s="12">
        <f>'3_Survival_Probs'!D1384</f>
        <v>0.918929269971262</v>
      </c>
      <c r="E1384" s="12">
        <f>'3_Survival_Probs'!D1385</f>
        <v>0.918852306492247</v>
      </c>
      <c r="F1384" s="14">
        <f t="shared" si="51"/>
        <v>7.69634790156459e-5</v>
      </c>
      <c r="G1384" s="32">
        <f>(1-recovery)*notional*C1384*F1384</f>
        <v>412.213959969221</v>
      </c>
      <c r="H1384" s="14">
        <f t="shared" si="52"/>
        <v>2.63515773496321e-6</v>
      </c>
      <c r="I1384" s="33"/>
    </row>
    <row r="1385" spans="1:9">
      <c r="A1385" s="4">
        <v>1383</v>
      </c>
      <c r="B1385" s="6">
        <f>'2_Discount_Factors'!B1386</f>
        <v>3.78904109589041</v>
      </c>
      <c r="C1385" s="6">
        <f>EXP(-r_free*(('2_Discount_Factors'!B1385+'2_Discount_Factors'!B1386)/2))</f>
        <v>0.892588030136334</v>
      </c>
      <c r="D1385" s="6">
        <f>'3_Survival_Probs'!D1385</f>
        <v>0.918852306492247</v>
      </c>
      <c r="E1385" s="6">
        <f>'3_Survival_Probs'!D1386</f>
        <v>0.918775349459186</v>
      </c>
      <c r="F1385" s="8">
        <f t="shared" si="51"/>
        <v>7.69570330602098e-5</v>
      </c>
      <c r="G1385" s="29">
        <f>(1-recovery)*notional*C1385*F1385</f>
        <v>412.145559266097</v>
      </c>
      <c r="H1385" s="8">
        <f t="shared" si="52"/>
        <v>2.82291478949395e-6</v>
      </c>
      <c r="I1385" s="30"/>
    </row>
    <row r="1386" spans="1:9">
      <c r="A1386" s="10">
        <v>1384</v>
      </c>
      <c r="B1386" s="12">
        <f>'2_Discount_Factors'!B1387</f>
        <v>3.79178082191781</v>
      </c>
      <c r="C1386" s="12">
        <f>EXP(-r_free*(('2_Discount_Factors'!B1386+'2_Discount_Factors'!B1387)/2))</f>
        <v>0.892514669751448</v>
      </c>
      <c r="D1386" s="12">
        <f>'3_Survival_Probs'!D1386</f>
        <v>0.918775349459186</v>
      </c>
      <c r="E1386" s="12">
        <f>'3_Survival_Probs'!D1387</f>
        <v>0.918698398871542</v>
      </c>
      <c r="F1386" s="14">
        <f t="shared" si="51"/>
        <v>7.69505876446752e-5</v>
      </c>
      <c r="G1386" s="32">
        <f>(1-recovery)*notional*C1386*F1386</f>
        <v>412.077169913203</v>
      </c>
      <c r="H1386" s="14">
        <f t="shared" si="52"/>
        <v>3.01060946055322e-6</v>
      </c>
      <c r="I1386" s="33"/>
    </row>
    <row r="1387" spans="1:9">
      <c r="A1387" s="4">
        <v>1385</v>
      </c>
      <c r="B1387" s="6">
        <f>'2_Discount_Factors'!B1388</f>
        <v>3.79452054794521</v>
      </c>
      <c r="C1387" s="6">
        <f>EXP(-r_free*(('2_Discount_Factors'!B1387+'2_Discount_Factors'!B1388)/2))</f>
        <v>0.892441315395936</v>
      </c>
      <c r="D1387" s="6">
        <f>'3_Survival_Probs'!D1387</f>
        <v>0.918698398871542</v>
      </c>
      <c r="E1387" s="6">
        <f>'3_Survival_Probs'!D1388</f>
        <v>0.918621454728773</v>
      </c>
      <c r="F1387" s="8">
        <f t="shared" si="51"/>
        <v>7.6944142768931e-5</v>
      </c>
      <c r="G1387" s="29">
        <f>(1-recovery)*notional*C1387*F1387</f>
        <v>412.008791908305</v>
      </c>
      <c r="H1387" s="8">
        <f t="shared" si="52"/>
        <v>3.19824176367192e-6</v>
      </c>
      <c r="I1387" s="30"/>
    </row>
    <row r="1388" spans="1:9">
      <c r="A1388" s="10">
        <v>1386</v>
      </c>
      <c r="B1388" s="12">
        <f>'2_Discount_Factors'!B1389</f>
        <v>3.7972602739726</v>
      </c>
      <c r="C1388" s="12">
        <f>EXP(-r_free*(('2_Discount_Factors'!B1388+'2_Discount_Factors'!B1389)/2))</f>
        <v>0.8923679670693</v>
      </c>
      <c r="D1388" s="12">
        <f>'3_Survival_Probs'!D1388</f>
        <v>0.918621454728773</v>
      </c>
      <c r="E1388" s="12">
        <f>'3_Survival_Probs'!D1389</f>
        <v>0.91854451703034</v>
      </c>
      <c r="F1388" s="14">
        <f t="shared" si="51"/>
        <v>7.69376984329773e-5</v>
      </c>
      <c r="G1388" s="32">
        <f>(1-recovery)*notional*C1388*F1388</f>
        <v>411.940425249761</v>
      </c>
      <c r="H1388" s="14">
        <f t="shared" si="52"/>
        <v>3.38581171438175e-6</v>
      </c>
      <c r="I1388" s="33"/>
    </row>
    <row r="1389" spans="1:9">
      <c r="A1389" s="4">
        <v>1387</v>
      </c>
      <c r="B1389" s="6">
        <f>'2_Discount_Factors'!B1390</f>
        <v>3.8</v>
      </c>
      <c r="C1389" s="6">
        <f>EXP(-r_free*(('2_Discount_Factors'!B1389+'2_Discount_Factors'!B1390)/2))</f>
        <v>0.892294624771047</v>
      </c>
      <c r="D1389" s="6">
        <f>'3_Survival_Probs'!D1389</f>
        <v>0.91854451703034</v>
      </c>
      <c r="E1389" s="6">
        <f>'3_Survival_Probs'!D1390</f>
        <v>0.918467585775703</v>
      </c>
      <c r="F1389" s="8">
        <f t="shared" si="51"/>
        <v>7.69312546368139e-5</v>
      </c>
      <c r="G1389" s="29">
        <f>(1-recovery)*notional*C1389*F1389</f>
        <v>411.87206993593</v>
      </c>
      <c r="H1389" s="8">
        <f t="shared" si="52"/>
        <v>3.5733193282114e-6</v>
      </c>
      <c r="I1389" s="30"/>
    </row>
    <row r="1390" spans="1:9">
      <c r="A1390" s="10">
        <v>1388</v>
      </c>
      <c r="B1390" s="12">
        <f>'2_Discount_Factors'!B1391</f>
        <v>3.8027397260274</v>
      </c>
      <c r="C1390" s="12">
        <f>EXP(-r_free*(('2_Discount_Factors'!B1390+'2_Discount_Factors'!B1391)/2))</f>
        <v>0.89222128850068</v>
      </c>
      <c r="D1390" s="12">
        <f>'3_Survival_Probs'!D1390</f>
        <v>0.918467585775703</v>
      </c>
      <c r="E1390" s="12">
        <f>'3_Survival_Probs'!D1391</f>
        <v>0.918390660964323</v>
      </c>
      <c r="F1390" s="14">
        <f t="shared" si="51"/>
        <v>7.692481138033e-5</v>
      </c>
      <c r="G1390" s="32">
        <f>(1-recovery)*notional*C1390*F1390</f>
        <v>411.803725964579</v>
      </c>
      <c r="H1390" s="14">
        <f t="shared" si="52"/>
        <v>3.76076462068122e-6</v>
      </c>
      <c r="I1390" s="33"/>
    </row>
    <row r="1391" spans="1:9">
      <c r="A1391" s="4">
        <v>1389</v>
      </c>
      <c r="B1391" s="6">
        <f>'2_Discount_Factors'!B1392</f>
        <v>3.80547945205479</v>
      </c>
      <c r="C1391" s="6">
        <f>EXP(-r_free*(('2_Discount_Factors'!B1391+'2_Discount_Factors'!B1392)/2))</f>
        <v>0.892147958257703</v>
      </c>
      <c r="D1391" s="6">
        <f>'3_Survival_Probs'!D1391</f>
        <v>0.918390660964323</v>
      </c>
      <c r="E1391" s="6">
        <f>'3_Survival_Probs'!D1392</f>
        <v>0.918313742595659</v>
      </c>
      <c r="F1391" s="8">
        <f t="shared" si="51"/>
        <v>7.69183686634145e-5</v>
      </c>
      <c r="G1391" s="29">
        <f>(1-recovery)*notional*C1391*F1391</f>
        <v>411.735393333471</v>
      </c>
      <c r="H1391" s="8">
        <f t="shared" si="52"/>
        <v>3.9481476073074e-6</v>
      </c>
      <c r="I1391" s="30"/>
    </row>
    <row r="1392" spans="1:9">
      <c r="A1392" s="10">
        <v>1390</v>
      </c>
      <c r="B1392" s="12">
        <f>'2_Discount_Factors'!B1393</f>
        <v>3.80821917808219</v>
      </c>
      <c r="C1392" s="12">
        <f>EXP(-r_free*(('2_Discount_Factors'!B1392+'2_Discount_Factors'!B1393)/2))</f>
        <v>0.892074634041623</v>
      </c>
      <c r="D1392" s="12">
        <f>'3_Survival_Probs'!D1392</f>
        <v>0.918313742595659</v>
      </c>
      <c r="E1392" s="12">
        <f>'3_Survival_Probs'!D1393</f>
        <v>0.918236830669173</v>
      </c>
      <c r="F1392" s="14">
        <f t="shared" si="51"/>
        <v>7.69119264861784e-5</v>
      </c>
      <c r="G1392" s="32">
        <f>(1-recovery)*notional*C1392*F1392</f>
        <v>411.667072041563</v>
      </c>
      <c r="H1392" s="14">
        <f t="shared" si="52"/>
        <v>4.13546830361402e-6</v>
      </c>
      <c r="I1392" s="33"/>
    </row>
    <row r="1393" spans="1:9">
      <c r="A1393" s="4">
        <v>1391</v>
      </c>
      <c r="B1393" s="6">
        <f>'2_Discount_Factors'!B1394</f>
        <v>3.81095890410959</v>
      </c>
      <c r="C1393" s="6">
        <f>EXP(-r_free*(('2_Discount_Factors'!B1393+'2_Discount_Factors'!B1394)/2))</f>
        <v>0.892001315851942</v>
      </c>
      <c r="D1393" s="6">
        <f>'3_Survival_Probs'!D1393</f>
        <v>0.918236830669173</v>
      </c>
      <c r="E1393" s="6">
        <f>'3_Survival_Probs'!D1394</f>
        <v>0.918159925184325</v>
      </c>
      <c r="F1393" s="8">
        <f t="shared" si="51"/>
        <v>7.69054848483997e-5</v>
      </c>
      <c r="G1393" s="29">
        <f>(1-recovery)*notional*C1393*F1393</f>
        <v>411.598762086025</v>
      </c>
      <c r="H1393" s="8">
        <f t="shared" si="52"/>
        <v>4.32272672510453e-6</v>
      </c>
      <c r="I1393" s="30"/>
    </row>
    <row r="1394" spans="1:9">
      <c r="A1394" s="10">
        <v>1392</v>
      </c>
      <c r="B1394" s="12">
        <f>'2_Discount_Factors'!B1395</f>
        <v>3.81369863013699</v>
      </c>
      <c r="C1394" s="12">
        <f>EXP(-r_free*(('2_Discount_Factors'!B1394+'2_Discount_Factors'!B1395)/2))</f>
        <v>0.891928003688167</v>
      </c>
      <c r="D1394" s="12">
        <f>'3_Survival_Probs'!D1394</f>
        <v>0.918159925184325</v>
      </c>
      <c r="E1394" s="12">
        <f>'3_Survival_Probs'!D1395</f>
        <v>0.918083026140574</v>
      </c>
      <c r="F1394" s="14">
        <f t="shared" si="51"/>
        <v>7.68990437503003e-5</v>
      </c>
      <c r="G1394" s="32">
        <f>(1-recovery)*notional*C1394*F1394</f>
        <v>411.530463466406</v>
      </c>
      <c r="H1394" s="14">
        <f t="shared" si="52"/>
        <v>4.50992288730322e-6</v>
      </c>
      <c r="I1394" s="33"/>
    </row>
    <row r="1395" spans="1:9">
      <c r="A1395" s="4">
        <v>1393</v>
      </c>
      <c r="B1395" s="6">
        <f>'2_Discount_Factors'!B1396</f>
        <v>3.81643835616438</v>
      </c>
      <c r="C1395" s="6">
        <f>EXP(-r_free*(('2_Discount_Factors'!B1395+'2_Discount_Factors'!B1396)/2))</f>
        <v>0.891854697549801</v>
      </c>
      <c r="D1395" s="6">
        <f>'3_Survival_Probs'!D1395</f>
        <v>0.918083026140574</v>
      </c>
      <c r="E1395" s="6">
        <f>'3_Survival_Probs'!D1396</f>
        <v>0.918006133537383</v>
      </c>
      <c r="F1395" s="8">
        <f t="shared" si="51"/>
        <v>7.68926031915473e-5</v>
      </c>
      <c r="G1395" s="29">
        <f>(1-recovery)*notional*C1395*F1395</f>
        <v>411.462176179286</v>
      </c>
      <c r="H1395" s="8">
        <f t="shared" si="52"/>
        <v>4.69705680569975e-6</v>
      </c>
      <c r="I1395" s="30"/>
    </row>
    <row r="1396" spans="1:9">
      <c r="A1396" s="10">
        <v>1394</v>
      </c>
      <c r="B1396" s="12">
        <f>'2_Discount_Factors'!B1397</f>
        <v>3.81917808219178</v>
      </c>
      <c r="C1396" s="12">
        <f>EXP(-r_free*(('2_Discount_Factors'!B1396+'2_Discount_Factors'!B1397)/2))</f>
        <v>0.89178139743635</v>
      </c>
      <c r="D1396" s="12">
        <f>'3_Survival_Probs'!D1396</f>
        <v>0.918006133537383</v>
      </c>
      <c r="E1396" s="12">
        <f>'3_Survival_Probs'!D1397</f>
        <v>0.917929247374211</v>
      </c>
      <c r="F1396" s="14">
        <f t="shared" si="51"/>
        <v>7.68861631721407e-5</v>
      </c>
      <c r="G1396" s="32">
        <f>(1-recovery)*notional*C1396*F1396</f>
        <v>411.393900223025</v>
      </c>
      <c r="H1396" s="14">
        <f t="shared" si="52"/>
        <v>4.88412849579862e-6</v>
      </c>
      <c r="I1396" s="33"/>
    </row>
    <row r="1397" spans="1:9">
      <c r="A1397" s="4">
        <v>1395</v>
      </c>
      <c r="B1397" s="6">
        <f>'2_Discount_Factors'!B1398</f>
        <v>3.82191780821918</v>
      </c>
      <c r="C1397" s="6">
        <f>EXP(-r_free*(('2_Discount_Factors'!B1397+'2_Discount_Factors'!B1398)/2))</f>
        <v>0.891708103347318</v>
      </c>
      <c r="D1397" s="6">
        <f>'3_Survival_Probs'!D1397</f>
        <v>0.917929247374211</v>
      </c>
      <c r="E1397" s="6">
        <f>'3_Survival_Probs'!D1398</f>
        <v>0.917852367650518</v>
      </c>
      <c r="F1397" s="8">
        <f t="shared" si="51"/>
        <v>7.68797236921914e-5</v>
      </c>
      <c r="G1397" s="29">
        <f>(1-recovery)*notional*C1397*F1397</f>
        <v>411.325635596579</v>
      </c>
      <c r="H1397" s="8">
        <f t="shared" si="52"/>
        <v>5.07113797310867e-6</v>
      </c>
      <c r="I1397" s="30"/>
    </row>
    <row r="1398" spans="1:9">
      <c r="A1398" s="10">
        <v>1396</v>
      </c>
      <c r="B1398" s="12">
        <f>'2_Discount_Factors'!B1399</f>
        <v>3.82465753424657</v>
      </c>
      <c r="C1398" s="12">
        <f>EXP(-r_free*(('2_Discount_Factors'!B1398+'2_Discount_Factors'!B1399)/2))</f>
        <v>0.89163481528221</v>
      </c>
      <c r="D1398" s="12">
        <f>'3_Survival_Probs'!D1398</f>
        <v>0.917852367650518</v>
      </c>
      <c r="E1398" s="12">
        <f>'3_Survival_Probs'!D1399</f>
        <v>0.917775494365767</v>
      </c>
      <c r="F1398" s="14">
        <f t="shared" si="51"/>
        <v>7.68732847515885e-5</v>
      </c>
      <c r="G1398" s="32">
        <f>(1-recovery)*notional*C1398*F1398</f>
        <v>411.257382297716</v>
      </c>
      <c r="H1398" s="14">
        <f t="shared" si="52"/>
        <v>5.25808525312161e-6</v>
      </c>
      <c r="I1398" s="33"/>
    </row>
    <row r="1399" spans="1:9">
      <c r="A1399" s="4">
        <v>1397</v>
      </c>
      <c r="B1399" s="6">
        <f>'2_Discount_Factors'!B1400</f>
        <v>3.82739726027397</v>
      </c>
      <c r="C1399" s="6">
        <f>EXP(-r_free*(('2_Discount_Factors'!B1399+'2_Discount_Factors'!B1400)/2))</f>
        <v>0.891561533240531</v>
      </c>
      <c r="D1399" s="6">
        <f>'3_Survival_Probs'!D1399</f>
        <v>0.917775494365767</v>
      </c>
      <c r="E1399" s="6">
        <f>'3_Survival_Probs'!D1400</f>
        <v>0.917698627519417</v>
      </c>
      <c r="F1399" s="8">
        <f t="shared" si="51"/>
        <v>7.68668463503319e-5</v>
      </c>
      <c r="G1399" s="29">
        <f>(1-recovery)*notional*C1399*F1399</f>
        <v>411.189140324798</v>
      </c>
      <c r="H1399" s="8">
        <f t="shared" si="52"/>
        <v>5.44497035133307e-6</v>
      </c>
      <c r="I1399" s="30"/>
    </row>
    <row r="1400" spans="1:9">
      <c r="A1400" s="10">
        <v>1398</v>
      </c>
      <c r="B1400" s="12">
        <f>'2_Discount_Factors'!B1401</f>
        <v>3.83013698630137</v>
      </c>
      <c r="C1400" s="12">
        <f>EXP(-r_free*(('2_Discount_Factors'!B1400+'2_Discount_Factors'!B1401)/2))</f>
        <v>0.891488257221786</v>
      </c>
      <c r="D1400" s="12">
        <f>'3_Survival_Probs'!D1400</f>
        <v>0.917698627519417</v>
      </c>
      <c r="E1400" s="12">
        <f>'3_Survival_Probs'!D1401</f>
        <v>0.917621767110928</v>
      </c>
      <c r="F1400" s="14">
        <f t="shared" si="51"/>
        <v>7.68604084881996e-5</v>
      </c>
      <c r="G1400" s="32">
        <f>(1-recovery)*notional*C1400*F1400</f>
        <v>411.120909674998</v>
      </c>
      <c r="H1400" s="14">
        <f t="shared" si="52"/>
        <v>5.6317932832193e-6</v>
      </c>
      <c r="I1400" s="33"/>
    </row>
    <row r="1401" spans="1:9">
      <c r="A1401" s="4">
        <v>1399</v>
      </c>
      <c r="B1401" s="6">
        <f>'2_Discount_Factors'!B1402</f>
        <v>3.83287671232877</v>
      </c>
      <c r="C1401" s="6">
        <f>EXP(-r_free*(('2_Discount_Factors'!B1401+'2_Discount_Factors'!B1402)/2))</f>
        <v>0.89141498722548</v>
      </c>
      <c r="D1401" s="6">
        <f>'3_Survival_Probs'!D1401</f>
        <v>0.917621767110928</v>
      </c>
      <c r="E1401" s="6">
        <f>'3_Survival_Probs'!D1402</f>
        <v>0.917544913139763</v>
      </c>
      <c r="F1401" s="8">
        <f t="shared" si="51"/>
        <v>7.68539711653027e-5</v>
      </c>
      <c r="G1401" s="29">
        <f>(1-recovery)*notional*C1401*F1401</f>
        <v>411.052690347274</v>
      </c>
      <c r="H1401" s="8">
        <f t="shared" si="52"/>
        <v>5.81855406427664e-6</v>
      </c>
      <c r="I1401" s="30"/>
    </row>
    <row r="1402" spans="1:9">
      <c r="A1402" s="10">
        <v>1400</v>
      </c>
      <c r="B1402" s="12">
        <f>'2_Discount_Factors'!B1403</f>
        <v>3.83561643835616</v>
      </c>
      <c r="C1402" s="12">
        <f>EXP(-r_free*(('2_Discount_Factors'!B1402+'2_Discount_Factors'!B1403)/2))</f>
        <v>0.891341723251118</v>
      </c>
      <c r="D1402" s="12">
        <f>'3_Survival_Probs'!D1402</f>
        <v>0.917544913139763</v>
      </c>
      <c r="E1402" s="12">
        <f>'3_Survival_Probs'!D1403</f>
        <v>0.917468065605382</v>
      </c>
      <c r="F1402" s="14">
        <f t="shared" si="51"/>
        <v>7.684753438153e-5</v>
      </c>
      <c r="G1402" s="32">
        <f>(1-recovery)*notional*C1402*F1402</f>
        <v>410.984482339395</v>
      </c>
      <c r="H1402" s="14">
        <f t="shared" si="52"/>
        <v>6.00525270998216e-6</v>
      </c>
      <c r="I1402" s="33"/>
    </row>
    <row r="1403" spans="1:9">
      <c r="A1403" s="4">
        <v>1401</v>
      </c>
      <c r="B1403" s="6">
        <f>'2_Discount_Factors'!B1404</f>
        <v>3.83835616438356</v>
      </c>
      <c r="C1403" s="6">
        <f>EXP(-r_free*(('2_Discount_Factors'!B1403+'2_Discount_Factors'!B1404)/2))</f>
        <v>0.891268465298206</v>
      </c>
      <c r="D1403" s="6">
        <f>'3_Survival_Probs'!D1403</f>
        <v>0.917468065605382</v>
      </c>
      <c r="E1403" s="6">
        <f>'3_Survival_Probs'!D1404</f>
        <v>0.917391224507245</v>
      </c>
      <c r="F1403" s="8">
        <f t="shared" si="51"/>
        <v>7.68410981368817e-5</v>
      </c>
      <c r="G1403" s="29">
        <f>(1-recovery)*notional*C1403*F1403</f>
        <v>410.916285649724</v>
      </c>
      <c r="H1403" s="8">
        <f t="shared" si="52"/>
        <v>6.19188923581789e-6</v>
      </c>
      <c r="I1403" s="30"/>
    </row>
    <row r="1404" spans="1:9">
      <c r="A1404" s="10">
        <v>1402</v>
      </c>
      <c r="B1404" s="12">
        <f>'2_Discount_Factors'!B1405</f>
        <v>3.84109589041096</v>
      </c>
      <c r="C1404" s="12">
        <f>EXP(-r_free*(('2_Discount_Factors'!B1404+'2_Discount_Factors'!B1405)/2))</f>
        <v>0.891195213366247</v>
      </c>
      <c r="D1404" s="12">
        <f>'3_Survival_Probs'!D1404</f>
        <v>0.917391224507245</v>
      </c>
      <c r="E1404" s="12">
        <f>'3_Survival_Probs'!D1405</f>
        <v>0.917314389844813</v>
      </c>
      <c r="F1404" s="14">
        <f t="shared" si="51"/>
        <v>7.68346624312466e-5</v>
      </c>
      <c r="G1404" s="32">
        <f>(1-recovery)*notional*C1404*F1404</f>
        <v>410.84810027603</v>
      </c>
      <c r="H1404" s="14">
        <f t="shared" si="52"/>
        <v>6.37846365725358e-6</v>
      </c>
      <c r="I1404" s="33"/>
    </row>
    <row r="1405" spans="1:9">
      <c r="A1405" s="4">
        <v>1403</v>
      </c>
      <c r="B1405" s="6">
        <f>'2_Discount_Factors'!B1406</f>
        <v>3.84383561643836</v>
      </c>
      <c r="C1405" s="6">
        <f>EXP(-r_free*(('2_Discount_Factors'!B1405+'2_Discount_Factors'!B1406)/2))</f>
        <v>0.891121967454748</v>
      </c>
      <c r="D1405" s="6">
        <f>'3_Survival_Probs'!D1405</f>
        <v>0.917314389844813</v>
      </c>
      <c r="E1405" s="6">
        <f>'3_Survival_Probs'!D1406</f>
        <v>0.917237561617549</v>
      </c>
      <c r="F1405" s="8">
        <f t="shared" si="51"/>
        <v>7.68282272647358e-5</v>
      </c>
      <c r="G1405" s="29">
        <f>(1-recovery)*notional*C1405*F1405</f>
        <v>410.779926217271</v>
      </c>
      <c r="H1405" s="8">
        <f t="shared" si="52"/>
        <v>6.56497598977389e-6</v>
      </c>
      <c r="I1405" s="30"/>
    </row>
    <row r="1406" spans="1:9">
      <c r="A1406" s="10">
        <v>1404</v>
      </c>
      <c r="B1406" s="12">
        <f>'2_Discount_Factors'!B1407</f>
        <v>3.84657534246575</v>
      </c>
      <c r="C1406" s="12">
        <f>EXP(-r_free*(('2_Discount_Factors'!B1406+'2_Discount_Factors'!B1407)/2))</f>
        <v>0.891048727563213</v>
      </c>
      <c r="D1406" s="12">
        <f>'3_Survival_Probs'!D1406</f>
        <v>0.917237561617549</v>
      </c>
      <c r="E1406" s="12">
        <f>'3_Survival_Probs'!D1407</f>
        <v>0.917160739824912</v>
      </c>
      <c r="F1406" s="14">
        <f t="shared" si="51"/>
        <v>7.68217926371273e-5</v>
      </c>
      <c r="G1406" s="32">
        <f>(1-recovery)*notional*C1406*F1406</f>
        <v>410.711763470624</v>
      </c>
      <c r="H1406" s="14">
        <f t="shared" si="52"/>
        <v>6.75142624883232e-6</v>
      </c>
      <c r="I1406" s="33"/>
    </row>
    <row r="1407" spans="1:9">
      <c r="A1407" s="4">
        <v>1405</v>
      </c>
      <c r="B1407" s="6">
        <f>'2_Discount_Factors'!B1408</f>
        <v>3.84931506849315</v>
      </c>
      <c r="C1407" s="6">
        <f>EXP(-r_free*(('2_Discount_Factors'!B1407+'2_Discount_Factors'!B1408)/2))</f>
        <v>0.890975493691148</v>
      </c>
      <c r="D1407" s="6">
        <f>'3_Survival_Probs'!D1407</f>
        <v>0.917160739824912</v>
      </c>
      <c r="E1407" s="6">
        <f>'3_Survival_Probs'!D1408</f>
        <v>0.917083924466363</v>
      </c>
      <c r="F1407" s="8">
        <f t="shared" si="51"/>
        <v>7.6815358548421e-5</v>
      </c>
      <c r="G1407" s="29">
        <f>(1-recovery)*notional*C1407*F1407</f>
        <v>410.643612034452</v>
      </c>
      <c r="H1407" s="8">
        <f t="shared" si="52"/>
        <v>6.93781444989726e-6</v>
      </c>
      <c r="I1407" s="30"/>
    </row>
    <row r="1408" spans="1:9">
      <c r="A1408" s="10">
        <v>1406</v>
      </c>
      <c r="B1408" s="12">
        <f>'2_Discount_Factors'!B1409</f>
        <v>3.85205479452055</v>
      </c>
      <c r="C1408" s="12">
        <f>EXP(-r_free*(('2_Discount_Factors'!B1408+'2_Discount_Factors'!B1409)/2))</f>
        <v>0.890902265838057</v>
      </c>
      <c r="D1408" s="12">
        <f>'3_Survival_Probs'!D1408</f>
        <v>0.917083924466363</v>
      </c>
      <c r="E1408" s="12">
        <f>'3_Survival_Probs'!D1409</f>
        <v>0.917007115541364</v>
      </c>
      <c r="F1408" s="14">
        <f t="shared" si="51"/>
        <v>7.6808924998617e-5</v>
      </c>
      <c r="G1408" s="32">
        <f>(1-recovery)*notional*C1408*F1408</f>
        <v>410.57547190712</v>
      </c>
      <c r="H1408" s="14">
        <f t="shared" si="52"/>
        <v>7.12414060843418e-6</v>
      </c>
      <c r="I1408" s="33"/>
    </row>
    <row r="1409" spans="1:9">
      <c r="A1409" s="4">
        <v>1407</v>
      </c>
      <c r="B1409" s="6">
        <f>'2_Discount_Factors'!B1410</f>
        <v>3.85479452054795</v>
      </c>
      <c r="C1409" s="6">
        <f>EXP(-r_free*(('2_Discount_Factors'!B1409+'2_Discount_Factors'!B1410)/2))</f>
        <v>0.890829044003448</v>
      </c>
      <c r="D1409" s="6">
        <f>'3_Survival_Probs'!D1409</f>
        <v>0.917007115541364</v>
      </c>
      <c r="E1409" s="6">
        <f>'3_Survival_Probs'!D1410</f>
        <v>0.916930313049377</v>
      </c>
      <c r="F1409" s="8">
        <f t="shared" si="51"/>
        <v>7.68024919876042e-5</v>
      </c>
      <c r="G1409" s="29">
        <f>(1-recovery)*notional*C1409*F1409</f>
        <v>410.5073430864</v>
      </c>
      <c r="H1409" s="8">
        <f t="shared" si="52"/>
        <v>7.31040473989493e-6</v>
      </c>
      <c r="I1409" s="30"/>
    </row>
    <row r="1410" spans="1:9">
      <c r="A1410" s="10">
        <v>1408</v>
      </c>
      <c r="B1410" s="12">
        <f>'2_Discount_Factors'!B1411</f>
        <v>3.85753424657534</v>
      </c>
      <c r="C1410" s="12">
        <f>EXP(-r_free*(('2_Discount_Factors'!B1410+'2_Discount_Factors'!B1411)/2))</f>
        <v>0.890755828186824</v>
      </c>
      <c r="D1410" s="12">
        <f>'3_Survival_Probs'!D1410</f>
        <v>0.916930313049377</v>
      </c>
      <c r="E1410" s="12">
        <f>'3_Survival_Probs'!D1411</f>
        <v>0.916853516989862</v>
      </c>
      <c r="F1410" s="14">
        <f t="shared" si="51"/>
        <v>7.67960595153827e-5</v>
      </c>
      <c r="G1410" s="32">
        <f>(1-recovery)*notional*C1410*F1410</f>
        <v>410.439225570656</v>
      </c>
      <c r="H1410" s="14">
        <f t="shared" si="52"/>
        <v>7.49660685973816e-6</v>
      </c>
      <c r="I1410" s="33"/>
    </row>
    <row r="1411" spans="1:9">
      <c r="A1411" s="4">
        <v>1409</v>
      </c>
      <c r="B1411" s="6">
        <f>'2_Discount_Factors'!B1412</f>
        <v>3.86027397260274</v>
      </c>
      <c r="C1411" s="6">
        <f>EXP(-r_free*(('2_Discount_Factors'!B1411+'2_Discount_Factors'!B1412)/2))</f>
        <v>0.89068261838769</v>
      </c>
      <c r="D1411" s="6">
        <f>'3_Survival_Probs'!D1411</f>
        <v>0.916853516989862</v>
      </c>
      <c r="E1411" s="6">
        <f>'3_Survival_Probs'!D1412</f>
        <v>0.91677672736228</v>
      </c>
      <c r="F1411" s="8">
        <f t="shared" ref="F1411:F1474" si="53">D1411-E1411</f>
        <v>7.67896275819524e-5</v>
      </c>
      <c r="G1411" s="29">
        <f>(1-recovery)*notional*C1411*F1411</f>
        <v>410.371119358254</v>
      </c>
      <c r="H1411" s="8">
        <f t="shared" si="52"/>
        <v>7.68274698341949e-6</v>
      </c>
      <c r="I1411" s="30"/>
    </row>
    <row r="1412" spans="1:9">
      <c r="A1412" s="10">
        <v>1410</v>
      </c>
      <c r="B1412" s="12">
        <f>'2_Discount_Factors'!B1413</f>
        <v>3.86301369863014</v>
      </c>
      <c r="C1412" s="12">
        <f>EXP(-r_free*(('2_Discount_Factors'!B1412+'2_Discount_Factors'!B1413)/2))</f>
        <v>0.890609414605554</v>
      </c>
      <c r="D1412" s="12">
        <f>'3_Survival_Probs'!D1412</f>
        <v>0.91677672736228</v>
      </c>
      <c r="E1412" s="12">
        <f>'3_Survival_Probs'!D1413</f>
        <v>0.916699944166092</v>
      </c>
      <c r="F1412" s="14">
        <f t="shared" si="53"/>
        <v>7.67831961872023e-5</v>
      </c>
      <c r="G1412" s="32">
        <f>(1-recovery)*notional*C1412*F1412</f>
        <v>410.303024446966</v>
      </c>
      <c r="H1412" s="14">
        <f t="shared" si="52"/>
        <v>7.8688251263803e-6</v>
      </c>
      <c r="I1412" s="33"/>
    </row>
    <row r="1413" spans="1:9">
      <c r="A1413" s="4">
        <v>1411</v>
      </c>
      <c r="B1413" s="6">
        <f>'2_Discount_Factors'!B1414</f>
        <v>3.86575342465753</v>
      </c>
      <c r="C1413" s="6">
        <f>EXP(-r_free*(('2_Discount_Factors'!B1413+'2_Discount_Factors'!B1414)/2))</f>
        <v>0.890536216839919</v>
      </c>
      <c r="D1413" s="6">
        <f>'3_Survival_Probs'!D1413</f>
        <v>0.916699944166092</v>
      </c>
      <c r="E1413" s="6">
        <f>'3_Survival_Probs'!D1414</f>
        <v>0.916623167400761</v>
      </c>
      <c r="F1413" s="8">
        <f t="shared" si="53"/>
        <v>7.67767653311324e-5</v>
      </c>
      <c r="G1413" s="29">
        <f>(1-recovery)*notional*C1413*F1413</f>
        <v>410.234940835158</v>
      </c>
      <c r="H1413" s="8">
        <f t="shared" si="52"/>
        <v>8.05484130406945e-6</v>
      </c>
      <c r="I1413" s="30"/>
    </row>
    <row r="1414" spans="1:9">
      <c r="A1414" s="10">
        <v>1412</v>
      </c>
      <c r="B1414" s="12">
        <f>'2_Discount_Factors'!B1415</f>
        <v>3.86849315068493</v>
      </c>
      <c r="C1414" s="12">
        <f>EXP(-r_free*(('2_Discount_Factors'!B1414+'2_Discount_Factors'!B1415)/2))</f>
        <v>0.890463025090292</v>
      </c>
      <c r="D1414" s="12">
        <f>'3_Survival_Probs'!D1414</f>
        <v>0.916623167400761</v>
      </c>
      <c r="E1414" s="12">
        <f>'3_Survival_Probs'!D1415</f>
        <v>0.916546397065748</v>
      </c>
      <c r="F1414" s="14">
        <f t="shared" si="53"/>
        <v>7.67703350136317e-5</v>
      </c>
      <c r="G1414" s="32">
        <f>(1-recovery)*notional*C1414*F1414</f>
        <v>410.166868520602</v>
      </c>
      <c r="H1414" s="14">
        <f t="shared" si="52"/>
        <v>8.24079553192092e-6</v>
      </c>
      <c r="I1414" s="33"/>
    </row>
    <row r="1415" spans="1:9">
      <c r="A1415" s="4">
        <v>1413</v>
      </c>
      <c r="B1415" s="6">
        <f>'2_Discount_Factors'!B1416</f>
        <v>3.87123287671233</v>
      </c>
      <c r="C1415" s="6">
        <f>EXP(-r_free*(('2_Discount_Factors'!B1415+'2_Discount_Factors'!B1416)/2))</f>
        <v>0.890389839356178</v>
      </c>
      <c r="D1415" s="6">
        <f>'3_Survival_Probs'!D1415</f>
        <v>0.916546397065748</v>
      </c>
      <c r="E1415" s="6">
        <f>'3_Survival_Probs'!D1416</f>
        <v>0.916469633160513</v>
      </c>
      <c r="F1415" s="8">
        <f t="shared" si="53"/>
        <v>7.67639052345892e-5</v>
      </c>
      <c r="G1415" s="29">
        <f>(1-recovery)*notional*C1415*F1415</f>
        <v>410.098807501072</v>
      </c>
      <c r="H1415" s="8">
        <f t="shared" si="52"/>
        <v>8.42668782536466e-6</v>
      </c>
      <c r="I1415" s="30"/>
    </row>
    <row r="1416" spans="1:9">
      <c r="A1416" s="10">
        <v>1414</v>
      </c>
      <c r="B1416" s="12">
        <f>'2_Discount_Factors'!B1417</f>
        <v>3.87397260273973</v>
      </c>
      <c r="C1416" s="12">
        <f>EXP(-r_free*(('2_Discount_Factors'!B1416+'2_Discount_Factors'!B1417)/2))</f>
        <v>0.890316659637082</v>
      </c>
      <c r="D1416" s="12">
        <f>'3_Survival_Probs'!D1416</f>
        <v>0.916469633160513</v>
      </c>
      <c r="E1416" s="12">
        <f>'3_Survival_Probs'!D1417</f>
        <v>0.916392875684519</v>
      </c>
      <c r="F1416" s="14">
        <f t="shared" si="53"/>
        <v>7.67574759942269e-5</v>
      </c>
      <c r="G1416" s="32">
        <f>(1-recovery)*notional*C1416*F1416</f>
        <v>410.030757776122</v>
      </c>
      <c r="H1416" s="14">
        <f t="shared" si="52"/>
        <v>8.61251819986388e-6</v>
      </c>
      <c r="I1416" s="33"/>
    </row>
    <row r="1417" spans="1:9">
      <c r="A1417" s="4">
        <v>1415</v>
      </c>
      <c r="B1417" s="6">
        <f>'2_Discount_Factors'!B1418</f>
        <v>3.87671232876712</v>
      </c>
      <c r="C1417" s="6">
        <f>EXP(-r_free*(('2_Discount_Factors'!B1417+'2_Discount_Factors'!B1418)/2))</f>
        <v>0.890243485932511</v>
      </c>
      <c r="D1417" s="6">
        <f>'3_Survival_Probs'!D1417</f>
        <v>0.916392875684519</v>
      </c>
      <c r="E1417" s="6">
        <f>'3_Survival_Probs'!D1418</f>
        <v>0.916316124637227</v>
      </c>
      <c r="F1417" s="8">
        <f t="shared" si="53"/>
        <v>7.67510472922117e-5</v>
      </c>
      <c r="G1417" s="29">
        <f>(1-recovery)*notional*C1417*F1417</f>
        <v>409.962719342337</v>
      </c>
      <c r="H1417" s="8">
        <f t="shared" si="52"/>
        <v>8.79828667081743e-6</v>
      </c>
      <c r="I1417" s="30"/>
    </row>
    <row r="1418" spans="1:9">
      <c r="A1418" s="10">
        <v>1416</v>
      </c>
      <c r="B1418" s="12">
        <f>'2_Discount_Factors'!B1419</f>
        <v>3.87945205479452</v>
      </c>
      <c r="C1418" s="12">
        <f>EXP(-r_free*(('2_Discount_Factors'!B1418+'2_Discount_Factors'!B1419)/2))</f>
        <v>0.89017031824197</v>
      </c>
      <c r="D1418" s="12">
        <f>'3_Survival_Probs'!D1418</f>
        <v>0.916316124637227</v>
      </c>
      <c r="E1418" s="12">
        <f>'3_Survival_Probs'!D1419</f>
        <v>0.916239380018098</v>
      </c>
      <c r="F1418" s="14">
        <f t="shared" si="53"/>
        <v>7.67446191287657e-5</v>
      </c>
      <c r="G1418" s="32">
        <f>(1-recovery)*notional*C1418*F1418</f>
        <v>409.894692199273</v>
      </c>
      <c r="H1418" s="14">
        <f t="shared" si="52"/>
        <v>8.98399325368284e-6</v>
      </c>
      <c r="I1418" s="33"/>
    </row>
    <row r="1419" spans="1:9">
      <c r="A1419" s="4">
        <v>1417</v>
      </c>
      <c r="B1419" s="6">
        <f>'2_Discount_Factors'!B1420</f>
        <v>3.88219178082192</v>
      </c>
      <c r="C1419" s="6">
        <f>EXP(-r_free*(('2_Discount_Factors'!B1419+'2_Discount_Factors'!B1420)/2))</f>
        <v>0.890097156564964</v>
      </c>
      <c r="D1419" s="6">
        <f>'3_Survival_Probs'!D1419</f>
        <v>0.916239380018098</v>
      </c>
      <c r="E1419" s="6">
        <f>'3_Survival_Probs'!D1420</f>
        <v>0.916162641826594</v>
      </c>
      <c r="F1419" s="8">
        <f t="shared" si="53"/>
        <v>7.67381915035559e-5</v>
      </c>
      <c r="G1419" s="29">
        <f>(1-recovery)*notional*C1419*F1419</f>
        <v>409.826676343517</v>
      </c>
      <c r="H1419" s="8">
        <f t="shared" si="52"/>
        <v>9.16963796385052e-6</v>
      </c>
      <c r="I1419" s="30"/>
    </row>
    <row r="1420" spans="1:9">
      <c r="A1420" s="10">
        <v>1418</v>
      </c>
      <c r="B1420" s="12">
        <f>'2_Discount_Factors'!B1421</f>
        <v>3.88493150684931</v>
      </c>
      <c r="C1420" s="12">
        <f>EXP(-r_free*(('2_Discount_Factors'!B1420+'2_Discount_Factors'!B1421)/2))</f>
        <v>0.890024000901</v>
      </c>
      <c r="D1420" s="12">
        <f>'3_Survival_Probs'!D1420</f>
        <v>0.916162641826594</v>
      </c>
      <c r="E1420" s="12">
        <f>'3_Survival_Probs'!D1421</f>
        <v>0.916085910062177</v>
      </c>
      <c r="F1420" s="14">
        <f t="shared" si="53"/>
        <v>7.67317644168042e-5</v>
      </c>
      <c r="G1420" s="32">
        <f>(1-recovery)*notional*C1420*F1420</f>
        <v>409.758671774622</v>
      </c>
      <c r="H1420" s="14">
        <f t="shared" si="52"/>
        <v>9.35522081677233e-6</v>
      </c>
      <c r="I1420" s="33"/>
    </row>
    <row r="1421" spans="1:9">
      <c r="A1421" s="4">
        <v>1419</v>
      </c>
      <c r="B1421" s="6">
        <f>'2_Discount_Factors'!B1422</f>
        <v>3.88767123287671</v>
      </c>
      <c r="C1421" s="6">
        <f>EXP(-r_free*(('2_Discount_Factors'!B1421+'2_Discount_Factors'!B1422)/2))</f>
        <v>0.889950851249583</v>
      </c>
      <c r="D1421" s="6">
        <f>'3_Survival_Probs'!D1421</f>
        <v>0.916085910062177</v>
      </c>
      <c r="E1421" s="6">
        <f>'3_Survival_Probs'!D1422</f>
        <v>0.916009184724309</v>
      </c>
      <c r="F1421" s="8">
        <f t="shared" si="53"/>
        <v>7.67253378682886e-5</v>
      </c>
      <c r="G1421" s="29">
        <f>(1-recovery)*notional*C1421*F1421</f>
        <v>409.690678489772</v>
      </c>
      <c r="H1421" s="8">
        <f t="shared" si="52"/>
        <v>9.54074182784414e-6</v>
      </c>
      <c r="I1421" s="30"/>
    </row>
    <row r="1422" spans="1:9">
      <c r="A1422" s="10">
        <v>1420</v>
      </c>
      <c r="B1422" s="12">
        <f>'2_Discount_Factors'!B1423</f>
        <v>3.89041095890411</v>
      </c>
      <c r="C1422" s="12">
        <f>EXP(-r_free*(('2_Discount_Factors'!B1422+'2_Discount_Factors'!B1423)/2))</f>
        <v>0.889877707610219</v>
      </c>
      <c r="D1422" s="12">
        <f>'3_Survival_Probs'!D1422</f>
        <v>0.916009184724309</v>
      </c>
      <c r="E1422" s="12">
        <f>'3_Survival_Probs'!D1423</f>
        <v>0.915932465812451</v>
      </c>
      <c r="F1422" s="14">
        <f t="shared" si="53"/>
        <v>7.67189118580092e-5</v>
      </c>
      <c r="G1422" s="32">
        <f>(1-recovery)*notional*C1422*F1422</f>
        <v>409.622696487334</v>
      </c>
      <c r="H1422" s="14">
        <f t="shared" si="52"/>
        <v>9.72620101248478e-6</v>
      </c>
      <c r="I1422" s="33"/>
    </row>
    <row r="1423" spans="1:9">
      <c r="A1423" s="4">
        <v>1421</v>
      </c>
      <c r="B1423" s="6">
        <f>'2_Discount_Factors'!B1424</f>
        <v>3.89315068493151</v>
      </c>
      <c r="C1423" s="6">
        <f>EXP(-r_free*(('2_Discount_Factors'!B1423+'2_Discount_Factors'!B1424)/2))</f>
        <v>0.889804569982414</v>
      </c>
      <c r="D1423" s="6">
        <f>'3_Survival_Probs'!D1423</f>
        <v>0.915932465812451</v>
      </c>
      <c r="E1423" s="6">
        <f>'3_Survival_Probs'!D1424</f>
        <v>0.915855753326065</v>
      </c>
      <c r="F1423" s="8">
        <f t="shared" si="53"/>
        <v>7.67124863858548e-5</v>
      </c>
      <c r="G1423" s="29">
        <f>(1-recovery)*notional*C1423*F1423</f>
        <v>409.554725765084</v>
      </c>
      <c r="H1423" s="8">
        <f t="shared" si="52"/>
        <v>9.91159838609579e-6</v>
      </c>
      <c r="I1423" s="30"/>
    </row>
    <row r="1424" spans="1:9">
      <c r="A1424" s="10">
        <v>1422</v>
      </c>
      <c r="B1424" s="12">
        <f>'2_Discount_Factors'!B1425</f>
        <v>3.8958904109589</v>
      </c>
      <c r="C1424" s="12">
        <f>EXP(-r_free*(('2_Discount_Factors'!B1424+'2_Discount_Factors'!B1425)/2))</f>
        <v>0.889731438365673</v>
      </c>
      <c r="D1424" s="12">
        <f>'3_Survival_Probs'!D1424</f>
        <v>0.915855753326065</v>
      </c>
      <c r="E1424" s="12">
        <f>'3_Survival_Probs'!D1425</f>
        <v>0.915779047264613</v>
      </c>
      <c r="F1424" s="14">
        <f t="shared" si="53"/>
        <v>7.67060614519366e-5</v>
      </c>
      <c r="G1424" s="32">
        <f>(1-recovery)*notional*C1424*F1424</f>
        <v>409.486766321984</v>
      </c>
      <c r="H1424" s="14">
        <f t="shared" si="52"/>
        <v>1.00969339641039e-5</v>
      </c>
      <c r="I1424" s="33"/>
    </row>
    <row r="1425" spans="1:9">
      <c r="A1425" s="4">
        <v>1423</v>
      </c>
      <c r="B1425" s="6">
        <f>'2_Discount_Factors'!B1426</f>
        <v>3.8986301369863</v>
      </c>
      <c r="C1425" s="6">
        <f>EXP(-r_free*(('2_Discount_Factors'!B1425+'2_Discount_Factors'!B1426)/2))</f>
        <v>0.889658312759504</v>
      </c>
      <c r="D1425" s="6">
        <f>'3_Survival_Probs'!D1425</f>
        <v>0.915779047264613</v>
      </c>
      <c r="E1425" s="6">
        <f>'3_Survival_Probs'!D1426</f>
        <v>0.915702347627557</v>
      </c>
      <c r="F1425" s="8">
        <f t="shared" si="53"/>
        <v>7.66996370561435e-5</v>
      </c>
      <c r="G1425" s="29">
        <f>(1-recovery)*notional*C1425*F1425</f>
        <v>409.41881815581</v>
      </c>
      <c r="H1425" s="8">
        <f t="shared" si="52"/>
        <v>1.0282207761904e-5</v>
      </c>
      <c r="I1425" s="30"/>
    </row>
    <row r="1426" spans="1:9">
      <c r="A1426" s="10">
        <v>1424</v>
      </c>
      <c r="B1426" s="12">
        <f>'2_Discount_Factors'!B1427</f>
        <v>3.9013698630137</v>
      </c>
      <c r="C1426" s="12">
        <f>EXP(-r_free*(('2_Discount_Factors'!B1426+'2_Discount_Factors'!B1427)/2))</f>
        <v>0.889585193163411</v>
      </c>
      <c r="D1426" s="12">
        <f>'3_Survival_Probs'!D1426</f>
        <v>0.915702347627557</v>
      </c>
      <c r="E1426" s="12">
        <f>'3_Survival_Probs'!D1427</f>
        <v>0.915625654414359</v>
      </c>
      <c r="F1426" s="14">
        <f t="shared" si="53"/>
        <v>7.66932131984754e-5</v>
      </c>
      <c r="G1426" s="32">
        <f>(1-recovery)*notional*C1426*F1426</f>
        <v>409.350881264931</v>
      </c>
      <c r="H1426" s="14">
        <f t="shared" si="52"/>
        <v>1.04674197949025e-5</v>
      </c>
      <c r="I1426" s="33"/>
    </row>
    <row r="1427" spans="1:9">
      <c r="A1427" s="4">
        <v>1425</v>
      </c>
      <c r="B1427" s="6">
        <f>'2_Discount_Factors'!B1428</f>
        <v>3.9041095890411</v>
      </c>
      <c r="C1427" s="6">
        <f>EXP(-r_free*(('2_Discount_Factors'!B1427+'2_Discount_Factors'!B1428)/2))</f>
        <v>0.889512079576901</v>
      </c>
      <c r="D1427" s="6">
        <f>'3_Survival_Probs'!D1427</f>
        <v>0.915625654414359</v>
      </c>
      <c r="E1427" s="6">
        <f>'3_Survival_Probs'!D1428</f>
        <v>0.91554896762448</v>
      </c>
      <c r="F1427" s="8">
        <f t="shared" si="53"/>
        <v>7.66867898787105e-5</v>
      </c>
      <c r="G1427" s="29">
        <f>(1-recovery)*notional*C1427*F1427</f>
        <v>409.282955646532</v>
      </c>
      <c r="H1427" s="8">
        <f t="shared" si="52"/>
        <v>1.06525700784715e-5</v>
      </c>
      <c r="I1427" s="30"/>
    </row>
    <row r="1428" spans="1:9">
      <c r="A1428" s="10">
        <v>1426</v>
      </c>
      <c r="B1428" s="12">
        <f>'2_Discount_Factors'!B1429</f>
        <v>3.90684931506849</v>
      </c>
      <c r="C1428" s="12">
        <f>EXP(-r_free*(('2_Discount_Factors'!B1428+'2_Discount_Factors'!B1429)/2))</f>
        <v>0.889438971999481</v>
      </c>
      <c r="D1428" s="12">
        <f>'3_Survival_Probs'!D1428</f>
        <v>0.91554896762448</v>
      </c>
      <c r="E1428" s="12">
        <f>'3_Survival_Probs'!D1429</f>
        <v>0.915472287257383</v>
      </c>
      <c r="F1428" s="14">
        <f t="shared" si="53"/>
        <v>7.66803670969596e-5</v>
      </c>
      <c r="G1428" s="32">
        <f>(1-recovery)*notional*C1428*F1428</f>
        <v>409.215041299575</v>
      </c>
      <c r="H1428" s="14">
        <f t="shared" si="52"/>
        <v>1.08376586280254e-5</v>
      </c>
      <c r="I1428" s="33"/>
    </row>
    <row r="1429" spans="1:9">
      <c r="A1429" s="4">
        <v>1427</v>
      </c>
      <c r="B1429" s="6">
        <f>'2_Discount_Factors'!B1430</f>
        <v>3.90958904109589</v>
      </c>
      <c r="C1429" s="6">
        <f>EXP(-r_free*(('2_Discount_Factors'!B1429+'2_Discount_Factors'!B1430)/2))</f>
        <v>0.889365870430655</v>
      </c>
      <c r="D1429" s="6">
        <f>'3_Survival_Probs'!D1429</f>
        <v>0.915472287257383</v>
      </c>
      <c r="E1429" s="6">
        <f>'3_Survival_Probs'!D1430</f>
        <v>0.91539561331253</v>
      </c>
      <c r="F1429" s="8">
        <f t="shared" si="53"/>
        <v>7.66739448531117e-5</v>
      </c>
      <c r="G1429" s="29">
        <f>(1-recovery)*notional*C1429*F1429</f>
        <v>409.147138221839</v>
      </c>
      <c r="H1429" s="8">
        <f t="shared" si="52"/>
        <v>1.10226854589446e-5</v>
      </c>
      <c r="I1429" s="30"/>
    </row>
    <row r="1430" spans="1:9">
      <c r="A1430" s="10">
        <v>1428</v>
      </c>
      <c r="B1430" s="12">
        <f>'2_Discount_Factors'!B1431</f>
        <v>3.91232876712329</v>
      </c>
      <c r="C1430" s="12">
        <f>EXP(-r_free*(('2_Discount_Factors'!B1430+'2_Discount_Factors'!B1431)/2))</f>
        <v>0.88929277486993</v>
      </c>
      <c r="D1430" s="12">
        <f>'3_Survival_Probs'!D1430</f>
        <v>0.91539561331253</v>
      </c>
      <c r="E1430" s="12">
        <f>'3_Survival_Probs'!D1431</f>
        <v>0.915318945789383</v>
      </c>
      <c r="F1430" s="14">
        <f t="shared" si="53"/>
        <v>7.6667523147167e-5</v>
      </c>
      <c r="G1430" s="32">
        <f>(1-recovery)*notional*C1430*F1430</f>
        <v>409.079246411692</v>
      </c>
      <c r="H1430" s="14">
        <f t="shared" si="52"/>
        <v>1.12076505866218e-5</v>
      </c>
      <c r="I1430" s="33"/>
    </row>
    <row r="1431" spans="1:9">
      <c r="A1431" s="4">
        <v>1429</v>
      </c>
      <c r="B1431" s="6">
        <f>'2_Discount_Factors'!B1432</f>
        <v>3.91506849315068</v>
      </c>
      <c r="C1431" s="6">
        <f>EXP(-r_free*(('2_Discount_Factors'!B1431+'2_Discount_Factors'!B1432)/2))</f>
        <v>0.889219685316813</v>
      </c>
      <c r="D1431" s="6">
        <f>'3_Survival_Probs'!D1431</f>
        <v>0.915318945789383</v>
      </c>
      <c r="E1431" s="6">
        <f>'3_Survival_Probs'!D1432</f>
        <v>0.915242284687404</v>
      </c>
      <c r="F1431" s="8">
        <f t="shared" si="53"/>
        <v>7.66611019791252e-5</v>
      </c>
      <c r="G1431" s="29">
        <f>(1-recovery)*notional*C1431*F1431</f>
        <v>409.011365867507</v>
      </c>
      <c r="H1431" s="8">
        <f t="shared" si="52"/>
        <v>1.13925540264467e-5</v>
      </c>
      <c r="I1431" s="30"/>
    </row>
    <row r="1432" spans="1:9">
      <c r="A1432" s="10">
        <v>1430</v>
      </c>
      <c r="B1432" s="12">
        <f>'2_Discount_Factors'!B1433</f>
        <v>3.91780821917808</v>
      </c>
      <c r="C1432" s="12">
        <f>EXP(-r_free*(('2_Discount_Factors'!B1432+'2_Discount_Factors'!B1433)/2))</f>
        <v>0.889146601770809</v>
      </c>
      <c r="D1432" s="12">
        <f>'3_Survival_Probs'!D1432</f>
        <v>0.915242284687404</v>
      </c>
      <c r="E1432" s="12">
        <f>'3_Survival_Probs'!D1433</f>
        <v>0.915165630006055</v>
      </c>
      <c r="F1432" s="14">
        <f t="shared" si="53"/>
        <v>7.66546813487645e-5</v>
      </c>
      <c r="G1432" s="32">
        <f>(1-recovery)*notional*C1432*F1432</f>
        <v>408.943496586469</v>
      </c>
      <c r="H1432" s="14">
        <f t="shared" si="52"/>
        <v>1.15773957937723e-5</v>
      </c>
      <c r="I1432" s="33"/>
    </row>
    <row r="1433" spans="1:9">
      <c r="A1433" s="4">
        <v>1431</v>
      </c>
      <c r="B1433" s="6">
        <f>'2_Discount_Factors'!B1434</f>
        <v>3.92054794520548</v>
      </c>
      <c r="C1433" s="6">
        <f>EXP(-r_free*(('2_Discount_Factors'!B1433+'2_Discount_Factors'!B1434)/2))</f>
        <v>0.889073524231426</v>
      </c>
      <c r="D1433" s="6">
        <f>'3_Survival_Probs'!D1433</f>
        <v>0.915165630006055</v>
      </c>
      <c r="E1433" s="6">
        <f>'3_Survival_Probs'!D1434</f>
        <v>0.915088981744799</v>
      </c>
      <c r="F1433" s="8">
        <f t="shared" si="53"/>
        <v>7.66482612563069e-5</v>
      </c>
      <c r="G1433" s="29">
        <f>(1-recovery)*notional*C1433*F1433</f>
        <v>408.875638568135</v>
      </c>
      <c r="H1433" s="8">
        <f t="shared" si="52"/>
        <v>1.1762175904015e-5</v>
      </c>
      <c r="I1433" s="30"/>
    </row>
    <row r="1434" spans="1:9">
      <c r="A1434" s="10">
        <v>1432</v>
      </c>
      <c r="B1434" s="12">
        <f>'2_Discount_Factors'!B1435</f>
        <v>3.92328767123288</v>
      </c>
      <c r="C1434" s="12">
        <f>EXP(-r_free*(('2_Discount_Factors'!B1434+'2_Discount_Factors'!B1435)/2))</f>
        <v>0.889000452698168</v>
      </c>
      <c r="D1434" s="12">
        <f>'3_Survival_Probs'!D1434</f>
        <v>0.915088981744799</v>
      </c>
      <c r="E1434" s="12">
        <f>'3_Survival_Probs'!D1435</f>
        <v>0.915012339903097</v>
      </c>
      <c r="F1434" s="14">
        <f t="shared" si="53"/>
        <v>7.66418417014192e-5</v>
      </c>
      <c r="G1434" s="32">
        <f>(1-recovery)*notional*C1434*F1434</f>
        <v>408.807791809098</v>
      </c>
      <c r="H1434" s="14">
        <f t="shared" si="52"/>
        <v>1.19468943725035e-5</v>
      </c>
      <c r="I1434" s="33"/>
    </row>
    <row r="1435" spans="1:9">
      <c r="A1435" s="4">
        <v>1433</v>
      </c>
      <c r="B1435" s="6">
        <f>'2_Discount_Factors'!B1436</f>
        <v>3.92602739726027</v>
      </c>
      <c r="C1435" s="6">
        <f>EXP(-r_free*(('2_Discount_Factors'!B1435+'2_Discount_Factors'!B1436)/2))</f>
        <v>0.888927387170544</v>
      </c>
      <c r="D1435" s="6">
        <f>'3_Survival_Probs'!D1435</f>
        <v>0.915012339903097</v>
      </c>
      <c r="E1435" s="6">
        <f>'3_Survival_Probs'!D1436</f>
        <v>0.914935704480413</v>
      </c>
      <c r="F1435" s="8">
        <f t="shared" si="53"/>
        <v>7.66354226842125e-5</v>
      </c>
      <c r="G1435" s="29">
        <f>(1-recovery)*notional*C1435*F1435</f>
        <v>408.739956308324</v>
      </c>
      <c r="H1435" s="8">
        <f t="shared" ref="H1435:H1462" si="54">C1435*(B1435-3.74794520547945)*F1435</f>
        <v>1.21315512146307e-5</v>
      </c>
      <c r="I1435" s="30"/>
    </row>
    <row r="1436" spans="1:9">
      <c r="A1436" s="10">
        <v>1434</v>
      </c>
      <c r="B1436" s="12">
        <f>'2_Discount_Factors'!B1437</f>
        <v>3.92876712328767</v>
      </c>
      <c r="C1436" s="12">
        <f>EXP(-r_free*(('2_Discount_Factors'!B1436+'2_Discount_Factors'!B1437)/2))</f>
        <v>0.888854327648058</v>
      </c>
      <c r="D1436" s="12">
        <f>'3_Survival_Probs'!D1436</f>
        <v>0.914935704480413</v>
      </c>
      <c r="E1436" s="12">
        <f>'3_Survival_Probs'!D1437</f>
        <v>0.914859075476208</v>
      </c>
      <c r="F1436" s="14">
        <f t="shared" si="53"/>
        <v>7.66290042046869e-5</v>
      </c>
      <c r="G1436" s="32">
        <f>(1-recovery)*notional*C1436*F1436</f>
        <v>408.672132064183</v>
      </c>
      <c r="H1436" s="14">
        <f t="shared" si="54"/>
        <v>1.231614644577e-5</v>
      </c>
      <c r="I1436" s="33"/>
    </row>
    <row r="1437" spans="1:9">
      <c r="A1437" s="4">
        <v>1435</v>
      </c>
      <c r="B1437" s="6">
        <f>'2_Discount_Factors'!B1438</f>
        <v>3.93150684931507</v>
      </c>
      <c r="C1437" s="6">
        <f>EXP(-r_free*(('2_Discount_Factors'!B1437+'2_Discount_Factors'!B1438)/2))</f>
        <v>0.888781274130218</v>
      </c>
      <c r="D1437" s="6">
        <f>'3_Survival_Probs'!D1437</f>
        <v>0.914859075476208</v>
      </c>
      <c r="E1437" s="6">
        <f>'3_Survival_Probs'!D1438</f>
        <v>0.914782452889946</v>
      </c>
      <c r="F1437" s="8">
        <f t="shared" si="53"/>
        <v>7.66225862626202e-5</v>
      </c>
      <c r="G1437" s="29">
        <f>(1-recovery)*notional*C1437*F1437</f>
        <v>408.604319073865</v>
      </c>
      <c r="H1437" s="8">
        <f t="shared" si="54"/>
        <v>1.25006800812554e-5</v>
      </c>
      <c r="I1437" s="30"/>
    </row>
    <row r="1438" spans="1:9">
      <c r="A1438" s="10">
        <v>1436</v>
      </c>
      <c r="B1438" s="12">
        <f>'2_Discount_Factors'!B1439</f>
        <v>3.93424657534247</v>
      </c>
      <c r="C1438" s="12">
        <f>EXP(-r_free*(('2_Discount_Factors'!B1438+'2_Discount_Factors'!B1439)/2))</f>
        <v>0.88870822661653</v>
      </c>
      <c r="D1438" s="12">
        <f>'3_Survival_Probs'!D1438</f>
        <v>0.914782452889946</v>
      </c>
      <c r="E1438" s="12">
        <f>'3_Survival_Probs'!D1439</f>
        <v>0.914705836721087</v>
      </c>
      <c r="F1438" s="14">
        <f t="shared" si="53"/>
        <v>7.66161688582345e-5</v>
      </c>
      <c r="G1438" s="32">
        <f>(1-recovery)*notional*C1438*F1438</f>
        <v>408.536517336925</v>
      </c>
      <c r="H1438" s="14">
        <f t="shared" si="54"/>
        <v>1.26851521364891e-5</v>
      </c>
      <c r="I1438" s="33"/>
    </row>
    <row r="1439" spans="1:9">
      <c r="A1439" s="4">
        <v>1437</v>
      </c>
      <c r="B1439" s="6">
        <f>'2_Discount_Factors'!B1440</f>
        <v>3.93698630136986</v>
      </c>
      <c r="C1439" s="6">
        <f>EXP(-r_free*(('2_Discount_Factors'!B1439+'2_Discount_Factors'!B1440)/2))</f>
        <v>0.8886351851065</v>
      </c>
      <c r="D1439" s="6">
        <f>'3_Survival_Probs'!D1439</f>
        <v>0.914705836721087</v>
      </c>
      <c r="E1439" s="6">
        <f>'3_Survival_Probs'!D1440</f>
        <v>0.914629226969096</v>
      </c>
      <c r="F1439" s="8">
        <f t="shared" si="53"/>
        <v>7.66097519911968e-5</v>
      </c>
      <c r="G1439" s="29">
        <f>(1-recovery)*notional*C1439*F1439</f>
        <v>408.468726849961</v>
      </c>
      <c r="H1439" s="8">
        <f t="shared" si="54"/>
        <v>1.28695626267797e-5</v>
      </c>
      <c r="I1439" s="30"/>
    </row>
    <row r="1440" spans="1:9">
      <c r="A1440" s="10">
        <v>1438</v>
      </c>
      <c r="B1440" s="12">
        <f>'2_Discount_Factors'!B1441</f>
        <v>3.93972602739726</v>
      </c>
      <c r="C1440" s="12">
        <f>EXP(-r_free*(('2_Discount_Factors'!B1440+'2_Discount_Factors'!B1441)/2))</f>
        <v>0.888562149599635</v>
      </c>
      <c r="D1440" s="12">
        <f>'3_Survival_Probs'!D1440</f>
        <v>0.914629226969096</v>
      </c>
      <c r="E1440" s="12">
        <f>'3_Survival_Probs'!D1441</f>
        <v>0.914552623633435</v>
      </c>
      <c r="F1440" s="14">
        <f t="shared" si="53"/>
        <v>7.6603335661618e-5</v>
      </c>
      <c r="G1440" s="32">
        <f>(1-recovery)*notional*C1440*F1440</f>
        <v>408.400947611938</v>
      </c>
      <c r="H1440" s="14">
        <f t="shared" si="54"/>
        <v>1.3053911567505e-5</v>
      </c>
      <c r="I1440" s="33"/>
    </row>
    <row r="1441" spans="1:9">
      <c r="A1441" s="4">
        <v>1439</v>
      </c>
      <c r="B1441" s="6">
        <f>'2_Discount_Factors'!B1442</f>
        <v>3.94246575342466</v>
      </c>
      <c r="C1441" s="6">
        <f>EXP(-r_free*(('2_Discount_Factors'!B1441+'2_Discount_Factors'!B1442)/2))</f>
        <v>0.888489120095442</v>
      </c>
      <c r="D1441" s="6">
        <f>'3_Survival_Probs'!D1441</f>
        <v>0.914552623633435</v>
      </c>
      <c r="E1441" s="6">
        <f>'3_Survival_Probs'!D1442</f>
        <v>0.914476026713565</v>
      </c>
      <c r="F1441" s="8">
        <f t="shared" si="53"/>
        <v>7.65969198694982e-5</v>
      </c>
      <c r="G1441" s="29">
        <f>(1-recovery)*notional*C1441*F1441</f>
        <v>408.33317962123</v>
      </c>
      <c r="H1441" s="8">
        <f t="shared" si="54"/>
        <v>1.32381989740217e-5</v>
      </c>
      <c r="I1441" s="30"/>
    </row>
    <row r="1442" spans="1:9">
      <c r="A1442" s="10">
        <v>1440</v>
      </c>
      <c r="B1442" s="12">
        <f>'2_Discount_Factors'!B1443</f>
        <v>3.94520547945205</v>
      </c>
      <c r="C1442" s="12">
        <f>EXP(-r_free*(('2_Discount_Factors'!B1442+'2_Discount_Factors'!B1443)/2))</f>
        <v>0.888416096593428</v>
      </c>
      <c r="D1442" s="12">
        <f>'3_Survival_Probs'!D1442</f>
        <v>0.914476026713565</v>
      </c>
      <c r="E1442" s="12">
        <f>'3_Survival_Probs'!D1443</f>
        <v>0.91439943620895</v>
      </c>
      <c r="F1442" s="14">
        <f t="shared" si="53"/>
        <v>7.65905046146154e-5</v>
      </c>
      <c r="G1442" s="32">
        <f>(1-recovery)*notional*C1442*F1442</f>
        <v>408.265422875025</v>
      </c>
      <c r="H1442" s="14">
        <f t="shared" si="54"/>
        <v>1.34224248616448e-5</v>
      </c>
      <c r="I1442" s="33"/>
    </row>
    <row r="1443" spans="1:9">
      <c r="A1443" s="4">
        <v>1441</v>
      </c>
      <c r="B1443" s="6">
        <f>'2_Discount_Factors'!B1444</f>
        <v>3.94794520547945</v>
      </c>
      <c r="C1443" s="6">
        <f>EXP(-r_free*(('2_Discount_Factors'!B1443+'2_Discount_Factors'!B1444)/2))</f>
        <v>0.888343079093098</v>
      </c>
      <c r="D1443" s="6">
        <f>'3_Survival_Probs'!D1443</f>
        <v>0.91439943620895</v>
      </c>
      <c r="E1443" s="6">
        <f>'3_Survival_Probs'!D1444</f>
        <v>0.914322852119053</v>
      </c>
      <c r="F1443" s="8">
        <f t="shared" si="53"/>
        <v>7.65840898970804e-5</v>
      </c>
      <c r="G1443" s="29">
        <f>(1-recovery)*notional*C1443*F1443</f>
        <v>408.19767737229</v>
      </c>
      <c r="H1443" s="8">
        <f t="shared" si="54"/>
        <v>1.36065892457431e-5</v>
      </c>
      <c r="I1443" s="30"/>
    </row>
    <row r="1444" spans="1:9">
      <c r="A1444" s="10">
        <v>1442</v>
      </c>
      <c r="B1444" s="12">
        <f>'2_Discount_Factors'!B1445</f>
        <v>3.95068493150685</v>
      </c>
      <c r="C1444" s="12">
        <f>EXP(-r_free*(('2_Discount_Factors'!B1444+'2_Discount_Factors'!B1445)/2))</f>
        <v>0.888270067593961</v>
      </c>
      <c r="D1444" s="12">
        <f>'3_Survival_Probs'!D1444</f>
        <v>0.914322852119053</v>
      </c>
      <c r="E1444" s="12">
        <f>'3_Survival_Probs'!D1445</f>
        <v>0.914246274443337</v>
      </c>
      <c r="F1444" s="14">
        <f t="shared" si="53"/>
        <v>7.65776757167824e-5</v>
      </c>
      <c r="G1444" s="32">
        <f>(1-recovery)*notional*C1444*F1444</f>
        <v>408.129943110808</v>
      </c>
      <c r="H1444" s="14">
        <f t="shared" si="54"/>
        <v>1.37906921416439e-5</v>
      </c>
      <c r="I1444" s="33"/>
    </row>
    <row r="1445" spans="1:9">
      <c r="A1445" s="4">
        <v>1443</v>
      </c>
      <c r="B1445" s="6">
        <f>'2_Discount_Factors'!B1446</f>
        <v>3.95342465753425</v>
      </c>
      <c r="C1445" s="6">
        <f>EXP(-r_free*(('2_Discount_Factors'!B1445+'2_Discount_Factors'!B1446)/2))</f>
        <v>0.888197062095521</v>
      </c>
      <c r="D1445" s="6">
        <f>'3_Survival_Probs'!D1445</f>
        <v>0.914246274443337</v>
      </c>
      <c r="E1445" s="6">
        <f>'3_Survival_Probs'!D1446</f>
        <v>0.914169703181263</v>
      </c>
      <c r="F1445" s="8">
        <f t="shared" si="53"/>
        <v>7.65712620737213e-5</v>
      </c>
      <c r="G1445" s="29">
        <f>(1-recovery)*notional*C1445*F1445</f>
        <v>408.062220088953</v>
      </c>
      <c r="H1445" s="8">
        <f t="shared" si="54"/>
        <v>1.39747335646903e-5</v>
      </c>
      <c r="I1445" s="30"/>
    </row>
    <row r="1446" spans="1:9">
      <c r="A1446" s="10">
        <v>1444</v>
      </c>
      <c r="B1446" s="12">
        <f>'2_Discount_Factors'!B1447</f>
        <v>3.95616438356164</v>
      </c>
      <c r="C1446" s="12">
        <f>EXP(-r_free*(('2_Discount_Factors'!B1446+'2_Discount_Factors'!B1447)/2))</f>
        <v>0.888124062597287</v>
      </c>
      <c r="D1446" s="12">
        <f>'3_Survival_Probs'!D1446</f>
        <v>0.914169703181263</v>
      </c>
      <c r="E1446" s="12">
        <f>'3_Survival_Probs'!D1447</f>
        <v>0.914093138332295</v>
      </c>
      <c r="F1446" s="14">
        <f t="shared" si="53"/>
        <v>7.65648489678972e-5</v>
      </c>
      <c r="G1446" s="32">
        <f>(1-recovery)*notional*C1446*F1446</f>
        <v>407.994508305099</v>
      </c>
      <c r="H1446" s="14">
        <f t="shared" si="54"/>
        <v>1.41587135302228e-5</v>
      </c>
      <c r="I1446" s="33"/>
    </row>
    <row r="1447" spans="1:9">
      <c r="A1447" s="4">
        <v>1445</v>
      </c>
      <c r="B1447" s="6">
        <f>'2_Discount_Factors'!B1448</f>
        <v>3.95890410958904</v>
      </c>
      <c r="C1447" s="6">
        <f>EXP(-r_free*(('2_Discount_Factors'!B1447+'2_Discount_Factors'!B1448)/2))</f>
        <v>0.888051069098766</v>
      </c>
      <c r="D1447" s="6">
        <f>'3_Survival_Probs'!D1447</f>
        <v>0.914093138332295</v>
      </c>
      <c r="E1447" s="6">
        <f>'3_Survival_Probs'!D1448</f>
        <v>0.914016579895896</v>
      </c>
      <c r="F1447" s="8">
        <f t="shared" si="53"/>
        <v>7.65584363990879e-5</v>
      </c>
      <c r="G1447" s="29">
        <f>(1-recovery)*notional*C1447*F1447</f>
        <v>407.926807756439</v>
      </c>
      <c r="H1447" s="8">
        <f t="shared" si="54"/>
        <v>1.4342632053537e-5</v>
      </c>
      <c r="I1447" s="30"/>
    </row>
    <row r="1448" spans="1:9">
      <c r="A1448" s="10">
        <v>1446</v>
      </c>
      <c r="B1448" s="12">
        <f>'2_Discount_Factors'!B1449</f>
        <v>3.96164383561644</v>
      </c>
      <c r="C1448" s="12">
        <f>EXP(-r_free*(('2_Discount_Factors'!B1448+'2_Discount_Factors'!B1449)/2))</f>
        <v>0.887978081599463</v>
      </c>
      <c r="D1448" s="12">
        <f>'3_Survival_Probs'!D1448</f>
        <v>0.914016579895896</v>
      </c>
      <c r="E1448" s="12">
        <f>'3_Survival_Probs'!D1449</f>
        <v>0.913940027871529</v>
      </c>
      <c r="F1448" s="14">
        <f t="shared" si="53"/>
        <v>7.65520243674045e-5</v>
      </c>
      <c r="G1448" s="32">
        <f>(1-recovery)*notional*C1448*F1448</f>
        <v>407.859118441939</v>
      </c>
      <c r="H1448" s="14">
        <f t="shared" si="54"/>
        <v>1.4526489149987e-5</v>
      </c>
      <c r="I1448" s="33"/>
    </row>
    <row r="1449" spans="1:9">
      <c r="A1449" s="4">
        <v>1447</v>
      </c>
      <c r="B1449" s="6">
        <f>'2_Discount_Factors'!B1450</f>
        <v>3.96438356164384</v>
      </c>
      <c r="C1449" s="6">
        <f>EXP(-r_free*(('2_Discount_Factors'!B1449+'2_Discount_Factors'!B1450)/2))</f>
        <v>0.887905100098886</v>
      </c>
      <c r="D1449" s="6">
        <f>'3_Survival_Probs'!D1449</f>
        <v>0.913940027871529</v>
      </c>
      <c r="E1449" s="6">
        <f>'3_Survival_Probs'!D1450</f>
        <v>0.913863482258656</v>
      </c>
      <c r="F1449" s="8">
        <f t="shared" si="53"/>
        <v>7.6545612872736e-5</v>
      </c>
      <c r="G1449" s="29">
        <f>(1-recovery)*notional*C1449*F1449</f>
        <v>407.791440359383</v>
      </c>
      <c r="H1449" s="8">
        <f t="shared" si="54"/>
        <v>1.4710284834882e-5</v>
      </c>
      <c r="I1449" s="30"/>
    </row>
    <row r="1450" spans="1:9">
      <c r="A1450" s="10">
        <v>1448</v>
      </c>
      <c r="B1450" s="12">
        <f>'2_Discount_Factors'!B1451</f>
        <v>3.96712328767123</v>
      </c>
      <c r="C1450" s="12">
        <f>EXP(-r_free*(('2_Discount_Factors'!B1450+'2_Discount_Factors'!B1451)/2))</f>
        <v>0.887832124596542</v>
      </c>
      <c r="D1450" s="12">
        <f>'3_Survival_Probs'!D1450</f>
        <v>0.913863482258656</v>
      </c>
      <c r="E1450" s="12">
        <f>'3_Survival_Probs'!D1451</f>
        <v>0.913786943056741</v>
      </c>
      <c r="F1450" s="14">
        <f t="shared" si="53"/>
        <v>7.65392019149713e-5</v>
      </c>
      <c r="G1450" s="32">
        <f>(1-recovery)*notional*C1450*F1450</f>
        <v>407.723773506556</v>
      </c>
      <c r="H1450" s="14">
        <f t="shared" si="54"/>
        <v>1.48940191235273e-5</v>
      </c>
      <c r="I1450" s="33"/>
    </row>
    <row r="1451" spans="1:9">
      <c r="A1451" s="4">
        <v>1449</v>
      </c>
      <c r="B1451" s="6">
        <f>'2_Discount_Factors'!B1452</f>
        <v>3.96986301369863</v>
      </c>
      <c r="C1451" s="6">
        <f>EXP(-r_free*(('2_Discount_Factors'!B1451+'2_Discount_Factors'!B1452)/2))</f>
        <v>0.887759155091939</v>
      </c>
      <c r="D1451" s="6">
        <f>'3_Survival_Probs'!D1451</f>
        <v>0.913786943056741</v>
      </c>
      <c r="E1451" s="6">
        <f>'3_Survival_Probs'!D1452</f>
        <v>0.913710410265247</v>
      </c>
      <c r="F1451" s="8">
        <f t="shared" si="53"/>
        <v>7.65327914942215e-5</v>
      </c>
      <c r="G1451" s="29">
        <f>(1-recovery)*notional*C1451*F1451</f>
        <v>407.656117882426</v>
      </c>
      <c r="H1451" s="8">
        <f t="shared" si="54"/>
        <v>1.50776920312679e-5</v>
      </c>
      <c r="I1451" s="30"/>
    </row>
    <row r="1452" spans="1:9">
      <c r="A1452" s="10">
        <v>1450</v>
      </c>
      <c r="B1452" s="12">
        <f>'2_Discount_Factors'!B1453</f>
        <v>3.97260273972603</v>
      </c>
      <c r="C1452" s="12">
        <f>EXP(-r_free*(('2_Discount_Factors'!B1452+'2_Discount_Factors'!B1453)/2))</f>
        <v>0.887686191584582</v>
      </c>
      <c r="D1452" s="12">
        <f>'3_Survival_Probs'!D1452</f>
        <v>0.913710410265247</v>
      </c>
      <c r="E1452" s="12">
        <f>'3_Survival_Probs'!D1453</f>
        <v>0.913633883883636</v>
      </c>
      <c r="F1452" s="14">
        <f t="shared" si="53"/>
        <v>7.65263816103756e-5</v>
      </c>
      <c r="G1452" s="32">
        <f>(1-recovery)*notional*C1452*F1452</f>
        <v>407.588473484776</v>
      </c>
      <c r="H1452" s="14">
        <f t="shared" si="54"/>
        <v>1.52613035734027e-5</v>
      </c>
      <c r="I1452" s="33"/>
    </row>
    <row r="1453" spans="1:9">
      <c r="A1453" s="4">
        <v>1451</v>
      </c>
      <c r="B1453" s="6">
        <f>'2_Discount_Factors'!B1454</f>
        <v>3.97534246575342</v>
      </c>
      <c r="C1453" s="6">
        <f>EXP(-r_free*(('2_Discount_Factors'!B1453+'2_Discount_Factors'!B1454)/2))</f>
        <v>0.88761323407398</v>
      </c>
      <c r="D1453" s="6">
        <f>'3_Survival_Probs'!D1453</f>
        <v>0.913633883883636</v>
      </c>
      <c r="E1453" s="6">
        <f>'3_Survival_Probs'!D1454</f>
        <v>0.913557363911373</v>
      </c>
      <c r="F1453" s="8">
        <f t="shared" si="53"/>
        <v>7.65199722634335e-5</v>
      </c>
      <c r="G1453" s="29">
        <f>(1-recovery)*notional*C1453*F1453</f>
        <v>407.520840311985</v>
      </c>
      <c r="H1453" s="8">
        <f t="shared" si="54"/>
        <v>1.54448537652489e-5</v>
      </c>
      <c r="I1453" s="30"/>
    </row>
    <row r="1454" spans="1:9">
      <c r="A1454" s="10">
        <v>1452</v>
      </c>
      <c r="B1454" s="12">
        <f>'2_Discount_Factors'!B1455</f>
        <v>3.97808219178082</v>
      </c>
      <c r="C1454" s="12">
        <f>EXP(-r_free*(('2_Discount_Factors'!B1454+'2_Discount_Factors'!B1455)/2))</f>
        <v>0.887540282559639</v>
      </c>
      <c r="D1454" s="12">
        <f>'3_Survival_Probs'!D1454</f>
        <v>0.913557363911373</v>
      </c>
      <c r="E1454" s="12">
        <f>'3_Survival_Probs'!D1455</f>
        <v>0.91348085034792</v>
      </c>
      <c r="F1454" s="14">
        <f t="shared" si="53"/>
        <v>7.65135634531733e-5</v>
      </c>
      <c r="G1454" s="32">
        <f>(1-recovery)*notional*C1454*F1454</f>
        <v>407.453218361246</v>
      </c>
      <c r="H1454" s="14">
        <f t="shared" si="54"/>
        <v>1.56283426220753e-5</v>
      </c>
      <c r="I1454" s="33"/>
    </row>
    <row r="1455" spans="1:9">
      <c r="A1455" s="4">
        <v>1453</v>
      </c>
      <c r="B1455" s="6">
        <f>'2_Discount_Factors'!B1456</f>
        <v>3.98082191780822</v>
      </c>
      <c r="C1455" s="6">
        <f>EXP(-r_free*(('2_Discount_Factors'!B1455+'2_Discount_Factors'!B1456)/2))</f>
        <v>0.887467337041066</v>
      </c>
      <c r="D1455" s="6">
        <f>'3_Survival_Probs'!D1455</f>
        <v>0.91348085034792</v>
      </c>
      <c r="E1455" s="6">
        <f>'3_Survival_Probs'!D1456</f>
        <v>0.91340434319274</v>
      </c>
      <c r="F1455" s="8">
        <f t="shared" si="53"/>
        <v>7.65071551798169e-5</v>
      </c>
      <c r="G1455" s="29">
        <f>(1-recovery)*notional*C1455*F1455</f>
        <v>407.385607632118</v>
      </c>
      <c r="H1455" s="8">
        <f t="shared" si="54"/>
        <v>1.58117701592376e-5</v>
      </c>
      <c r="I1455" s="30"/>
    </row>
    <row r="1456" spans="1:9">
      <c r="A1456" s="10">
        <v>1454</v>
      </c>
      <c r="B1456" s="12">
        <f>'2_Discount_Factors'!B1457</f>
        <v>3.98356164383562</v>
      </c>
      <c r="C1456" s="12">
        <f>EXP(-r_free*(('2_Discount_Factors'!B1456+'2_Discount_Factors'!B1457)/2))</f>
        <v>0.887394397517769</v>
      </c>
      <c r="D1456" s="12">
        <f>'3_Survival_Probs'!D1456</f>
        <v>0.91340434319274</v>
      </c>
      <c r="E1456" s="12">
        <f>'3_Survival_Probs'!D1457</f>
        <v>0.913327842445297</v>
      </c>
      <c r="F1456" s="14">
        <f t="shared" si="53"/>
        <v>7.65007474430313e-5</v>
      </c>
      <c r="G1456" s="32">
        <f>(1-recovery)*notional*C1456*F1456</f>
        <v>407.318008121206</v>
      </c>
      <c r="H1456" s="14">
        <f t="shared" si="54"/>
        <v>1.59951363919744e-5</v>
      </c>
      <c r="I1456" s="33"/>
    </row>
    <row r="1457" spans="1:9">
      <c r="A1457" s="4">
        <v>1455</v>
      </c>
      <c r="B1457" s="6">
        <f>'2_Discount_Factors'!B1458</f>
        <v>3.98630136986301</v>
      </c>
      <c r="C1457" s="6">
        <f>EXP(-r_free*(('2_Discount_Factors'!B1457+'2_Discount_Factors'!B1458)/2))</f>
        <v>0.887321463989255</v>
      </c>
      <c r="D1457" s="6">
        <f>'3_Survival_Probs'!D1457</f>
        <v>0.913327842445297</v>
      </c>
      <c r="E1457" s="6">
        <f>'3_Survival_Probs'!D1458</f>
        <v>0.913251348105054</v>
      </c>
      <c r="F1457" s="8">
        <f t="shared" si="53"/>
        <v>7.64943402430385e-5</v>
      </c>
      <c r="G1457" s="29">
        <f>(1-recovery)*notional*C1457*F1457</f>
        <v>407.250419828071</v>
      </c>
      <c r="H1457" s="8">
        <f t="shared" si="54"/>
        <v>1.61784413356358e-5</v>
      </c>
      <c r="I1457" s="30"/>
    </row>
    <row r="1458" spans="1:9">
      <c r="A1458" s="10">
        <v>1456</v>
      </c>
      <c r="B1458" s="12">
        <f>'2_Discount_Factors'!B1459</f>
        <v>3.98904109589041</v>
      </c>
      <c r="C1458" s="12">
        <f>EXP(-r_free*(('2_Discount_Factors'!B1458+'2_Discount_Factors'!B1459)/2))</f>
        <v>0.887248536455031</v>
      </c>
      <c r="D1458" s="12">
        <f>'3_Survival_Probs'!D1458</f>
        <v>0.913251348105054</v>
      </c>
      <c r="E1458" s="12">
        <f>'3_Survival_Probs'!D1459</f>
        <v>0.913174860171474</v>
      </c>
      <c r="F1458" s="14">
        <f t="shared" si="53"/>
        <v>7.64879335795055e-5</v>
      </c>
      <c r="G1458" s="32">
        <f>(1-recovery)*notional*C1458*F1458</f>
        <v>407.182842749315</v>
      </c>
      <c r="H1458" s="14">
        <f t="shared" si="54"/>
        <v>1.63616850054521e-5</v>
      </c>
      <c r="I1458" s="33"/>
    </row>
    <row r="1459" spans="1:9">
      <c r="A1459" s="4">
        <v>1457</v>
      </c>
      <c r="B1459" s="6">
        <f>'2_Discount_Factors'!B1460</f>
        <v>3.99178082191781</v>
      </c>
      <c r="C1459" s="6">
        <f>EXP(-r_free*(('2_Discount_Factors'!B1459+'2_Discount_Factors'!B1460)/2))</f>
        <v>0.887175614914605</v>
      </c>
      <c r="D1459" s="6">
        <f>'3_Survival_Probs'!D1459</f>
        <v>0.913174860171474</v>
      </c>
      <c r="E1459" s="6">
        <f>'3_Survival_Probs'!D1460</f>
        <v>0.913098378644022</v>
      </c>
      <c r="F1459" s="8">
        <f t="shared" si="53"/>
        <v>7.64815274526542e-5</v>
      </c>
      <c r="G1459" s="29">
        <f>(1-recovery)*notional*C1459*F1459</f>
        <v>407.115276884501</v>
      </c>
      <c r="H1459" s="8">
        <f t="shared" si="54"/>
        <v>1.65448674167675e-5</v>
      </c>
      <c r="I1459" s="30"/>
    </row>
    <row r="1460" spans="1:9">
      <c r="A1460" s="10">
        <v>1458</v>
      </c>
      <c r="B1460" s="12">
        <f>'2_Discount_Factors'!B1461</f>
        <v>3.99452054794521</v>
      </c>
      <c r="C1460" s="12">
        <f>EXP(-r_free*(('2_Discount_Factors'!B1460+'2_Discount_Factors'!B1461)/2))</f>
        <v>0.887102699367484</v>
      </c>
      <c r="D1460" s="12">
        <f>'3_Survival_Probs'!D1460</f>
        <v>0.913098378644022</v>
      </c>
      <c r="E1460" s="12">
        <f>'3_Survival_Probs'!D1461</f>
        <v>0.913021903522159</v>
      </c>
      <c r="F1460" s="14">
        <f t="shared" si="53"/>
        <v>7.64751218623738e-5</v>
      </c>
      <c r="G1460" s="32">
        <f>(1-recovery)*notional*C1460*F1460</f>
        <v>407.047722231415</v>
      </c>
      <c r="H1460" s="14">
        <f t="shared" si="54"/>
        <v>1.67279885848528e-5</v>
      </c>
      <c r="I1460" s="33"/>
    </row>
    <row r="1461" spans="1:9">
      <c r="A1461" s="4">
        <v>1459</v>
      </c>
      <c r="B1461" s="6">
        <f>'2_Discount_Factors'!B1462</f>
        <v>3.9972602739726</v>
      </c>
      <c r="C1461" s="6">
        <f>EXP(-r_free*(('2_Discount_Factors'!B1461+'2_Discount_Factors'!B1462)/2))</f>
        <v>0.887029789813175</v>
      </c>
      <c r="D1461" s="6">
        <f>'3_Survival_Probs'!D1461</f>
        <v>0.913021903522159</v>
      </c>
      <c r="E1461" s="6">
        <f>'3_Survival_Probs'!D1462</f>
        <v>0.912945434805351</v>
      </c>
      <c r="F1461" s="8">
        <f t="shared" si="53"/>
        <v>7.64687168085532e-5</v>
      </c>
      <c r="G1461" s="29">
        <f>(1-recovery)*notional*C1461*F1461</f>
        <v>406.980178787845</v>
      </c>
      <c r="H1461" s="8">
        <f t="shared" si="54"/>
        <v>1.69110485249745e-5</v>
      </c>
      <c r="I1461" s="30"/>
    </row>
    <row r="1462" spans="1:9">
      <c r="A1462" s="34">
        <v>1460</v>
      </c>
      <c r="B1462" s="35">
        <f>'2_Discount_Factors'!B1463</f>
        <v>4</v>
      </c>
      <c r="C1462" s="35">
        <f>EXP(-r_free*(('2_Discount_Factors'!B1462+'2_Discount_Factors'!B1463)/2))</f>
        <v>0.886956886251186</v>
      </c>
      <c r="D1462" s="35">
        <f>'3_Survival_Probs'!D1462</f>
        <v>0.912945434805351</v>
      </c>
      <c r="E1462" s="35">
        <f>'3_Survival_Probs'!D1463</f>
        <v>0.912868972493059</v>
      </c>
      <c r="F1462" s="36">
        <f t="shared" si="53"/>
        <v>7.64623122911923e-5</v>
      </c>
      <c r="G1462" s="37">
        <f>(1-recovery)*notional*C1462*F1462</f>
        <v>406.91264655217</v>
      </c>
      <c r="H1462" s="36">
        <f t="shared" si="54"/>
        <v>1.70940472524201e-5</v>
      </c>
      <c r="I1462" s="38" t="s">
        <v>71</v>
      </c>
    </row>
    <row r="1463" spans="1:9">
      <c r="A1463" s="4">
        <v>1461</v>
      </c>
      <c r="B1463" s="6">
        <f>'2_Discount_Factors'!B1464</f>
        <v>4.0027397260274</v>
      </c>
      <c r="C1463" s="6">
        <f>EXP(-r_free*(('2_Discount_Factors'!B1463+'2_Discount_Factors'!B1464)/2))</f>
        <v>0.886883988681024</v>
      </c>
      <c r="D1463" s="6">
        <f>'3_Survival_Probs'!D1463</f>
        <v>0.912868972493059</v>
      </c>
      <c r="E1463" s="6">
        <f>'3_Survival_Probs'!D1464</f>
        <v>0.912792516584749</v>
      </c>
      <c r="F1463" s="8">
        <f t="shared" si="53"/>
        <v>7.64559083101801e-5</v>
      </c>
      <c r="G1463" s="29">
        <f>(1-recovery)*notional*C1463*F1463</f>
        <v>406.845125522179</v>
      </c>
      <c r="H1463" s="8">
        <f t="shared" ref="H1463:H1526" si="55">C1463*(B1463-4)*F1463</f>
        <v>1.8577402991881e-7</v>
      </c>
      <c r="I1463" s="30"/>
    </row>
    <row r="1464" spans="1:9">
      <c r="A1464" s="10">
        <v>1462</v>
      </c>
      <c r="B1464" s="12">
        <f>'2_Discount_Factors'!B1465</f>
        <v>4.00547945205479</v>
      </c>
      <c r="C1464" s="12">
        <f>EXP(-r_free*(('2_Discount_Factors'!B1464+'2_Discount_Factors'!B1465)/2))</f>
        <v>0.886811097102198</v>
      </c>
      <c r="D1464" s="12">
        <f>'3_Survival_Probs'!D1464</f>
        <v>0.912792516584749</v>
      </c>
      <c r="E1464" s="12">
        <f>'3_Survival_Probs'!D1465</f>
        <v>0.912716067079884</v>
      </c>
      <c r="F1464" s="14">
        <f t="shared" si="53"/>
        <v>7.64495048655167e-5</v>
      </c>
      <c r="G1464" s="32">
        <f>(1-recovery)*notional*C1464*F1464</f>
        <v>406.777615696252</v>
      </c>
      <c r="H1464" s="14">
        <f t="shared" si="55"/>
        <v>3.71486407028554e-7</v>
      </c>
      <c r="I1464" s="33"/>
    </row>
    <row r="1465" spans="1:9">
      <c r="A1465" s="4">
        <v>1463</v>
      </c>
      <c r="B1465" s="6">
        <f>'2_Discount_Factors'!B1466</f>
        <v>4.00821917808219</v>
      </c>
      <c r="C1465" s="6">
        <f>EXP(-r_free*(('2_Discount_Factors'!B1465+'2_Discount_Factors'!B1466)/2))</f>
        <v>0.886738211514213</v>
      </c>
      <c r="D1465" s="6">
        <f>'3_Survival_Probs'!D1465</f>
        <v>0.912716067079884</v>
      </c>
      <c r="E1465" s="6">
        <f>'3_Survival_Probs'!D1466</f>
        <v>0.912639623977927</v>
      </c>
      <c r="F1465" s="8">
        <f t="shared" si="53"/>
        <v>7.64431019572021e-5</v>
      </c>
      <c r="G1465" s="29">
        <f>(1-recovery)*notional*C1465*F1465</f>
        <v>406.710117072768</v>
      </c>
      <c r="H1465" s="8">
        <f t="shared" si="55"/>
        <v>5.57137146675045e-7</v>
      </c>
      <c r="I1465" s="30"/>
    </row>
    <row r="1466" spans="1:9">
      <c r="A1466" s="10">
        <v>1464</v>
      </c>
      <c r="B1466" s="12">
        <f>'2_Discount_Factors'!B1467</f>
        <v>4.01095890410959</v>
      </c>
      <c r="C1466" s="12">
        <f>EXP(-r_free*(('2_Discount_Factors'!B1466+'2_Discount_Factors'!B1467)/2))</f>
        <v>0.886665331916579</v>
      </c>
      <c r="D1466" s="12">
        <f>'3_Survival_Probs'!D1466</f>
        <v>0.912639623977927</v>
      </c>
      <c r="E1466" s="12">
        <f>'3_Survival_Probs'!D1467</f>
        <v>0.912563187278341</v>
      </c>
      <c r="F1466" s="14">
        <f t="shared" si="53"/>
        <v>7.64366995852361e-5</v>
      </c>
      <c r="G1466" s="32">
        <f>(1-recovery)*notional*C1466*F1466</f>
        <v>406.642629650107</v>
      </c>
      <c r="H1466" s="14">
        <f t="shared" si="55"/>
        <v>7.42726264201136e-7</v>
      </c>
      <c r="I1466" s="33"/>
    </row>
    <row r="1467" spans="1:9">
      <c r="A1467" s="4">
        <v>1465</v>
      </c>
      <c r="B1467" s="6">
        <f>'2_Discount_Factors'!B1468</f>
        <v>4.01369863013699</v>
      </c>
      <c r="C1467" s="6">
        <f>EXP(-r_free*(('2_Discount_Factors'!B1467+'2_Discount_Factors'!B1468)/2))</f>
        <v>0.886592458308803</v>
      </c>
      <c r="D1467" s="6">
        <f>'3_Survival_Probs'!D1467</f>
        <v>0.912563187278341</v>
      </c>
      <c r="E1467" s="6">
        <f>'3_Survival_Probs'!D1468</f>
        <v>0.912486756980592</v>
      </c>
      <c r="F1467" s="8">
        <f t="shared" si="53"/>
        <v>7.64302977493969e-5</v>
      </c>
      <c r="G1467" s="29">
        <f>(1-recovery)*notional*C1467*F1467</f>
        <v>406.575153425469</v>
      </c>
      <c r="H1467" s="8">
        <f t="shared" si="55"/>
        <v>9.28253774943967e-7</v>
      </c>
      <c r="I1467" s="30"/>
    </row>
    <row r="1468" spans="1:9">
      <c r="A1468" s="10">
        <v>1466</v>
      </c>
      <c r="B1468" s="12">
        <f>'2_Discount_Factors'!B1469</f>
        <v>4.01643835616438</v>
      </c>
      <c r="C1468" s="12">
        <f>EXP(-r_free*(('2_Discount_Factors'!B1468+'2_Discount_Factors'!B1469)/2))</f>
        <v>0.886519590690392</v>
      </c>
      <c r="D1468" s="12">
        <f>'3_Survival_Probs'!D1468</f>
        <v>0.912486756980592</v>
      </c>
      <c r="E1468" s="12">
        <f>'3_Survival_Probs'!D1469</f>
        <v>0.912410333084142</v>
      </c>
      <c r="F1468" s="14">
        <f t="shared" si="53"/>
        <v>7.64238964496844e-5</v>
      </c>
      <c r="G1468" s="32">
        <f>(1-recovery)*notional*C1468*F1468</f>
        <v>406.507688397234</v>
      </c>
      <c r="H1468" s="14">
        <f t="shared" si="55"/>
        <v>1.11371969423898e-6</v>
      </c>
      <c r="I1468" s="33"/>
    </row>
    <row r="1469" spans="1:9">
      <c r="A1469" s="4">
        <v>1467</v>
      </c>
      <c r="B1469" s="6">
        <f>'2_Discount_Factors'!B1470</f>
        <v>4.01917808219178</v>
      </c>
      <c r="C1469" s="6">
        <f>EXP(-r_free*(('2_Discount_Factors'!B1469+'2_Discount_Factors'!B1470)/2))</f>
        <v>0.886446729060854</v>
      </c>
      <c r="D1469" s="6">
        <f>'3_Survival_Probs'!D1469</f>
        <v>0.912410333084142</v>
      </c>
      <c r="E1469" s="6">
        <f>'3_Survival_Probs'!D1470</f>
        <v>0.912333915588456</v>
      </c>
      <c r="F1469" s="8">
        <f t="shared" si="53"/>
        <v>7.64174956862096e-5</v>
      </c>
      <c r="G1469" s="29">
        <f>(1-recovery)*notional*C1469*F1469</f>
        <v>406.440234564374</v>
      </c>
      <c r="H1469" s="8">
        <f t="shared" si="55"/>
        <v>1.29912403742036e-6</v>
      </c>
      <c r="I1469" s="30"/>
    </row>
    <row r="1470" spans="1:9">
      <c r="A1470" s="10">
        <v>1468</v>
      </c>
      <c r="B1470" s="12">
        <f>'2_Discount_Factors'!B1471</f>
        <v>4.02191780821918</v>
      </c>
      <c r="C1470" s="12">
        <f>EXP(-r_free*(('2_Discount_Factors'!B1470+'2_Discount_Factors'!B1471)/2))</f>
        <v>0.886373873419697</v>
      </c>
      <c r="D1470" s="12">
        <f>'3_Survival_Probs'!D1470</f>
        <v>0.912333915588456</v>
      </c>
      <c r="E1470" s="12">
        <f>'3_Survival_Probs'!D1471</f>
        <v>0.912257504492997</v>
      </c>
      <c r="F1470" s="14">
        <f t="shared" si="53"/>
        <v>7.64110954587505e-5</v>
      </c>
      <c r="G1470" s="32">
        <f>(1-recovery)*notional*C1470*F1470</f>
        <v>406.372791924089</v>
      </c>
      <c r="H1470" s="14">
        <f t="shared" si="55"/>
        <v>1.48446681981402e-6</v>
      </c>
      <c r="I1470" s="33"/>
    </row>
    <row r="1471" spans="1:9">
      <c r="A1471" s="4">
        <v>1469</v>
      </c>
      <c r="B1471" s="6">
        <f>'2_Discount_Factors'!B1472</f>
        <v>4.02465753424658</v>
      </c>
      <c r="C1471" s="6">
        <f>EXP(-r_free*(('2_Discount_Factors'!B1471+'2_Discount_Factors'!B1472)/2))</f>
        <v>0.886301023766429</v>
      </c>
      <c r="D1471" s="6">
        <f>'3_Survival_Probs'!D1471</f>
        <v>0.912257504492997</v>
      </c>
      <c r="E1471" s="6">
        <f>'3_Survival_Probs'!D1472</f>
        <v>0.91218109979723</v>
      </c>
      <c r="F1471" s="8">
        <f t="shared" si="53"/>
        <v>7.6404695767418e-5</v>
      </c>
      <c r="G1471" s="29">
        <f>(1-recovery)*notional*C1471*F1471</f>
        <v>406.305360475351</v>
      </c>
      <c r="H1471" s="8">
        <f t="shared" si="55"/>
        <v>1.66974805674802e-6</v>
      </c>
      <c r="I1471" s="30"/>
    </row>
    <row r="1472" spans="1:9">
      <c r="A1472" s="10">
        <v>1470</v>
      </c>
      <c r="B1472" s="12">
        <f>'2_Discount_Factors'!B1473</f>
        <v>4.02739726027397</v>
      </c>
      <c r="C1472" s="12">
        <f>EXP(-r_free*(('2_Discount_Factors'!B1472+'2_Discount_Factors'!B1473)/2))</f>
        <v>0.886228180100558</v>
      </c>
      <c r="D1472" s="12">
        <f>'3_Survival_Probs'!D1472</f>
        <v>0.91218109979723</v>
      </c>
      <c r="E1472" s="12">
        <f>'3_Survival_Probs'!D1473</f>
        <v>0.912104701500618</v>
      </c>
      <c r="F1472" s="14">
        <f t="shared" si="53"/>
        <v>7.63982966119903e-5</v>
      </c>
      <c r="G1472" s="32">
        <f>(1-recovery)*notional*C1472*F1472</f>
        <v>406.23794021536</v>
      </c>
      <c r="H1472" s="14">
        <f t="shared" si="55"/>
        <v>1.85496776354047e-6</v>
      </c>
      <c r="I1472" s="33"/>
    </row>
    <row r="1473" spans="1:9">
      <c r="A1473" s="4">
        <v>1471</v>
      </c>
      <c r="B1473" s="6">
        <f>'2_Discount_Factors'!B1474</f>
        <v>4.03013698630137</v>
      </c>
      <c r="C1473" s="6">
        <f>EXP(-r_free*(('2_Discount_Factors'!B1473+'2_Discount_Factors'!B1474)/2))</f>
        <v>0.886155342421591</v>
      </c>
      <c r="D1473" s="6">
        <f>'3_Survival_Probs'!D1473</f>
        <v>0.912104701500618</v>
      </c>
      <c r="E1473" s="6">
        <f>'3_Survival_Probs'!D1474</f>
        <v>0.912028309602625</v>
      </c>
      <c r="F1473" s="8">
        <f t="shared" si="53"/>
        <v>7.63918979925782e-5</v>
      </c>
      <c r="G1473" s="29">
        <f>(1-recovery)*notional*C1473*F1473</f>
        <v>406.17053114309</v>
      </c>
      <c r="H1473" s="8">
        <f t="shared" si="55"/>
        <v>2.04012595551325e-6</v>
      </c>
      <c r="I1473" s="30"/>
    </row>
    <row r="1474" spans="1:9">
      <c r="A1474" s="10">
        <v>1472</v>
      </c>
      <c r="B1474" s="12">
        <f>'2_Discount_Factors'!B1475</f>
        <v>4.03287671232877</v>
      </c>
      <c r="C1474" s="12">
        <f>EXP(-r_free*(('2_Discount_Factors'!B1474+'2_Discount_Factors'!B1475)/2))</f>
        <v>0.886082510729037</v>
      </c>
      <c r="D1474" s="12">
        <f>'3_Survival_Probs'!D1474</f>
        <v>0.912028309602625</v>
      </c>
      <c r="E1474" s="12">
        <f>'3_Survival_Probs'!D1475</f>
        <v>0.911951924102716</v>
      </c>
      <c r="F1474" s="14">
        <f t="shared" si="53"/>
        <v>7.63854999089597e-5</v>
      </c>
      <c r="G1474" s="32">
        <f>(1-recovery)*notional*C1474*F1474</f>
        <v>406.103133255742</v>
      </c>
      <c r="H1474" s="14">
        <f t="shared" si="55"/>
        <v>2.22522264797669e-6</v>
      </c>
      <c r="I1474" s="33"/>
    </row>
    <row r="1475" spans="1:9">
      <c r="A1475" s="4">
        <v>1473</v>
      </c>
      <c r="B1475" s="6">
        <f>'2_Discount_Factors'!B1476</f>
        <v>4.03561643835616</v>
      </c>
      <c r="C1475" s="6">
        <f>EXP(-r_free*(('2_Discount_Factors'!B1475+'2_Discount_Factors'!B1476)/2))</f>
        <v>0.886009685022403</v>
      </c>
      <c r="D1475" s="6">
        <f>'3_Survival_Probs'!D1475</f>
        <v>0.911951924102716</v>
      </c>
      <c r="E1475" s="6">
        <f>'3_Survival_Probs'!D1476</f>
        <v>0.911875545000355</v>
      </c>
      <c r="F1475" s="8">
        <f t="shared" ref="F1475:F1538" si="56">D1475-E1475</f>
        <v>7.63791023613569e-5</v>
      </c>
      <c r="G1475" s="29">
        <f>(1-recovery)*notional*C1475*F1475</f>
        <v>406.035746552878</v>
      </c>
      <c r="H1475" s="8">
        <f t="shared" si="55"/>
        <v>2.41025785624999e-6</v>
      </c>
      <c r="I1475" s="30"/>
    </row>
    <row r="1476" spans="1:9">
      <c r="A1476" s="10">
        <v>1474</v>
      </c>
      <c r="B1476" s="12">
        <f>'2_Discount_Factors'!B1477</f>
        <v>4.03835616438356</v>
      </c>
      <c r="C1476" s="12">
        <f>EXP(-r_free*(('2_Discount_Factors'!B1476+'2_Discount_Factors'!B1477)/2))</f>
        <v>0.885936865301198</v>
      </c>
      <c r="D1476" s="12">
        <f>'3_Survival_Probs'!D1476</f>
        <v>0.911875545000355</v>
      </c>
      <c r="E1476" s="12">
        <f>'3_Survival_Probs'!D1477</f>
        <v>0.911799172295006</v>
      </c>
      <c r="F1476" s="14">
        <f t="shared" si="56"/>
        <v>7.63727053494367e-5</v>
      </c>
      <c r="G1476" s="32">
        <f>(1-recovery)*notional*C1476*F1476</f>
        <v>405.968371031112</v>
      </c>
      <c r="H1476" s="14">
        <f t="shared" si="55"/>
        <v>2.59523159563265e-6</v>
      </c>
      <c r="I1476" s="33"/>
    </row>
    <row r="1477" spans="1:9">
      <c r="A1477" s="4">
        <v>1475</v>
      </c>
      <c r="B1477" s="6">
        <f>'2_Discount_Factors'!B1478</f>
        <v>4.04109589041096</v>
      </c>
      <c r="C1477" s="6">
        <f>EXP(-r_free*(('2_Discount_Factors'!B1477+'2_Discount_Factors'!B1478)/2))</f>
        <v>0.885864051564929</v>
      </c>
      <c r="D1477" s="6">
        <f>'3_Survival_Probs'!D1477</f>
        <v>0.911799172295006</v>
      </c>
      <c r="E1477" s="6">
        <f>'3_Survival_Probs'!D1478</f>
        <v>0.911722805986132</v>
      </c>
      <c r="F1477" s="8">
        <f t="shared" si="56"/>
        <v>7.63663088733102e-5</v>
      </c>
      <c r="G1477" s="29">
        <f>(1-recovery)*notional*C1477*F1477</f>
        <v>405.901006689416</v>
      </c>
      <c r="H1477" s="8">
        <f t="shared" si="55"/>
        <v>2.78014388143434e-6</v>
      </c>
      <c r="I1477" s="30"/>
    </row>
    <row r="1478" spans="1:9">
      <c r="A1478" s="10">
        <v>1476</v>
      </c>
      <c r="B1478" s="12">
        <f>'2_Discount_Factors'!B1479</f>
        <v>4.04383561643836</v>
      </c>
      <c r="C1478" s="12">
        <f>EXP(-r_free*(('2_Discount_Factors'!B1478+'2_Discount_Factors'!B1479)/2))</f>
        <v>0.885791243813105</v>
      </c>
      <c r="D1478" s="12">
        <f>'3_Survival_Probs'!D1478</f>
        <v>0.911722805986132</v>
      </c>
      <c r="E1478" s="12">
        <f>'3_Survival_Probs'!D1479</f>
        <v>0.911646446073199</v>
      </c>
      <c r="F1478" s="14">
        <f t="shared" si="56"/>
        <v>7.63599129329773e-5</v>
      </c>
      <c r="G1478" s="32">
        <f>(1-recovery)*notional*C1478*F1478</f>
        <v>405.833653526174</v>
      </c>
      <c r="H1478" s="14">
        <f t="shared" si="55"/>
        <v>2.96499472895834e-6</v>
      </c>
      <c r="I1478" s="33"/>
    </row>
    <row r="1479" spans="1:9">
      <c r="A1479" s="4">
        <v>1477</v>
      </c>
      <c r="B1479" s="6">
        <f>'2_Discount_Factors'!B1480</f>
        <v>4.04657534246575</v>
      </c>
      <c r="C1479" s="6">
        <f>EXP(-r_free*(('2_Discount_Factors'!B1479+'2_Discount_Factors'!B1480)/2))</f>
        <v>0.885718442045234</v>
      </c>
      <c r="D1479" s="6">
        <f>'3_Survival_Probs'!D1479</f>
        <v>0.911646446073199</v>
      </c>
      <c r="E1479" s="6">
        <f>'3_Survival_Probs'!D1480</f>
        <v>0.911570092555671</v>
      </c>
      <c r="F1479" s="8">
        <f t="shared" si="56"/>
        <v>7.6353517528327e-5</v>
      </c>
      <c r="G1479" s="29">
        <f>(1-recovery)*notional*C1479*F1479</f>
        <v>405.76631153918</v>
      </c>
      <c r="H1479" s="8">
        <f t="shared" si="55"/>
        <v>3.14978415350048e-6</v>
      </c>
      <c r="I1479" s="30"/>
    </row>
    <row r="1480" spans="1:9">
      <c r="A1480" s="10">
        <v>1478</v>
      </c>
      <c r="B1480" s="12">
        <f>'2_Discount_Factors'!B1481</f>
        <v>4.04931506849315</v>
      </c>
      <c r="C1480" s="12">
        <f>EXP(-r_free*(('2_Discount_Factors'!B1480+'2_Discount_Factors'!B1481)/2))</f>
        <v>0.885645646260824</v>
      </c>
      <c r="D1480" s="12">
        <f>'3_Survival_Probs'!D1480</f>
        <v>0.911570092555671</v>
      </c>
      <c r="E1480" s="12">
        <f>'3_Survival_Probs'!D1481</f>
        <v>0.911493745433012</v>
      </c>
      <c r="F1480" s="14">
        <f t="shared" si="56"/>
        <v>7.63471226592483e-5</v>
      </c>
      <c r="G1480" s="32">
        <f>(1-recovery)*notional*C1480*F1480</f>
        <v>405.698980726226</v>
      </c>
      <c r="H1480" s="14">
        <f t="shared" si="55"/>
        <v>3.33451217035254e-6</v>
      </c>
      <c r="I1480" s="33"/>
    </row>
    <row r="1481" spans="1:9">
      <c r="A1481" s="4">
        <v>1479</v>
      </c>
      <c r="B1481" s="6">
        <f>'2_Discount_Factors'!B1482</f>
        <v>4.05205479452055</v>
      </c>
      <c r="C1481" s="6">
        <f>EXP(-r_free*(('2_Discount_Factors'!B1481+'2_Discount_Factors'!B1482)/2))</f>
        <v>0.885572856459384</v>
      </c>
      <c r="D1481" s="6">
        <f>'3_Survival_Probs'!D1481</f>
        <v>0.911493745433012</v>
      </c>
      <c r="E1481" s="6">
        <f>'3_Survival_Probs'!D1482</f>
        <v>0.911417404704686</v>
      </c>
      <c r="F1481" s="8">
        <f t="shared" si="56"/>
        <v>7.63407283258521e-5</v>
      </c>
      <c r="G1481" s="29">
        <f>(1-recovery)*notional*C1481*F1481</f>
        <v>405.631661086288</v>
      </c>
      <c r="H1481" s="8">
        <f t="shared" si="55"/>
        <v>3.51917879481255e-6</v>
      </c>
      <c r="I1481" s="30"/>
    </row>
    <row r="1482" spans="1:9">
      <c r="A1482" s="10">
        <v>1480</v>
      </c>
      <c r="B1482" s="12">
        <f>'2_Discount_Factors'!B1483</f>
        <v>4.05479452054795</v>
      </c>
      <c r="C1482" s="12">
        <f>EXP(-r_free*(('2_Discount_Factors'!B1482+'2_Discount_Factors'!B1483)/2))</f>
        <v>0.885500072640421</v>
      </c>
      <c r="D1482" s="12">
        <f>'3_Survival_Probs'!D1482</f>
        <v>0.911417404704686</v>
      </c>
      <c r="E1482" s="12">
        <f>'3_Survival_Probs'!D1483</f>
        <v>0.911341070370158</v>
      </c>
      <c r="F1482" s="14">
        <f t="shared" si="56"/>
        <v>7.63343345279166e-5</v>
      </c>
      <c r="G1482" s="32">
        <f>(1-recovery)*notional*C1482*F1482</f>
        <v>405.56435261657</v>
      </c>
      <c r="H1482" s="14">
        <f t="shared" si="55"/>
        <v>3.70378404216047e-6</v>
      </c>
      <c r="I1482" s="33"/>
    </row>
    <row r="1483" spans="1:9">
      <c r="A1483" s="4">
        <v>1481</v>
      </c>
      <c r="B1483" s="6">
        <f>'2_Discount_Factors'!B1484</f>
        <v>4.05753424657534</v>
      </c>
      <c r="C1483" s="6">
        <f>EXP(-r_free*(('2_Discount_Factors'!B1483+'2_Discount_Factors'!B1484)/2))</f>
        <v>0.885427294803443</v>
      </c>
      <c r="D1483" s="6">
        <f>'3_Survival_Probs'!D1483</f>
        <v>0.911341070370158</v>
      </c>
      <c r="E1483" s="6">
        <f>'3_Survival_Probs'!D1484</f>
        <v>0.911264742428892</v>
      </c>
      <c r="F1483" s="8">
        <f t="shared" si="56"/>
        <v>7.63279412654416e-5</v>
      </c>
      <c r="G1483" s="29">
        <f>(1-recovery)*notional*C1483*F1483</f>
        <v>405.497055315457</v>
      </c>
      <c r="H1483" s="8">
        <f t="shared" si="55"/>
        <v>3.88832792768248e-6</v>
      </c>
      <c r="I1483" s="30"/>
    </row>
    <row r="1484" spans="1:9">
      <c r="A1484" s="10">
        <v>1482</v>
      </c>
      <c r="B1484" s="12">
        <f>'2_Discount_Factors'!B1485</f>
        <v>4.06027397260274</v>
      </c>
      <c r="C1484" s="12">
        <f>EXP(-r_free*(('2_Discount_Factors'!B1484+'2_Discount_Factors'!B1485)/2))</f>
        <v>0.88535452294796</v>
      </c>
      <c r="D1484" s="12">
        <f>'3_Survival_Probs'!D1484</f>
        <v>0.911264742428892</v>
      </c>
      <c r="E1484" s="12">
        <f>'3_Survival_Probs'!D1485</f>
        <v>0.911188420880354</v>
      </c>
      <c r="F1484" s="14">
        <f t="shared" si="56"/>
        <v>7.63215485385382e-5</v>
      </c>
      <c r="G1484" s="32">
        <f>(1-recovery)*notional*C1484*F1484</f>
        <v>405.429769181923</v>
      </c>
      <c r="H1484" s="14">
        <f t="shared" si="55"/>
        <v>4.07281046666774e-6</v>
      </c>
      <c r="I1484" s="33"/>
    </row>
    <row r="1485" spans="1:9">
      <c r="A1485" s="4">
        <v>1483</v>
      </c>
      <c r="B1485" s="6">
        <f>'2_Discount_Factors'!B1486</f>
        <v>4.06301369863014</v>
      </c>
      <c r="C1485" s="6">
        <f>EXP(-r_free*(('2_Discount_Factors'!B1485+'2_Discount_Factors'!B1486)/2))</f>
        <v>0.88528175707348</v>
      </c>
      <c r="D1485" s="6">
        <f>'3_Survival_Probs'!D1485</f>
        <v>0.911188420880354</v>
      </c>
      <c r="E1485" s="6">
        <f>'3_Survival_Probs'!D1486</f>
        <v>0.911112105724007</v>
      </c>
      <c r="F1485" s="8">
        <f t="shared" si="56"/>
        <v>7.63151563469844e-5</v>
      </c>
      <c r="G1485" s="29">
        <f>(1-recovery)*notional*C1485*F1485</f>
        <v>405.362494213174</v>
      </c>
      <c r="H1485" s="8">
        <f t="shared" si="55"/>
        <v>4.25723167438491e-6</v>
      </c>
      <c r="I1485" s="30"/>
    </row>
    <row r="1486" spans="1:9">
      <c r="A1486" s="10">
        <v>1484</v>
      </c>
      <c r="B1486" s="12">
        <f>'2_Discount_Factors'!B1487</f>
        <v>4.06575342465753</v>
      </c>
      <c r="C1486" s="12">
        <f>EXP(-r_free*(('2_Discount_Factors'!B1486+'2_Discount_Factors'!B1487)/2))</f>
        <v>0.88520899717951</v>
      </c>
      <c r="D1486" s="12">
        <f>'3_Survival_Probs'!D1486</f>
        <v>0.911112105724007</v>
      </c>
      <c r="E1486" s="12">
        <f>'3_Survival_Probs'!D1487</f>
        <v>0.911035796959316</v>
      </c>
      <c r="F1486" s="14">
        <f t="shared" si="56"/>
        <v>7.63087646908911e-5</v>
      </c>
      <c r="G1486" s="32">
        <f>(1-recovery)*notional*C1486*F1486</f>
        <v>405.295230408186</v>
      </c>
      <c r="H1486" s="14">
        <f t="shared" si="55"/>
        <v>4.44159156611708e-6</v>
      </c>
      <c r="I1486" s="33"/>
    </row>
    <row r="1487" spans="1:9">
      <c r="A1487" s="4">
        <v>1485</v>
      </c>
      <c r="B1487" s="6">
        <f>'2_Discount_Factors'!B1488</f>
        <v>4.06849315068493</v>
      </c>
      <c r="C1487" s="6">
        <f>EXP(-r_free*(('2_Discount_Factors'!B1487+'2_Discount_Factors'!B1488)/2))</f>
        <v>0.88513624326556</v>
      </c>
      <c r="D1487" s="6">
        <f>'3_Survival_Probs'!D1487</f>
        <v>0.911035796959316</v>
      </c>
      <c r="E1487" s="6">
        <f>'3_Survival_Probs'!D1488</f>
        <v>0.910959494585746</v>
      </c>
      <c r="F1487" s="8">
        <f t="shared" si="56"/>
        <v>7.63023735700363e-5</v>
      </c>
      <c r="G1487" s="29">
        <f>(1-recovery)*notional*C1487*F1487</f>
        <v>405.227977764164</v>
      </c>
      <c r="H1487" s="8">
        <f t="shared" si="55"/>
        <v>4.62589015712515e-6</v>
      </c>
      <c r="I1487" s="30"/>
    </row>
    <row r="1488" spans="1:9">
      <c r="A1488" s="10">
        <v>1486</v>
      </c>
      <c r="B1488" s="12">
        <f>'2_Discount_Factors'!B1489</f>
        <v>4.07123287671233</v>
      </c>
      <c r="C1488" s="12">
        <f>EXP(-r_free*(('2_Discount_Factors'!B1488+'2_Discount_Factors'!B1489)/2))</f>
        <v>0.885063495331138</v>
      </c>
      <c r="D1488" s="12">
        <f>'3_Survival_Probs'!D1488</f>
        <v>0.910959494585746</v>
      </c>
      <c r="E1488" s="12">
        <f>'3_Survival_Probs'!D1489</f>
        <v>0.910883198602762</v>
      </c>
      <c r="F1488" s="14">
        <f t="shared" si="56"/>
        <v>7.62959829844201e-5</v>
      </c>
      <c r="G1488" s="32">
        <f>(1-recovery)*notional*C1488*F1488</f>
        <v>405.160736279495</v>
      </c>
      <c r="H1488" s="14">
        <f t="shared" si="55"/>
        <v>4.81012746267894e-6</v>
      </c>
      <c r="I1488" s="33"/>
    </row>
    <row r="1489" spans="1:9">
      <c r="A1489" s="4">
        <v>1487</v>
      </c>
      <c r="B1489" s="6">
        <f>'2_Discount_Factors'!B1490</f>
        <v>4.07397260273973</v>
      </c>
      <c r="C1489" s="6">
        <f>EXP(-r_free*(('2_Discount_Factors'!B1489+'2_Discount_Factors'!B1490)/2))</f>
        <v>0.884990753375753</v>
      </c>
      <c r="D1489" s="6">
        <f>'3_Survival_Probs'!D1489</f>
        <v>0.910883198602762</v>
      </c>
      <c r="E1489" s="6">
        <f>'3_Survival_Probs'!D1490</f>
        <v>0.910806909009827</v>
      </c>
      <c r="F1489" s="8">
        <f t="shared" si="56"/>
        <v>7.62895929341534e-5</v>
      </c>
      <c r="G1489" s="29">
        <f>(1-recovery)*notional*C1489*F1489</f>
        <v>405.093505953156</v>
      </c>
      <c r="H1489" s="8">
        <f t="shared" si="55"/>
        <v>4.9943034980526e-6</v>
      </c>
      <c r="I1489" s="30"/>
    </row>
    <row r="1490" spans="1:9">
      <c r="A1490" s="10">
        <v>1488</v>
      </c>
      <c r="B1490" s="12">
        <f>'2_Discount_Factors'!B1491</f>
        <v>4.07671232876712</v>
      </c>
      <c r="C1490" s="12">
        <f>EXP(-r_free*(('2_Discount_Factors'!B1490+'2_Discount_Factors'!B1491)/2))</f>
        <v>0.884918017398913</v>
      </c>
      <c r="D1490" s="12">
        <f>'3_Survival_Probs'!D1490</f>
        <v>0.910806909009827</v>
      </c>
      <c r="E1490" s="12">
        <f>'3_Survival_Probs'!D1491</f>
        <v>0.910730625806408</v>
      </c>
      <c r="F1490" s="14">
        <f t="shared" si="56"/>
        <v>7.62832034190142e-5</v>
      </c>
      <c r="G1490" s="32">
        <f>(1-recovery)*notional*C1490*F1490</f>
        <v>405.026286782352</v>
      </c>
      <c r="H1490" s="14">
        <f t="shared" si="55"/>
        <v>5.17841827849583e-6</v>
      </c>
      <c r="I1490" s="33"/>
    </row>
    <row r="1491" spans="1:9">
      <c r="A1491" s="4">
        <v>1489</v>
      </c>
      <c r="B1491" s="6">
        <f>'2_Discount_Factors'!B1492</f>
        <v>4.07945205479452</v>
      </c>
      <c r="C1491" s="6">
        <f>EXP(-r_free*(('2_Discount_Factors'!B1491+'2_Discount_Factors'!B1492)/2))</f>
        <v>0.884845287400126</v>
      </c>
      <c r="D1491" s="6">
        <f>'3_Survival_Probs'!D1491</f>
        <v>0.910730625806408</v>
      </c>
      <c r="E1491" s="6">
        <f>'3_Survival_Probs'!D1492</f>
        <v>0.910654348991969</v>
      </c>
      <c r="F1491" s="8">
        <f t="shared" si="56"/>
        <v>7.62768144390025e-5</v>
      </c>
      <c r="G1491" s="29">
        <f>(1-recovery)*notional*C1491*F1491</f>
        <v>404.959078765472</v>
      </c>
      <c r="H1491" s="8">
        <f t="shared" si="55"/>
        <v>5.36247181926882e-6</v>
      </c>
      <c r="I1491" s="30"/>
    </row>
    <row r="1492" spans="1:9">
      <c r="A1492" s="10">
        <v>1490</v>
      </c>
      <c r="B1492" s="12">
        <f>'2_Discount_Factors'!B1493</f>
        <v>4.08219178082192</v>
      </c>
      <c r="C1492" s="12">
        <f>EXP(-r_free*(('2_Discount_Factors'!B1492+'2_Discount_Factors'!B1493)/2))</f>
        <v>0.884772563378903</v>
      </c>
      <c r="D1492" s="12">
        <f>'3_Survival_Probs'!D1492</f>
        <v>0.910654348991969</v>
      </c>
      <c r="E1492" s="12">
        <f>'3_Survival_Probs'!D1493</f>
        <v>0.910578078565975</v>
      </c>
      <c r="F1492" s="14">
        <f t="shared" si="56"/>
        <v>7.62704259941183e-5</v>
      </c>
      <c r="G1492" s="32">
        <f>(1-recovery)*notional*C1492*F1492</f>
        <v>404.891881900901</v>
      </c>
      <c r="H1492" s="14">
        <f t="shared" si="55"/>
        <v>5.54646413562881e-6</v>
      </c>
      <c r="I1492" s="33"/>
    </row>
    <row r="1493" spans="1:9">
      <c r="A1493" s="4">
        <v>1491</v>
      </c>
      <c r="B1493" s="6">
        <f>'2_Discount_Factors'!B1494</f>
        <v>4.08493150684932</v>
      </c>
      <c r="C1493" s="6">
        <f>EXP(-r_free*(('2_Discount_Factors'!B1493+'2_Discount_Factors'!B1494)/2))</f>
        <v>0.88469984533475</v>
      </c>
      <c r="D1493" s="6">
        <f>'3_Survival_Probs'!D1493</f>
        <v>0.910578078565975</v>
      </c>
      <c r="E1493" s="6">
        <f>'3_Survival_Probs'!D1494</f>
        <v>0.910501814527891</v>
      </c>
      <c r="F1493" s="8">
        <f t="shared" si="56"/>
        <v>7.62640380842505e-5</v>
      </c>
      <c r="G1493" s="29">
        <f>(1-recovery)*notional*C1493*F1493</f>
        <v>404.824696186439</v>
      </c>
      <c r="H1493" s="8">
        <f t="shared" si="55"/>
        <v>5.73039524282177e-6</v>
      </c>
      <c r="I1493" s="30"/>
    </row>
    <row r="1494" spans="1:9">
      <c r="A1494" s="10">
        <v>1492</v>
      </c>
      <c r="B1494" s="12">
        <f>'2_Discount_Factors'!B1495</f>
        <v>4.08767123287671</v>
      </c>
      <c r="C1494" s="12">
        <f>EXP(-r_free*(('2_Discount_Factors'!B1494+'2_Discount_Factors'!B1495)/2))</f>
        <v>0.884627133267177</v>
      </c>
      <c r="D1494" s="12">
        <f>'3_Survival_Probs'!D1494</f>
        <v>0.910501814527891</v>
      </c>
      <c r="E1494" s="12">
        <f>'3_Survival_Probs'!D1495</f>
        <v>0.910425556877182</v>
      </c>
      <c r="F1494" s="14">
        <f t="shared" si="56"/>
        <v>7.62576507093993e-5</v>
      </c>
      <c r="G1494" s="32">
        <f>(1-recovery)*notional*C1494*F1494</f>
        <v>404.757521620473</v>
      </c>
      <c r="H1494" s="14">
        <f t="shared" si="55"/>
        <v>5.91426515609822e-6</v>
      </c>
      <c r="I1494" s="33"/>
    </row>
    <row r="1495" spans="1:9">
      <c r="A1495" s="4">
        <v>1493</v>
      </c>
      <c r="B1495" s="6">
        <f>'2_Discount_Factors'!B1496</f>
        <v>4.09041095890411</v>
      </c>
      <c r="C1495" s="6">
        <f>EXP(-r_free*(('2_Discount_Factors'!B1495+'2_Discount_Factors'!B1496)/2))</f>
        <v>0.884554427175693</v>
      </c>
      <c r="D1495" s="6">
        <f>'3_Survival_Probs'!D1495</f>
        <v>0.910425556877182</v>
      </c>
      <c r="E1495" s="6">
        <f>'3_Survival_Probs'!D1496</f>
        <v>0.910349305613312</v>
      </c>
      <c r="F1495" s="8">
        <f t="shared" si="56"/>
        <v>7.62512638695645e-5</v>
      </c>
      <c r="G1495" s="29">
        <f>(1-recovery)*notional*C1495*F1495</f>
        <v>404.690358201391</v>
      </c>
      <c r="H1495" s="8">
        <f t="shared" si="55"/>
        <v>6.09807389070588e-6</v>
      </c>
      <c r="I1495" s="30"/>
    </row>
    <row r="1496" spans="1:9">
      <c r="A1496" s="10">
        <v>1494</v>
      </c>
      <c r="B1496" s="12">
        <f>'2_Discount_Factors'!B1497</f>
        <v>4.09315068493151</v>
      </c>
      <c r="C1496" s="12">
        <f>EXP(-r_free*(('2_Discount_Factors'!B1496+'2_Discount_Factors'!B1497)/2))</f>
        <v>0.884481727059806</v>
      </c>
      <c r="D1496" s="12">
        <f>'3_Survival_Probs'!D1496</f>
        <v>0.910349305613312</v>
      </c>
      <c r="E1496" s="12">
        <f>'3_Survival_Probs'!D1497</f>
        <v>0.910273060735748</v>
      </c>
      <c r="F1496" s="14">
        <f t="shared" si="56"/>
        <v>7.62448775645241e-5</v>
      </c>
      <c r="G1496" s="32">
        <f>(1-recovery)*notional*C1496*F1496</f>
        <v>404.623205926403</v>
      </c>
      <c r="H1496" s="14">
        <f t="shared" si="55"/>
        <v>6.28182146187108e-6</v>
      </c>
      <c r="I1496" s="33"/>
    </row>
    <row r="1497" spans="1:9">
      <c r="A1497" s="4">
        <v>1495</v>
      </c>
      <c r="B1497" s="6">
        <f>'2_Discount_Factors'!B1498</f>
        <v>4.0958904109589</v>
      </c>
      <c r="C1497" s="6">
        <f>EXP(-r_free*(('2_Discount_Factors'!B1497+'2_Discount_Factors'!B1498)/2))</f>
        <v>0.884409032919026</v>
      </c>
      <c r="D1497" s="6">
        <f>'3_Survival_Probs'!D1497</f>
        <v>0.910273060735748</v>
      </c>
      <c r="E1497" s="6">
        <f>'3_Survival_Probs'!D1498</f>
        <v>0.910196822243953</v>
      </c>
      <c r="F1497" s="8">
        <f t="shared" si="56"/>
        <v>7.62384917945003e-5</v>
      </c>
      <c r="G1497" s="29">
        <f>(1-recovery)*notional*C1497*F1497</f>
        <v>404.556064795075</v>
      </c>
      <c r="H1497" s="8">
        <f t="shared" si="55"/>
        <v>6.46550788485279e-6</v>
      </c>
      <c r="I1497" s="30"/>
    </row>
    <row r="1498" spans="1:9">
      <c r="A1498" s="10">
        <v>1496</v>
      </c>
      <c r="B1498" s="12">
        <f>'2_Discount_Factors'!B1499</f>
        <v>4.0986301369863</v>
      </c>
      <c r="C1498" s="12">
        <f>EXP(-r_free*(('2_Discount_Factors'!B1498+'2_Discount_Factors'!B1499)/2))</f>
        <v>0.884336344752861</v>
      </c>
      <c r="D1498" s="12">
        <f>'3_Survival_Probs'!D1498</f>
        <v>0.910196822243953</v>
      </c>
      <c r="E1498" s="12">
        <f>'3_Survival_Probs'!D1499</f>
        <v>0.910120590137394</v>
      </c>
      <c r="F1498" s="14">
        <f t="shared" si="56"/>
        <v>7.62321065592708e-5</v>
      </c>
      <c r="G1498" s="32">
        <f>(1-recovery)*notional*C1498*F1498</f>
        <v>404.488934804617</v>
      </c>
      <c r="H1498" s="14">
        <f t="shared" si="55"/>
        <v>6.64913317487042e-6</v>
      </c>
      <c r="I1498" s="33"/>
    </row>
    <row r="1499" spans="1:9">
      <c r="A1499" s="4">
        <v>1497</v>
      </c>
      <c r="B1499" s="6">
        <f>'2_Discount_Factors'!B1500</f>
        <v>4.1013698630137</v>
      </c>
      <c r="C1499" s="6">
        <f>EXP(-r_free*(('2_Discount_Factors'!B1499+'2_Discount_Factors'!B1500)/2))</f>
        <v>0.884263662560821</v>
      </c>
      <c r="D1499" s="6">
        <f>'3_Survival_Probs'!D1499</f>
        <v>0.910120590137394</v>
      </c>
      <c r="E1499" s="6">
        <f>'3_Survival_Probs'!D1500</f>
        <v>0.910044364415535</v>
      </c>
      <c r="F1499" s="8">
        <f t="shared" si="56"/>
        <v>7.62257218587248e-5</v>
      </c>
      <c r="G1499" s="29">
        <f>(1-recovery)*notional*C1499*F1499</f>
        <v>404.42181595283</v>
      </c>
      <c r="H1499" s="8">
        <f t="shared" si="55"/>
        <v>6.83269734714829e-6</v>
      </c>
      <c r="I1499" s="30"/>
    </row>
    <row r="1500" spans="1:9">
      <c r="A1500" s="10">
        <v>1498</v>
      </c>
      <c r="B1500" s="12">
        <f>'2_Discount_Factors'!B1501</f>
        <v>4.1041095890411</v>
      </c>
      <c r="C1500" s="12">
        <f>EXP(-r_free*(('2_Discount_Factors'!B1500+'2_Discount_Factors'!B1501)/2))</f>
        <v>0.884190986342414</v>
      </c>
      <c r="D1500" s="12">
        <f>'3_Survival_Probs'!D1500</f>
        <v>0.910044364415535</v>
      </c>
      <c r="E1500" s="12">
        <f>'3_Survival_Probs'!D1501</f>
        <v>0.909968145077842</v>
      </c>
      <c r="F1500" s="14">
        <f t="shared" si="56"/>
        <v>7.62193376930842e-5</v>
      </c>
      <c r="G1500" s="32">
        <f>(1-recovery)*notional*C1500*F1500</f>
        <v>404.354708239282</v>
      </c>
      <c r="H1500" s="14">
        <f t="shared" si="55"/>
        <v>7.01620041693732e-6</v>
      </c>
      <c r="I1500" s="33"/>
    </row>
    <row r="1501" spans="1:9">
      <c r="A1501" s="4">
        <v>1499</v>
      </c>
      <c r="B1501" s="6">
        <f>'2_Discount_Factors'!B1502</f>
        <v>4.10684931506849</v>
      </c>
      <c r="C1501" s="6">
        <f>EXP(-r_free*(('2_Discount_Factors'!B1501+'2_Discount_Factors'!B1502)/2))</f>
        <v>0.884118316097149</v>
      </c>
      <c r="D1501" s="6">
        <f>'3_Survival_Probs'!D1501</f>
        <v>0.909968145077842</v>
      </c>
      <c r="E1501" s="6">
        <f>'3_Survival_Probs'!D1502</f>
        <v>0.90989193212378</v>
      </c>
      <c r="F1501" s="8">
        <f t="shared" si="56"/>
        <v>7.6212954062016e-5</v>
      </c>
      <c r="G1501" s="29">
        <f>(1-recovery)*notional*C1501*F1501</f>
        <v>404.287611660594</v>
      </c>
      <c r="H1501" s="8">
        <f t="shared" si="55"/>
        <v>7.19964239943525e-6</v>
      </c>
      <c r="I1501" s="30"/>
    </row>
    <row r="1502" spans="1:9">
      <c r="A1502" s="10">
        <v>1500</v>
      </c>
      <c r="B1502" s="12">
        <f>'2_Discount_Factors'!B1503</f>
        <v>4.10958904109589</v>
      </c>
      <c r="C1502" s="12">
        <f>EXP(-r_free*(('2_Discount_Factors'!B1502+'2_Discount_Factors'!B1503)/2))</f>
        <v>0.884045651824535</v>
      </c>
      <c r="D1502" s="12">
        <f>'3_Survival_Probs'!D1502</f>
        <v>0.90989193212378</v>
      </c>
      <c r="E1502" s="12">
        <f>'3_Survival_Probs'!D1503</f>
        <v>0.909815725552814</v>
      </c>
      <c r="F1502" s="14">
        <f t="shared" si="56"/>
        <v>7.62065709656312e-5</v>
      </c>
      <c r="G1502" s="32">
        <f>(1-recovery)*notional*C1502*F1502</f>
        <v>404.220526215745</v>
      </c>
      <c r="H1502" s="14">
        <f t="shared" si="55"/>
        <v>7.38302330987665e-6</v>
      </c>
      <c r="I1502" s="33"/>
    </row>
    <row r="1503" spans="1:9">
      <c r="A1503" s="4">
        <v>1501</v>
      </c>
      <c r="B1503" s="6">
        <f>'2_Discount_Factors'!B1504</f>
        <v>4.11232876712329</v>
      </c>
      <c r="C1503" s="6">
        <f>EXP(-r_free*(('2_Discount_Factors'!B1503+'2_Discount_Factors'!B1504)/2))</f>
        <v>0.883972993524083</v>
      </c>
      <c r="D1503" s="6">
        <f>'3_Survival_Probs'!D1503</f>
        <v>0.909815725552814</v>
      </c>
      <c r="E1503" s="6">
        <f>'3_Survival_Probs'!D1504</f>
        <v>0.90973952536441</v>
      </c>
      <c r="F1503" s="8">
        <f t="shared" si="56"/>
        <v>7.62001884039298e-5</v>
      </c>
      <c r="G1503" s="29">
        <f>(1-recovery)*notional*C1503*F1503</f>
        <v>404.153451903126</v>
      </c>
      <c r="H1503" s="8">
        <f t="shared" si="55"/>
        <v>7.56634316348315e-6</v>
      </c>
      <c r="I1503" s="30"/>
    </row>
    <row r="1504" spans="1:9">
      <c r="A1504" s="10">
        <v>1502</v>
      </c>
      <c r="B1504" s="12">
        <f>'2_Discount_Factors'!B1505</f>
        <v>4.11506849315068</v>
      </c>
      <c r="C1504" s="12">
        <f>EXP(-r_free*(('2_Discount_Factors'!B1504+'2_Discount_Factors'!B1505)/2))</f>
        <v>0.883900341195299</v>
      </c>
      <c r="D1504" s="12">
        <f>'3_Survival_Probs'!D1504</f>
        <v>0.90973952536441</v>
      </c>
      <c r="E1504" s="12">
        <f>'3_Survival_Probs'!D1505</f>
        <v>0.909663331558034</v>
      </c>
      <c r="F1504" s="14">
        <f t="shared" si="56"/>
        <v>7.61938063766898e-5</v>
      </c>
      <c r="G1504" s="32">
        <f>(1-recovery)*notional*C1504*F1504</f>
        <v>404.086388719948</v>
      </c>
      <c r="H1504" s="14">
        <f t="shared" si="55"/>
        <v>7.74960197545105e-6</v>
      </c>
      <c r="I1504" s="33"/>
    </row>
    <row r="1505" spans="1:9">
      <c r="A1505" s="4">
        <v>1503</v>
      </c>
      <c r="B1505" s="6">
        <f>'2_Discount_Factors'!B1506</f>
        <v>4.11780821917808</v>
      </c>
      <c r="C1505" s="6">
        <f>EXP(-r_free*(('2_Discount_Factors'!B1505+'2_Discount_Factors'!B1506)/2))</f>
        <v>0.883827694837695</v>
      </c>
      <c r="D1505" s="6">
        <f>'3_Survival_Probs'!D1505</f>
        <v>0.909663331558034</v>
      </c>
      <c r="E1505" s="6">
        <f>'3_Survival_Probs'!D1506</f>
        <v>0.90958714413315</v>
      </c>
      <c r="F1505" s="8">
        <f t="shared" si="56"/>
        <v>7.61874248840222e-5</v>
      </c>
      <c r="G1505" s="29">
        <f>(1-recovery)*notional*C1505*F1505</f>
        <v>404.019336665192</v>
      </c>
      <c r="H1505" s="8">
        <f t="shared" si="55"/>
        <v>7.93279976100605e-6</v>
      </c>
      <c r="I1505" s="30"/>
    </row>
    <row r="1506" spans="1:9">
      <c r="A1506" s="10">
        <v>1504</v>
      </c>
      <c r="B1506" s="12">
        <f>'2_Discount_Factors'!B1507</f>
        <v>4.12054794520548</v>
      </c>
      <c r="C1506" s="12">
        <f>EXP(-r_free*(('2_Discount_Factors'!B1506+'2_Discount_Factors'!B1507)/2))</f>
        <v>0.883755054450779</v>
      </c>
      <c r="D1506" s="12">
        <f>'3_Survival_Probs'!D1506</f>
        <v>0.90958714413315</v>
      </c>
      <c r="E1506" s="12">
        <f>'3_Survival_Probs'!D1507</f>
        <v>0.909510963089224</v>
      </c>
      <c r="F1506" s="14">
        <f t="shared" si="56"/>
        <v>7.61810439258159e-5</v>
      </c>
      <c r="G1506" s="32">
        <f>(1-recovery)*notional*C1506*F1506</f>
        <v>403.95229573666</v>
      </c>
      <c r="H1506" s="14">
        <f t="shared" si="55"/>
        <v>8.11593653534841e-6</v>
      </c>
      <c r="I1506" s="33"/>
    </row>
    <row r="1507" spans="1:9">
      <c r="A1507" s="4">
        <v>1505</v>
      </c>
      <c r="B1507" s="6">
        <f>'2_Discount_Factors'!B1508</f>
        <v>4.12328767123288</v>
      </c>
      <c r="C1507" s="6">
        <f>EXP(-r_free*(('2_Discount_Factors'!B1507+'2_Discount_Factors'!B1508)/2))</f>
        <v>0.88368242003406</v>
      </c>
      <c r="D1507" s="6">
        <f>'3_Survival_Probs'!D1507</f>
        <v>0.909510963089224</v>
      </c>
      <c r="E1507" s="6">
        <f>'3_Survival_Probs'!D1508</f>
        <v>0.909434788425722</v>
      </c>
      <c r="F1507" s="8">
        <f t="shared" si="56"/>
        <v>7.617466350196e-5</v>
      </c>
      <c r="G1507" s="29">
        <f>(1-recovery)*notional*C1507*F1507</f>
        <v>403.885265932153</v>
      </c>
      <c r="H1507" s="8">
        <f t="shared" si="55"/>
        <v>8.29901231367439e-6</v>
      </c>
      <c r="I1507" s="30"/>
    </row>
    <row r="1508" spans="1:9">
      <c r="A1508" s="10">
        <v>1506</v>
      </c>
      <c r="B1508" s="12">
        <f>'2_Discount_Factors'!B1509</f>
        <v>4.12602739726027</v>
      </c>
      <c r="C1508" s="12">
        <f>EXP(-r_free*(('2_Discount_Factors'!B1508+'2_Discount_Factors'!B1509)/2))</f>
        <v>0.883609791587048</v>
      </c>
      <c r="D1508" s="12">
        <f>'3_Survival_Probs'!D1508</f>
        <v>0.909434788425722</v>
      </c>
      <c r="E1508" s="12">
        <f>'3_Survival_Probs'!D1509</f>
        <v>0.909358620142109</v>
      </c>
      <c r="F1508" s="14">
        <f t="shared" si="56"/>
        <v>7.61682836125654e-5</v>
      </c>
      <c r="G1508" s="32">
        <f>(1-recovery)*notional*C1508*F1508</f>
        <v>403.818247250653</v>
      </c>
      <c r="H1508" s="14">
        <f t="shared" si="55"/>
        <v>8.48202711120093e-6</v>
      </c>
      <c r="I1508" s="33"/>
    </row>
    <row r="1509" spans="1:9">
      <c r="A1509" s="4">
        <v>1507</v>
      </c>
      <c r="B1509" s="6">
        <f>'2_Discount_Factors'!B1510</f>
        <v>4.12876712328767</v>
      </c>
      <c r="C1509" s="6">
        <f>EXP(-r_free*(('2_Discount_Factors'!B1509+'2_Discount_Factors'!B1510)/2))</f>
        <v>0.883537169109252</v>
      </c>
      <c r="D1509" s="6">
        <f>'3_Survival_Probs'!D1509</f>
        <v>0.909358620142109</v>
      </c>
      <c r="E1509" s="6">
        <f>'3_Survival_Probs'!D1510</f>
        <v>0.909282458237852</v>
      </c>
      <c r="F1509" s="8">
        <f t="shared" si="56"/>
        <v>7.61619042575212e-5</v>
      </c>
      <c r="G1509" s="29">
        <f>(1-recovery)*notional*C1509*F1509</f>
        <v>403.751239689961</v>
      </c>
      <c r="H1509" s="8">
        <f t="shared" si="55"/>
        <v>8.66498094311791e-6</v>
      </c>
      <c r="I1509" s="30"/>
    </row>
    <row r="1510" spans="1:9">
      <c r="A1510" s="10">
        <v>1508</v>
      </c>
      <c r="B1510" s="12">
        <f>'2_Discount_Factors'!B1511</f>
        <v>4.13150684931507</v>
      </c>
      <c r="C1510" s="12">
        <f>EXP(-r_free*(('2_Discount_Factors'!B1510+'2_Discount_Factors'!B1511)/2))</f>
        <v>0.883464552600182</v>
      </c>
      <c r="D1510" s="12">
        <f>'3_Survival_Probs'!D1510</f>
        <v>0.909282458237852</v>
      </c>
      <c r="E1510" s="12">
        <f>'3_Survival_Probs'!D1511</f>
        <v>0.909206302712415</v>
      </c>
      <c r="F1510" s="14">
        <f t="shared" si="56"/>
        <v>7.61555254367163e-5</v>
      </c>
      <c r="G1510" s="32">
        <f>(1-recovery)*notional*C1510*F1510</f>
        <v>403.684243247882</v>
      </c>
      <c r="H1510" s="14">
        <f t="shared" si="55"/>
        <v>8.84787382461114e-6</v>
      </c>
      <c r="I1510" s="33"/>
    </row>
    <row r="1511" spans="1:9">
      <c r="A1511" s="4">
        <v>1509</v>
      </c>
      <c r="B1511" s="6">
        <f>'2_Discount_Factors'!B1512</f>
        <v>4.13424657534247</v>
      </c>
      <c r="C1511" s="6">
        <f>EXP(-r_free*(('2_Discount_Factors'!B1511+'2_Discount_Factors'!B1512)/2))</f>
        <v>0.883391942059346</v>
      </c>
      <c r="D1511" s="6">
        <f>'3_Survival_Probs'!D1511</f>
        <v>0.909206302712415</v>
      </c>
      <c r="E1511" s="6">
        <f>'3_Survival_Probs'!D1512</f>
        <v>0.909130153565265</v>
      </c>
      <c r="F1511" s="8">
        <f t="shared" si="56"/>
        <v>7.61491471502618e-5</v>
      </c>
      <c r="G1511" s="29">
        <f>(1-recovery)*notional*C1511*F1511</f>
        <v>403.617257923396</v>
      </c>
      <c r="H1511" s="8">
        <f t="shared" si="55"/>
        <v>9.03070577088874e-6</v>
      </c>
      <c r="I1511" s="30"/>
    </row>
    <row r="1512" spans="1:9">
      <c r="A1512" s="10">
        <v>1510</v>
      </c>
      <c r="B1512" s="12">
        <f>'2_Discount_Factors'!B1513</f>
        <v>4.13698630136986</v>
      </c>
      <c r="C1512" s="12">
        <f>EXP(-r_free*(('2_Discount_Factors'!B1512+'2_Discount_Factors'!B1513)/2))</f>
        <v>0.883319337486255</v>
      </c>
      <c r="D1512" s="12">
        <f>'3_Survival_Probs'!D1512</f>
        <v>0.909130153565265</v>
      </c>
      <c r="E1512" s="12">
        <f>'3_Survival_Probs'!D1513</f>
        <v>0.909054010795867</v>
      </c>
      <c r="F1512" s="14">
        <f t="shared" si="56"/>
        <v>7.61427693979355e-5</v>
      </c>
      <c r="G1512" s="32">
        <f>(1-recovery)*notional*C1512*F1512</f>
        <v>403.550283713719</v>
      </c>
      <c r="H1512" s="14">
        <f t="shared" si="55"/>
        <v>9.21347679711684e-6</v>
      </c>
      <c r="I1512" s="33"/>
    </row>
    <row r="1513" spans="1:9">
      <c r="A1513" s="4">
        <v>1511</v>
      </c>
      <c r="B1513" s="6">
        <f>'2_Discount_Factors'!B1514</f>
        <v>4.13972602739726</v>
      </c>
      <c r="C1513" s="6">
        <f>EXP(-r_free*(('2_Discount_Factors'!B1513+'2_Discount_Factors'!B1514)/2))</f>
        <v>0.883246738880418</v>
      </c>
      <c r="D1513" s="6">
        <f>'3_Survival_Probs'!D1513</f>
        <v>0.909054010795867</v>
      </c>
      <c r="E1513" s="6">
        <f>'3_Survival_Probs'!D1514</f>
        <v>0.908977874403687</v>
      </c>
      <c r="F1513" s="8">
        <f t="shared" si="56"/>
        <v>7.61363921797376e-5</v>
      </c>
      <c r="G1513" s="29">
        <f>(1-recovery)*notional*C1513*F1513</f>
        <v>403.483320617242</v>
      </c>
      <c r="H1513" s="8">
        <f t="shared" si="55"/>
        <v>9.39618691848371e-6</v>
      </c>
      <c r="I1513" s="30"/>
    </row>
    <row r="1514" spans="1:9">
      <c r="A1514" s="10">
        <v>1512</v>
      </c>
      <c r="B1514" s="12">
        <f>'2_Discount_Factors'!B1515</f>
        <v>4.14246575342466</v>
      </c>
      <c r="C1514" s="12">
        <f>EXP(-r_free*(('2_Discount_Factors'!B1514+'2_Discount_Factors'!B1515)/2))</f>
        <v>0.883174146241344</v>
      </c>
      <c r="D1514" s="12">
        <f>'3_Survival_Probs'!D1514</f>
        <v>0.908977874403687</v>
      </c>
      <c r="E1514" s="12">
        <f>'3_Survival_Probs'!D1515</f>
        <v>0.908901744388191</v>
      </c>
      <c r="F1514" s="14">
        <f t="shared" si="56"/>
        <v>7.61300154956679e-5</v>
      </c>
      <c r="G1514" s="32">
        <f>(1-recovery)*notional*C1514*F1514</f>
        <v>403.416368632361</v>
      </c>
      <c r="H1514" s="14">
        <f t="shared" si="55"/>
        <v>9.57883615017477e-6</v>
      </c>
      <c r="I1514" s="33"/>
    </row>
    <row r="1515" spans="1:9">
      <c r="A1515" s="4">
        <v>1513</v>
      </c>
      <c r="B1515" s="6">
        <f>'2_Discount_Factors'!B1516</f>
        <v>4.14520547945205</v>
      </c>
      <c r="C1515" s="6">
        <f>EXP(-r_free*(('2_Discount_Factors'!B1515+'2_Discount_Factors'!B1516)/2))</f>
        <v>0.883101559568544</v>
      </c>
      <c r="D1515" s="6">
        <f>'3_Survival_Probs'!D1515</f>
        <v>0.908901744388191</v>
      </c>
      <c r="E1515" s="6">
        <f>'3_Survival_Probs'!D1516</f>
        <v>0.908825620748846</v>
      </c>
      <c r="F1515" s="8">
        <f t="shared" si="56"/>
        <v>7.61236393457265e-5</v>
      </c>
      <c r="G1515" s="29">
        <f>(1-recovery)*notional*C1515*F1515</f>
        <v>403.349427757467</v>
      </c>
      <c r="H1515" s="8">
        <f t="shared" si="55"/>
        <v>9.76142450737248e-6</v>
      </c>
      <c r="I1515" s="30"/>
    </row>
    <row r="1516" spans="1:9">
      <c r="A1516" s="10">
        <v>1514</v>
      </c>
      <c r="B1516" s="12">
        <f>'2_Discount_Factors'!B1517</f>
        <v>4.14794520547945</v>
      </c>
      <c r="C1516" s="12">
        <f>EXP(-r_free*(('2_Discount_Factors'!B1516+'2_Discount_Factors'!B1517)/2))</f>
        <v>0.883028978861526</v>
      </c>
      <c r="D1516" s="12">
        <f>'3_Survival_Probs'!D1516</f>
        <v>0.908825620748846</v>
      </c>
      <c r="E1516" s="12">
        <f>'3_Survival_Probs'!D1517</f>
        <v>0.908749503485116</v>
      </c>
      <c r="F1516" s="14">
        <f t="shared" si="56"/>
        <v>7.61172637296914e-5</v>
      </c>
      <c r="G1516" s="32">
        <f>(1-recovery)*notional*C1516*F1516</f>
        <v>403.282497989777</v>
      </c>
      <c r="H1516" s="14">
        <f t="shared" si="55"/>
        <v>9.94395200522738e-6</v>
      </c>
      <c r="I1516" s="33"/>
    </row>
    <row r="1517" spans="1:9">
      <c r="A1517" s="4">
        <v>1515</v>
      </c>
      <c r="B1517" s="6">
        <f>'2_Discount_Factors'!B1518</f>
        <v>4.15068493150685</v>
      </c>
      <c r="C1517" s="6">
        <f>EXP(-r_free*(('2_Discount_Factors'!B1517+'2_Discount_Factors'!B1518)/2))</f>
        <v>0.8829564041198</v>
      </c>
      <c r="D1517" s="6">
        <f>'3_Survival_Probs'!D1517</f>
        <v>0.908749503485116</v>
      </c>
      <c r="E1517" s="6">
        <f>'3_Survival_Probs'!D1518</f>
        <v>0.908673392596468</v>
      </c>
      <c r="F1517" s="8">
        <f t="shared" si="56"/>
        <v>7.61108886477846e-5</v>
      </c>
      <c r="G1517" s="29">
        <f>(1-recovery)*notional*C1517*F1517</f>
        <v>403.215579328862</v>
      </c>
      <c r="H1517" s="8">
        <f t="shared" si="55"/>
        <v>1.0126418658944e-5</v>
      </c>
      <c r="I1517" s="30"/>
    </row>
    <row r="1518" spans="1:9">
      <c r="A1518" s="10">
        <v>1516</v>
      </c>
      <c r="B1518" s="12">
        <f>'2_Discount_Factors'!B1519</f>
        <v>4.15342465753425</v>
      </c>
      <c r="C1518" s="12">
        <f>EXP(-r_free*(('2_Discount_Factors'!B1518+'2_Discount_Factors'!B1519)/2))</f>
        <v>0.882883835342877</v>
      </c>
      <c r="D1518" s="12">
        <f>'3_Survival_Probs'!D1518</f>
        <v>0.908673392596468</v>
      </c>
      <c r="E1518" s="12">
        <f>'3_Survival_Probs'!D1519</f>
        <v>0.908597288082369</v>
      </c>
      <c r="F1518" s="14">
        <f t="shared" si="56"/>
        <v>7.6104514099673e-5</v>
      </c>
      <c r="G1518" s="32">
        <f>(1-recovery)*notional*C1518*F1518</f>
        <v>403.148671771352</v>
      </c>
      <c r="H1518" s="14">
        <f t="shared" si="55"/>
        <v>1.0308824483651e-5</v>
      </c>
      <c r="I1518" s="33"/>
    </row>
    <row r="1519" spans="1:9">
      <c r="A1519" s="4">
        <v>1517</v>
      </c>
      <c r="B1519" s="6">
        <f>'2_Discount_Factors'!B1520</f>
        <v>4.15616438356164</v>
      </c>
      <c r="C1519" s="6">
        <f>EXP(-r_free*(('2_Discount_Factors'!B1519+'2_Discount_Factors'!B1520)/2))</f>
        <v>0.882811272530265</v>
      </c>
      <c r="D1519" s="6">
        <f>'3_Survival_Probs'!D1519</f>
        <v>0.908597288082369</v>
      </c>
      <c r="E1519" s="6">
        <f>'3_Survival_Probs'!D1520</f>
        <v>0.908521189942283</v>
      </c>
      <c r="F1519" s="8">
        <f t="shared" si="56"/>
        <v>7.60981400855787e-5</v>
      </c>
      <c r="G1519" s="29">
        <f>(1-recovery)*notional*C1519*F1519</f>
        <v>403.081775316817</v>
      </c>
      <c r="H1519" s="8">
        <f t="shared" si="55"/>
        <v>1.04911694945473e-5</v>
      </c>
      <c r="I1519" s="30"/>
    </row>
    <row r="1520" spans="1:9">
      <c r="A1520" s="10">
        <v>1518</v>
      </c>
      <c r="B1520" s="12">
        <f>'2_Discount_Factors'!B1521</f>
        <v>4.15890410958904</v>
      </c>
      <c r="C1520" s="12">
        <f>EXP(-r_free*(('2_Discount_Factors'!B1520+'2_Discount_Factors'!B1521)/2))</f>
        <v>0.882738715681475</v>
      </c>
      <c r="D1520" s="12">
        <f>'3_Survival_Probs'!D1520</f>
        <v>0.908521189942283</v>
      </c>
      <c r="E1520" s="12">
        <f>'3_Survival_Probs'!D1521</f>
        <v>0.908445098175678</v>
      </c>
      <c r="F1520" s="14">
        <f t="shared" si="56"/>
        <v>7.60917666052796e-5</v>
      </c>
      <c r="G1520" s="32">
        <f>(1-recovery)*notional*C1520*F1520</f>
        <v>403.014889962475</v>
      </c>
      <c r="H1520" s="14">
        <f t="shared" si="55"/>
        <v>1.06734537067687e-5</v>
      </c>
      <c r="I1520" s="33"/>
    </row>
    <row r="1521" spans="1:9">
      <c r="A1521" s="4">
        <v>1519</v>
      </c>
      <c r="B1521" s="6">
        <f>'2_Discount_Factors'!B1522</f>
        <v>4.16164383561644</v>
      </c>
      <c r="C1521" s="6">
        <f>EXP(-r_free*(('2_Discount_Factors'!B1521+'2_Discount_Factors'!B1522)/2))</f>
        <v>0.882666164796017</v>
      </c>
      <c r="D1521" s="6">
        <f>'3_Survival_Probs'!D1521</f>
        <v>0.908445098175678</v>
      </c>
      <c r="E1521" s="6">
        <f>'3_Survival_Probs'!D1522</f>
        <v>0.908369012782019</v>
      </c>
      <c r="F1521" s="8">
        <f t="shared" si="56"/>
        <v>7.60853936587758e-5</v>
      </c>
      <c r="G1521" s="29">
        <f>(1-recovery)*notional*C1521*F1521</f>
        <v>402.948015706721</v>
      </c>
      <c r="H1521" s="8">
        <f t="shared" si="55"/>
        <v>1.08556771354778e-5</v>
      </c>
      <c r="I1521" s="30"/>
    </row>
    <row r="1522" spans="1:9">
      <c r="A1522" s="10">
        <v>1520</v>
      </c>
      <c r="B1522" s="12">
        <f>'2_Discount_Factors'!B1523</f>
        <v>4.16438356164384</v>
      </c>
      <c r="C1522" s="12">
        <f>EXP(-r_free*(('2_Discount_Factors'!B1522+'2_Discount_Factors'!B1523)/2))</f>
        <v>0.8825936198734</v>
      </c>
      <c r="D1522" s="12">
        <f>'3_Survival_Probs'!D1522</f>
        <v>0.908369012782019</v>
      </c>
      <c r="E1522" s="12">
        <f>'3_Survival_Probs'!D1523</f>
        <v>0.908292933760773</v>
      </c>
      <c r="F1522" s="14">
        <f t="shared" si="56"/>
        <v>7.60790212459561e-5</v>
      </c>
      <c r="G1522" s="32">
        <f>(1-recovery)*notional*C1522*F1522</f>
        <v>402.881152547362</v>
      </c>
      <c r="H1522" s="14">
        <f t="shared" si="55"/>
        <v>1.10378397958181e-5</v>
      </c>
      <c r="I1522" s="33"/>
    </row>
    <row r="1523" spans="1:9">
      <c r="A1523" s="4">
        <v>1521</v>
      </c>
      <c r="B1523" s="6">
        <f>'2_Discount_Factors'!B1524</f>
        <v>4.16712328767123</v>
      </c>
      <c r="C1523" s="6">
        <f>EXP(-r_free*(('2_Discount_Factors'!B1523+'2_Discount_Factors'!B1524)/2))</f>
        <v>0.882521080913135</v>
      </c>
      <c r="D1523" s="6">
        <f>'3_Survival_Probs'!D1523</f>
        <v>0.908292933760773</v>
      </c>
      <c r="E1523" s="6">
        <f>'3_Survival_Probs'!D1524</f>
        <v>0.908216861111406</v>
      </c>
      <c r="F1523" s="8">
        <f t="shared" si="56"/>
        <v>7.60726493669317e-5</v>
      </c>
      <c r="G1523" s="29">
        <f>(1-recovery)*notional*C1523*F1523</f>
        <v>402.814300483383</v>
      </c>
      <c r="H1523" s="8">
        <f t="shared" si="55"/>
        <v>1.12199417029618e-5</v>
      </c>
      <c r="I1523" s="30"/>
    </row>
    <row r="1524" spans="1:9">
      <c r="A1524" s="10">
        <v>1522</v>
      </c>
      <c r="B1524" s="12">
        <f>'2_Discount_Factors'!B1525</f>
        <v>4.16986301369863</v>
      </c>
      <c r="C1524" s="12">
        <f>EXP(-r_free*(('2_Discount_Factors'!B1524+'2_Discount_Factors'!B1525)/2))</f>
        <v>0.882448547914731</v>
      </c>
      <c r="D1524" s="12">
        <f>'3_Survival_Probs'!D1524</f>
        <v>0.908216861111406</v>
      </c>
      <c r="E1524" s="12">
        <f>'3_Survival_Probs'!D1525</f>
        <v>0.908140794833385</v>
      </c>
      <c r="F1524" s="14">
        <f t="shared" si="56"/>
        <v>7.60662780215915e-5</v>
      </c>
      <c r="G1524" s="32">
        <f>(1-recovery)*notional*C1524*F1524</f>
        <v>402.74745951259</v>
      </c>
      <c r="H1524" s="14">
        <f t="shared" si="55"/>
        <v>1.14019828720459e-5</v>
      </c>
      <c r="I1524" s="33"/>
    </row>
    <row r="1525" spans="1:9">
      <c r="A1525" s="4">
        <v>1523</v>
      </c>
      <c r="B1525" s="6">
        <f>'2_Discount_Factors'!B1526</f>
        <v>4.17260273972603</v>
      </c>
      <c r="C1525" s="6">
        <f>EXP(-r_free*(('2_Discount_Factors'!B1525+'2_Discount_Factors'!B1526)/2))</f>
        <v>0.882376020877698</v>
      </c>
      <c r="D1525" s="6">
        <f>'3_Survival_Probs'!D1525</f>
        <v>0.908140794833385</v>
      </c>
      <c r="E1525" s="6">
        <f>'3_Survival_Probs'!D1526</f>
        <v>0.908064734926175</v>
      </c>
      <c r="F1525" s="8">
        <f t="shared" si="56"/>
        <v>7.60599072098245e-5</v>
      </c>
      <c r="G1525" s="29">
        <f>(1-recovery)*notional*C1525*F1525</f>
        <v>402.680629632791</v>
      </c>
      <c r="H1525" s="8">
        <f t="shared" si="55"/>
        <v>1.15839633182036e-5</v>
      </c>
      <c r="I1525" s="30"/>
    </row>
    <row r="1526" spans="1:9">
      <c r="A1526" s="10">
        <v>1524</v>
      </c>
      <c r="B1526" s="12">
        <f>'2_Discount_Factors'!B1527</f>
        <v>4.17534246575342</v>
      </c>
      <c r="C1526" s="12">
        <f>EXP(-r_free*(('2_Discount_Factors'!B1526+'2_Discount_Factors'!B1527)/2))</f>
        <v>0.882303499801547</v>
      </c>
      <c r="D1526" s="12">
        <f>'3_Survival_Probs'!D1526</f>
        <v>0.908064734926175</v>
      </c>
      <c r="E1526" s="12">
        <f>'3_Survival_Probs'!D1527</f>
        <v>0.907988681389243</v>
      </c>
      <c r="F1526" s="14">
        <f t="shared" si="56"/>
        <v>7.60535369316306e-5</v>
      </c>
      <c r="G1526" s="32">
        <f>(1-recovery)*notional*C1526*F1526</f>
        <v>402.613810842383</v>
      </c>
      <c r="H1526" s="14">
        <f t="shared" si="55"/>
        <v>1.17658830565811e-5</v>
      </c>
      <c r="I1526" s="33"/>
    </row>
    <row r="1527" spans="1:9">
      <c r="A1527" s="4">
        <v>1525</v>
      </c>
      <c r="B1527" s="6">
        <f>'2_Discount_Factors'!B1528</f>
        <v>4.17808219178082</v>
      </c>
      <c r="C1527" s="6">
        <f>EXP(-r_free*(('2_Discount_Factors'!B1527+'2_Discount_Factors'!B1528)/2))</f>
        <v>0.882230984685786</v>
      </c>
      <c r="D1527" s="6">
        <f>'3_Survival_Probs'!D1527</f>
        <v>0.907988681389243</v>
      </c>
      <c r="E1527" s="6">
        <f>'3_Survival_Probs'!D1528</f>
        <v>0.907912634222056</v>
      </c>
      <c r="F1527" s="8">
        <f t="shared" si="56"/>
        <v>7.604716718701e-5</v>
      </c>
      <c r="G1527" s="29">
        <f>(1-recovery)*notional*C1527*F1527</f>
        <v>402.547003139763</v>
      </c>
      <c r="H1527" s="8">
        <f t="shared" ref="H1527:H1553" si="57">C1527*(B1527-4)*F1527</f>
        <v>1.19477421023217e-5</v>
      </c>
      <c r="I1527" s="30"/>
    </row>
    <row r="1528" spans="1:9">
      <c r="A1528" s="10">
        <v>1526</v>
      </c>
      <c r="B1528" s="12">
        <f>'2_Discount_Factors'!B1529</f>
        <v>4.18082191780822</v>
      </c>
      <c r="C1528" s="12">
        <f>EXP(-r_free*(('2_Discount_Factors'!B1528+'2_Discount_Factors'!B1529)/2))</f>
        <v>0.882158475529928</v>
      </c>
      <c r="D1528" s="12">
        <f>'3_Survival_Probs'!D1528</f>
        <v>0.907912634222056</v>
      </c>
      <c r="E1528" s="12">
        <f>'3_Survival_Probs'!D1529</f>
        <v>0.90783659342408</v>
      </c>
      <c r="F1528" s="14">
        <f t="shared" si="56"/>
        <v>7.60407979758515e-5</v>
      </c>
      <c r="G1528" s="32">
        <f>(1-recovery)*notional*C1528*F1528</f>
        <v>402.480206522738</v>
      </c>
      <c r="H1528" s="14">
        <f t="shared" si="57"/>
        <v>1.21295404705483e-5</v>
      </c>
      <c r="I1528" s="33"/>
    </row>
    <row r="1529" spans="1:9">
      <c r="A1529" s="4">
        <v>1527</v>
      </c>
      <c r="B1529" s="6">
        <f>'2_Discount_Factors'!B1530</f>
        <v>4.18356164383562</v>
      </c>
      <c r="C1529" s="6">
        <f>EXP(-r_free*(('2_Discount_Factors'!B1529+'2_Discount_Factors'!B1530)/2))</f>
        <v>0.882085972333481</v>
      </c>
      <c r="D1529" s="6">
        <f>'3_Survival_Probs'!D1529</f>
        <v>0.90783659342408</v>
      </c>
      <c r="E1529" s="6">
        <f>'3_Survival_Probs'!D1530</f>
        <v>0.907760558994782</v>
      </c>
      <c r="F1529" s="8">
        <f t="shared" si="56"/>
        <v>7.60344292981552e-5</v>
      </c>
      <c r="G1529" s="29">
        <f>(1-recovery)*notional*C1529*F1529</f>
        <v>402.413420989707</v>
      </c>
      <c r="H1529" s="8">
        <f t="shared" si="57"/>
        <v>1.23112781763974e-5</v>
      </c>
      <c r="I1529" s="30"/>
    </row>
    <row r="1530" spans="1:9">
      <c r="A1530" s="10">
        <v>1528</v>
      </c>
      <c r="B1530" s="12">
        <f>'2_Discount_Factors'!B1531</f>
        <v>4.18630136986301</v>
      </c>
      <c r="C1530" s="12">
        <f>EXP(-r_free*(('2_Discount_Factors'!B1530+'2_Discount_Factors'!B1531)/2))</f>
        <v>0.882013475095957</v>
      </c>
      <c r="D1530" s="12">
        <f>'3_Survival_Probs'!D1530</f>
        <v>0.907760558994782</v>
      </c>
      <c r="E1530" s="12">
        <f>'3_Survival_Probs'!D1531</f>
        <v>0.907684530933628</v>
      </c>
      <c r="F1530" s="14">
        <f t="shared" si="56"/>
        <v>7.602806115381e-5</v>
      </c>
      <c r="G1530" s="32">
        <f>(1-recovery)*notional*C1530*F1530</f>
        <v>402.346646538479</v>
      </c>
      <c r="H1530" s="14">
        <f t="shared" si="57"/>
        <v>1.24929552349847e-5</v>
      </c>
      <c r="I1530" s="33"/>
    </row>
    <row r="1531" spans="1:9">
      <c r="A1531" s="4">
        <v>1529</v>
      </c>
      <c r="B1531" s="6">
        <f>'2_Discount_Factors'!B1532</f>
        <v>4.18904109589041</v>
      </c>
      <c r="C1531" s="6">
        <f>EXP(-r_free*(('2_Discount_Factors'!B1531+'2_Discount_Factors'!B1532)/2))</f>
        <v>0.881940983816864</v>
      </c>
      <c r="D1531" s="6">
        <f>'3_Survival_Probs'!D1531</f>
        <v>0.907684530933628</v>
      </c>
      <c r="E1531" s="6">
        <f>'3_Survival_Probs'!D1532</f>
        <v>0.907608509240085</v>
      </c>
      <c r="F1531" s="8">
        <f t="shared" si="56"/>
        <v>7.6021693542816e-5</v>
      </c>
      <c r="G1531" s="29">
        <f>(1-recovery)*notional*C1531*F1531</f>
        <v>402.279883167451</v>
      </c>
      <c r="H1531" s="8">
        <f t="shared" si="57"/>
        <v>1.26745716614402e-5</v>
      </c>
      <c r="I1531" s="30"/>
    </row>
    <row r="1532" spans="1:9">
      <c r="A1532" s="10">
        <v>1530</v>
      </c>
      <c r="B1532" s="12">
        <f>'2_Discount_Factors'!B1533</f>
        <v>4.19178082191781</v>
      </c>
      <c r="C1532" s="12">
        <f>EXP(-r_free*(('2_Discount_Factors'!B1532+'2_Discount_Factors'!B1533)/2))</f>
        <v>0.881868498495714</v>
      </c>
      <c r="D1532" s="12">
        <f>'3_Survival_Probs'!D1532</f>
        <v>0.907608509240085</v>
      </c>
      <c r="E1532" s="12">
        <f>'3_Survival_Probs'!D1533</f>
        <v>0.90753249391362</v>
      </c>
      <c r="F1532" s="14">
        <f t="shared" si="56"/>
        <v>7.60153264651731e-5</v>
      </c>
      <c r="G1532" s="32">
        <f>(1-recovery)*notional*C1532*F1532</f>
        <v>402.213130875022</v>
      </c>
      <c r="H1532" s="14">
        <f t="shared" si="57"/>
        <v>1.28561274708911e-5</v>
      </c>
      <c r="I1532" s="33"/>
    </row>
    <row r="1533" spans="1:9">
      <c r="A1533" s="4">
        <v>1531</v>
      </c>
      <c r="B1533" s="6">
        <f>'2_Discount_Factors'!B1534</f>
        <v>4.19452054794521</v>
      </c>
      <c r="C1533" s="6">
        <f>EXP(-r_free*(('2_Discount_Factors'!B1533+'2_Discount_Factors'!B1534)/2))</f>
        <v>0.881796019132017</v>
      </c>
      <c r="D1533" s="6">
        <f>'3_Survival_Probs'!D1533</f>
        <v>0.90753249391362</v>
      </c>
      <c r="E1533" s="6">
        <f>'3_Survival_Probs'!D1534</f>
        <v>0.907456484953699</v>
      </c>
      <c r="F1533" s="8">
        <f t="shared" si="56"/>
        <v>7.60089599207703e-5</v>
      </c>
      <c r="G1533" s="29">
        <f>(1-recovery)*notional*C1533*F1533</f>
        <v>402.146389659001</v>
      </c>
      <c r="H1533" s="8">
        <f t="shared" si="57"/>
        <v>1.30376226784425e-5</v>
      </c>
      <c r="I1533" s="30"/>
    </row>
    <row r="1534" spans="1:9">
      <c r="A1534" s="10">
        <v>1532</v>
      </c>
      <c r="B1534" s="12">
        <f>'2_Discount_Factors'!B1535</f>
        <v>4.1972602739726</v>
      </c>
      <c r="C1534" s="12">
        <f>EXP(-r_free*(('2_Discount_Factors'!B1534+'2_Discount_Factors'!B1535)/2))</f>
        <v>0.881723545725282</v>
      </c>
      <c r="D1534" s="12">
        <f>'3_Survival_Probs'!D1534</f>
        <v>0.907456484953699</v>
      </c>
      <c r="E1534" s="12">
        <f>'3_Survival_Probs'!D1535</f>
        <v>0.90738048235979</v>
      </c>
      <c r="F1534" s="14">
        <f t="shared" si="56"/>
        <v>7.60025939096076e-5</v>
      </c>
      <c r="G1534" s="32">
        <f>(1-recovery)*notional*C1534*F1534</f>
        <v>402.079659517788</v>
      </c>
      <c r="H1534" s="14">
        <f t="shared" si="57"/>
        <v>1.32190572992149e-5</v>
      </c>
      <c r="I1534" s="33"/>
    </row>
    <row r="1535" spans="1:9">
      <c r="A1535" s="4">
        <v>1533</v>
      </c>
      <c r="B1535" s="6">
        <f>'2_Discount_Factors'!B1536</f>
        <v>4.2</v>
      </c>
      <c r="C1535" s="6">
        <f>EXP(-r_free*(('2_Discount_Factors'!B1535+'2_Discount_Factors'!B1536)/2))</f>
        <v>0.881651078275022</v>
      </c>
      <c r="D1535" s="6">
        <f>'3_Survival_Probs'!D1535</f>
        <v>0.90738048235979</v>
      </c>
      <c r="E1535" s="6">
        <f>'3_Survival_Probs'!D1536</f>
        <v>0.907304486131358</v>
      </c>
      <c r="F1535" s="8">
        <f t="shared" si="56"/>
        <v>7.59962284316851e-5</v>
      </c>
      <c r="G1535" s="29">
        <f>(1-recovery)*notional*C1535*F1535</f>
        <v>402.01294044978</v>
      </c>
      <c r="H1535" s="8">
        <f t="shared" si="57"/>
        <v>1.3400431348326e-5</v>
      </c>
      <c r="I1535" s="30"/>
    </row>
    <row r="1536" spans="1:9">
      <c r="A1536" s="10">
        <v>1534</v>
      </c>
      <c r="B1536" s="12">
        <f>'2_Discount_Factors'!B1537</f>
        <v>4.2027397260274</v>
      </c>
      <c r="C1536" s="12">
        <f>EXP(-r_free*(('2_Discount_Factors'!B1536+'2_Discount_Factors'!B1537)/2))</f>
        <v>0.881578616780745</v>
      </c>
      <c r="D1536" s="12">
        <f>'3_Survival_Probs'!D1536</f>
        <v>0.907304486131358</v>
      </c>
      <c r="E1536" s="12">
        <f>'3_Survival_Probs'!D1537</f>
        <v>0.907228496267871</v>
      </c>
      <c r="F1536" s="14">
        <f t="shared" si="56"/>
        <v>7.59898634867806e-5</v>
      </c>
      <c r="G1536" s="32">
        <f>(1-recovery)*notional*C1536*F1536</f>
        <v>401.946232452202</v>
      </c>
      <c r="H1536" s="14">
        <f t="shared" si="57"/>
        <v>1.35817448408507e-5</v>
      </c>
      <c r="I1536" s="33"/>
    </row>
    <row r="1537" spans="1:9">
      <c r="A1537" s="4">
        <v>1535</v>
      </c>
      <c r="B1537" s="6">
        <f>'2_Discount_Factors'!B1538</f>
        <v>4.20547945205479</v>
      </c>
      <c r="C1537" s="6">
        <f>EXP(-r_free*(('2_Discount_Factors'!B1537+'2_Discount_Factors'!B1538)/2))</f>
        <v>0.881506161241963</v>
      </c>
      <c r="D1537" s="6">
        <f>'3_Survival_Probs'!D1537</f>
        <v>0.907228496267871</v>
      </c>
      <c r="E1537" s="6">
        <f>'3_Survival_Probs'!D1538</f>
        <v>0.907152512768796</v>
      </c>
      <c r="F1537" s="8">
        <f t="shared" si="56"/>
        <v>7.59834990750052e-5</v>
      </c>
      <c r="G1537" s="29">
        <f>(1-recovery)*notional*C1537*F1537</f>
        <v>401.879535524041</v>
      </c>
      <c r="H1537" s="8">
        <f t="shared" si="57"/>
        <v>1.37629977919192e-5</v>
      </c>
      <c r="I1537" s="30"/>
    </row>
    <row r="1538" spans="1:9">
      <c r="A1538" s="10">
        <v>1536</v>
      </c>
      <c r="B1538" s="12">
        <f>'2_Discount_Factors'!B1539</f>
        <v>4.20821917808219</v>
      </c>
      <c r="C1538" s="12">
        <f>EXP(-r_free*(('2_Discount_Factors'!B1538+'2_Discount_Factors'!B1539)/2))</f>
        <v>0.881433711658186</v>
      </c>
      <c r="D1538" s="12">
        <f>'3_Survival_Probs'!D1538</f>
        <v>0.907152512768796</v>
      </c>
      <c r="E1538" s="12">
        <f>'3_Survival_Probs'!D1539</f>
        <v>0.9070765356336</v>
      </c>
      <c r="F1538" s="14">
        <f t="shared" si="56"/>
        <v>7.59771351962479e-5</v>
      </c>
      <c r="G1538" s="32">
        <f>(1-recovery)*notional*C1538*F1538</f>
        <v>401.812849663108</v>
      </c>
      <c r="H1538" s="14">
        <f t="shared" si="57"/>
        <v>1.39441902166192e-5</v>
      </c>
      <c r="I1538" s="33"/>
    </row>
    <row r="1539" spans="1:9">
      <c r="A1539" s="4">
        <v>1537</v>
      </c>
      <c r="B1539" s="6">
        <f>'2_Discount_Factors'!B1540</f>
        <v>4.21095890410959</v>
      </c>
      <c r="C1539" s="6">
        <f>EXP(-r_free*(('2_Discount_Factors'!B1539+'2_Discount_Factors'!B1540)/2))</f>
        <v>0.881361268028925</v>
      </c>
      <c r="D1539" s="6">
        <f>'3_Survival_Probs'!D1539</f>
        <v>0.9070765356336</v>
      </c>
      <c r="E1539" s="6">
        <f>'3_Survival_Probs'!D1540</f>
        <v>0.90700056486175</v>
      </c>
      <c r="F1539" s="8">
        <f t="shared" ref="F1539:F1602" si="58">D1539-E1539</f>
        <v>7.59707718506197e-5</v>
      </c>
      <c r="G1539" s="29">
        <f>(1-recovery)*notional*C1539*F1539</f>
        <v>401.74617486839</v>
      </c>
      <c r="H1539" s="8">
        <f t="shared" si="57"/>
        <v>1.41253221300758e-5</v>
      </c>
      <c r="I1539" s="30"/>
    </row>
    <row r="1540" spans="1:9">
      <c r="A1540" s="10">
        <v>1538</v>
      </c>
      <c r="B1540" s="12">
        <f>'2_Discount_Factors'!B1541</f>
        <v>4.21369863013699</v>
      </c>
      <c r="C1540" s="12">
        <f>EXP(-r_free*(('2_Discount_Factors'!B1540+'2_Discount_Factors'!B1541)/2))</f>
        <v>0.881288830353689</v>
      </c>
      <c r="D1540" s="12">
        <f>'3_Survival_Probs'!D1540</f>
        <v>0.90700056486175</v>
      </c>
      <c r="E1540" s="12">
        <f>'3_Survival_Probs'!D1541</f>
        <v>0.906924600452712</v>
      </c>
      <c r="F1540" s="14">
        <f t="shared" si="58"/>
        <v>7.59644090377876e-5</v>
      </c>
      <c r="G1540" s="32">
        <f>(1-recovery)*notional*C1540*F1540</f>
        <v>401.679511136526</v>
      </c>
      <c r="H1540" s="14">
        <f t="shared" si="57"/>
        <v>1.43063935473283e-5</v>
      </c>
      <c r="I1540" s="33"/>
    </row>
    <row r="1541" spans="1:9">
      <c r="A1541" s="4">
        <v>1539</v>
      </c>
      <c r="B1541" s="6">
        <f>'2_Discount_Factors'!B1542</f>
        <v>4.21643835616438</v>
      </c>
      <c r="C1541" s="6">
        <f>EXP(-r_free*(('2_Discount_Factors'!B1541+'2_Discount_Factors'!B1542)/2))</f>
        <v>0.881216398631991</v>
      </c>
      <c r="D1541" s="6">
        <f>'3_Survival_Probs'!D1541</f>
        <v>0.906924600452712</v>
      </c>
      <c r="E1541" s="6">
        <f>'3_Survival_Probs'!D1542</f>
        <v>0.906848642405954</v>
      </c>
      <c r="F1541" s="8">
        <f t="shared" si="58"/>
        <v>7.59580467578624e-5</v>
      </c>
      <c r="G1541" s="29">
        <f>(1-recovery)*notional*C1541*F1541</f>
        <v>401.612858466504</v>
      </c>
      <c r="H1541" s="8">
        <f t="shared" si="57"/>
        <v>1.44874044834949e-5</v>
      </c>
      <c r="I1541" s="30"/>
    </row>
    <row r="1542" spans="1:9">
      <c r="A1542" s="10">
        <v>1540</v>
      </c>
      <c r="B1542" s="12">
        <f>'2_Discount_Factors'!B1543</f>
        <v>4.21917808219178</v>
      </c>
      <c r="C1542" s="12">
        <f>EXP(-r_free*(('2_Discount_Factors'!B1542+'2_Discount_Factors'!B1543)/2))</f>
        <v>0.88114397286334</v>
      </c>
      <c r="D1542" s="12">
        <f>'3_Survival_Probs'!D1542</f>
        <v>0.906848642405954</v>
      </c>
      <c r="E1542" s="12">
        <f>'3_Survival_Probs'!D1543</f>
        <v>0.906772690720943</v>
      </c>
      <c r="F1542" s="14">
        <f t="shared" si="58"/>
        <v>7.59516850108444e-5</v>
      </c>
      <c r="G1542" s="32">
        <f>(1-recovery)*notional*C1542*F1542</f>
        <v>401.546216856723</v>
      </c>
      <c r="H1542" s="14">
        <f t="shared" si="57"/>
        <v>1.46683549536702e-5</v>
      </c>
      <c r="I1542" s="33"/>
    </row>
    <row r="1543" spans="1:9">
      <c r="A1543" s="4">
        <v>1541</v>
      </c>
      <c r="B1543" s="6">
        <f>'2_Discount_Factors'!B1544</f>
        <v>4.22191780821918</v>
      </c>
      <c r="C1543" s="6">
        <f>EXP(-r_free*(('2_Discount_Factors'!B1543+'2_Discount_Factors'!B1544)/2))</f>
        <v>0.881071553047248</v>
      </c>
      <c r="D1543" s="6">
        <f>'3_Survival_Probs'!D1543</f>
        <v>0.906772690720943</v>
      </c>
      <c r="E1543" s="6">
        <f>'3_Survival_Probs'!D1544</f>
        <v>0.906696745397146</v>
      </c>
      <c r="F1543" s="8">
        <f t="shared" si="58"/>
        <v>7.59453237967334e-5</v>
      </c>
      <c r="G1543" s="29">
        <f>(1-recovery)*notional*C1543*F1543</f>
        <v>401.479586305584</v>
      </c>
      <c r="H1543" s="8">
        <f t="shared" si="57"/>
        <v>1.48492449729463e-5</v>
      </c>
      <c r="I1543" s="30"/>
    </row>
    <row r="1544" spans="1:9">
      <c r="A1544" s="10">
        <v>1542</v>
      </c>
      <c r="B1544" s="12">
        <f>'2_Discount_Factors'!B1545</f>
        <v>4.22465753424658</v>
      </c>
      <c r="C1544" s="12">
        <f>EXP(-r_free*(('2_Discount_Factors'!B1544+'2_Discount_Factors'!B1545)/2))</f>
        <v>0.880999139183224</v>
      </c>
      <c r="D1544" s="12">
        <f>'3_Survival_Probs'!D1544</f>
        <v>0.906696745397146</v>
      </c>
      <c r="E1544" s="12">
        <f>'3_Survival_Probs'!D1545</f>
        <v>0.906620806434031</v>
      </c>
      <c r="F1544" s="14">
        <f t="shared" si="58"/>
        <v>7.59389631153073e-5</v>
      </c>
      <c r="G1544" s="32">
        <f>(1-recovery)*notional*C1544*F1544</f>
        <v>401.412966810314</v>
      </c>
      <c r="H1544" s="14">
        <f t="shared" si="57"/>
        <v>1.50300745563679e-5</v>
      </c>
      <c r="I1544" s="33"/>
    </row>
    <row r="1545" spans="1:9">
      <c r="A1545" s="4">
        <v>1543</v>
      </c>
      <c r="B1545" s="6">
        <f>'2_Discount_Factors'!B1546</f>
        <v>4.22739726027397</v>
      </c>
      <c r="C1545" s="6">
        <f>EXP(-r_free*(('2_Discount_Factors'!B1545+'2_Discount_Factors'!B1546)/2))</f>
        <v>0.880926731270781</v>
      </c>
      <c r="D1545" s="6">
        <f>'3_Survival_Probs'!D1545</f>
        <v>0.906620806434031</v>
      </c>
      <c r="E1545" s="6">
        <f>'3_Survival_Probs'!D1546</f>
        <v>0.906544873831064</v>
      </c>
      <c r="F1545" s="8">
        <f t="shared" si="58"/>
        <v>7.59326029665663e-5</v>
      </c>
      <c r="G1545" s="29">
        <f>(1-recovery)*notional*C1545*F1545</f>
        <v>401.346358369316</v>
      </c>
      <c r="H1545" s="8">
        <f t="shared" si="57"/>
        <v>1.52108437190197e-5</v>
      </c>
      <c r="I1545" s="30"/>
    </row>
    <row r="1546" spans="1:9">
      <c r="A1546" s="10">
        <v>1544</v>
      </c>
      <c r="B1546" s="12">
        <f>'2_Discount_Factors'!B1547</f>
        <v>4.23013698630137</v>
      </c>
      <c r="C1546" s="12">
        <f>EXP(-r_free*(('2_Discount_Factors'!B1546+'2_Discount_Factors'!B1547)/2))</f>
        <v>0.880854329309428</v>
      </c>
      <c r="D1546" s="12">
        <f>'3_Survival_Probs'!D1546</f>
        <v>0.906544873831064</v>
      </c>
      <c r="E1546" s="12">
        <f>'3_Survival_Probs'!D1547</f>
        <v>0.906468947587714</v>
      </c>
      <c r="F1546" s="14">
        <f t="shared" si="58"/>
        <v>7.59262433506214e-5</v>
      </c>
      <c r="G1546" s="32">
        <f>(1-recovery)*notional*C1546*F1546</f>
        <v>401.279760981576</v>
      </c>
      <c r="H1546" s="14">
        <f t="shared" si="57"/>
        <v>1.53915524760057e-5</v>
      </c>
      <c r="I1546" s="33"/>
    </row>
    <row r="1547" spans="1:9">
      <c r="A1547" s="4">
        <v>1545</v>
      </c>
      <c r="B1547" s="6">
        <f>'2_Discount_Factors'!B1548</f>
        <v>4.23287671232877</v>
      </c>
      <c r="C1547" s="6">
        <f>EXP(-r_free*(('2_Discount_Factors'!B1547+'2_Discount_Factors'!B1548)/2))</f>
        <v>0.880781933298676</v>
      </c>
      <c r="D1547" s="6">
        <f>'3_Survival_Probs'!D1547</f>
        <v>0.906468947587714</v>
      </c>
      <c r="E1547" s="6">
        <f>'3_Survival_Probs'!D1548</f>
        <v>0.906393027703447</v>
      </c>
      <c r="F1547" s="8">
        <f t="shared" si="58"/>
        <v>7.59198842672504e-5</v>
      </c>
      <c r="G1547" s="29">
        <f>(1-recovery)*notional*C1547*F1547</f>
        <v>401.213174644323</v>
      </c>
      <c r="H1547" s="8">
        <f t="shared" si="57"/>
        <v>1.55722008423596e-5</v>
      </c>
      <c r="I1547" s="30"/>
    </row>
    <row r="1548" spans="1:9">
      <c r="A1548" s="10">
        <v>1546</v>
      </c>
      <c r="B1548" s="12">
        <f>'2_Discount_Factors'!B1549</f>
        <v>4.23561643835616</v>
      </c>
      <c r="C1548" s="12">
        <f>EXP(-r_free*(('2_Discount_Factors'!B1548+'2_Discount_Factors'!B1549)/2))</f>
        <v>0.880709543238037</v>
      </c>
      <c r="D1548" s="12">
        <f>'3_Survival_Probs'!D1548</f>
        <v>0.906393027703447</v>
      </c>
      <c r="E1548" s="12">
        <f>'3_Survival_Probs'!D1549</f>
        <v>0.90631711417773</v>
      </c>
      <c r="F1548" s="14">
        <f t="shared" si="58"/>
        <v>7.59135257164534e-5</v>
      </c>
      <c r="G1548" s="32">
        <f>(1-recovery)*notional*C1548*F1548</f>
        <v>401.14659935596</v>
      </c>
      <c r="H1548" s="14">
        <f t="shared" si="57"/>
        <v>1.57527888331564e-5</v>
      </c>
      <c r="I1548" s="33"/>
    </row>
    <row r="1549" spans="1:9">
      <c r="A1549" s="4">
        <v>1547</v>
      </c>
      <c r="B1549" s="6">
        <f>'2_Discount_Factors'!B1550</f>
        <v>4.23835616438356</v>
      </c>
      <c r="C1549" s="6">
        <f>EXP(-r_free*(('2_Discount_Factors'!B1549+'2_Discount_Factors'!B1550)/2))</f>
        <v>0.880637159127022</v>
      </c>
      <c r="D1549" s="6">
        <f>'3_Survival_Probs'!D1549</f>
        <v>0.90631711417773</v>
      </c>
      <c r="E1549" s="6">
        <f>'3_Survival_Probs'!D1550</f>
        <v>0.906241207010032</v>
      </c>
      <c r="F1549" s="8">
        <f t="shared" si="58"/>
        <v>7.59071676982304e-5</v>
      </c>
      <c r="G1549" s="29">
        <f>(1-recovery)*notional*C1549*F1549</f>
        <v>401.080035114888</v>
      </c>
      <c r="H1549" s="8">
        <f t="shared" si="57"/>
        <v>1.59333164634682e-5</v>
      </c>
      <c r="I1549" s="30"/>
    </row>
    <row r="1550" spans="1:9">
      <c r="A1550" s="10">
        <v>1548</v>
      </c>
      <c r="B1550" s="12">
        <f>'2_Discount_Factors'!B1551</f>
        <v>4.24109589041096</v>
      </c>
      <c r="C1550" s="12">
        <f>EXP(-r_free*(('2_Discount_Factors'!B1550+'2_Discount_Factors'!B1551)/2))</f>
        <v>0.880564780965141</v>
      </c>
      <c r="D1550" s="12">
        <f>'3_Survival_Probs'!D1550</f>
        <v>0.906241207010032</v>
      </c>
      <c r="E1550" s="12">
        <f>'3_Survival_Probs'!D1551</f>
        <v>0.906165306199819</v>
      </c>
      <c r="F1550" s="14">
        <f t="shared" si="58"/>
        <v>7.59008102124703e-5</v>
      </c>
      <c r="G1550" s="32">
        <f>(1-recovery)*notional*C1550*F1550</f>
        <v>401.013481918924</v>
      </c>
      <c r="H1550" s="14">
        <f t="shared" si="57"/>
        <v>1.61137837483403e-5</v>
      </c>
      <c r="I1550" s="33"/>
    </row>
    <row r="1551" spans="1:9">
      <c r="A1551" s="4">
        <v>1549</v>
      </c>
      <c r="B1551" s="6">
        <f>'2_Discount_Factors'!B1552</f>
        <v>4.24383561643836</v>
      </c>
      <c r="C1551" s="6">
        <f>EXP(-r_free*(('2_Discount_Factors'!B1551+'2_Discount_Factors'!B1552)/2))</f>
        <v>0.880492408751906</v>
      </c>
      <c r="D1551" s="6">
        <f>'3_Survival_Probs'!D1551</f>
        <v>0.906165306199819</v>
      </c>
      <c r="E1551" s="6">
        <f>'3_Survival_Probs'!D1552</f>
        <v>0.90608941174656</v>
      </c>
      <c r="F1551" s="8">
        <f t="shared" si="58"/>
        <v>7.58944532592842e-5</v>
      </c>
      <c r="G1551" s="29">
        <f>(1-recovery)*notional*C1551*F1551</f>
        <v>400.946939767057</v>
      </c>
      <c r="H1551" s="8">
        <f t="shared" si="57"/>
        <v>1.62941907028621e-5</v>
      </c>
      <c r="I1551" s="30"/>
    </row>
    <row r="1552" spans="1:9">
      <c r="A1552" s="10">
        <v>1550</v>
      </c>
      <c r="B1552" s="12">
        <f>'2_Discount_Factors'!B1553</f>
        <v>4.24657534246575</v>
      </c>
      <c r="C1552" s="12">
        <f>EXP(-r_free*(('2_Discount_Factors'!B1552+'2_Discount_Factors'!B1553)/2))</f>
        <v>0.880420042486827</v>
      </c>
      <c r="D1552" s="12">
        <f>'3_Survival_Probs'!D1552</f>
        <v>0.90608941174656</v>
      </c>
      <c r="E1552" s="12">
        <f>'3_Survival_Probs'!D1553</f>
        <v>0.906013523649722</v>
      </c>
      <c r="F1552" s="14">
        <f t="shared" si="58"/>
        <v>7.58880968384501e-5</v>
      </c>
      <c r="G1552" s="32">
        <f>(1-recovery)*notional*C1552*F1552</f>
        <v>400.880408656516</v>
      </c>
      <c r="H1552" s="14">
        <f t="shared" si="57"/>
        <v>1.64745373420486e-5</v>
      </c>
      <c r="I1552" s="33"/>
    </row>
    <row r="1553" spans="1:9">
      <c r="A1553" s="34">
        <v>1551</v>
      </c>
      <c r="B1553" s="35">
        <f>'2_Discount_Factors'!B1554</f>
        <v>4.24931506849315</v>
      </c>
      <c r="C1553" s="35">
        <f>EXP(-r_free*(('2_Discount_Factors'!B1553+'2_Discount_Factors'!B1554)/2))</f>
        <v>0.880347682169416</v>
      </c>
      <c r="D1553" s="35">
        <f>'3_Survival_Probs'!D1553</f>
        <v>0.906013523649722</v>
      </c>
      <c r="E1553" s="35">
        <f>'3_Survival_Probs'!D1554</f>
        <v>0.905937641908772</v>
      </c>
      <c r="F1553" s="36">
        <f t="shared" si="58"/>
        <v>7.58817409499679e-5</v>
      </c>
      <c r="G1553" s="37">
        <f>(1-recovery)*notional*C1553*F1553</f>
        <v>400.813888585706</v>
      </c>
      <c r="H1553" s="36">
        <f t="shared" si="57"/>
        <v>1.66548236809586e-5</v>
      </c>
      <c r="I1553" s="38" t="s">
        <v>71</v>
      </c>
    </row>
    <row r="1554" spans="1:9">
      <c r="A1554" s="10">
        <v>1552</v>
      </c>
      <c r="B1554" s="12">
        <f>'2_Discount_Factors'!B1555</f>
        <v>4.25205479452055</v>
      </c>
      <c r="C1554" s="12">
        <f>EXP(-r_free*(('2_Discount_Factors'!B1554+'2_Discount_Factors'!B1555)/2))</f>
        <v>0.880275327799184</v>
      </c>
      <c r="D1554" s="12">
        <f>'3_Survival_Probs'!D1554</f>
        <v>0.905937641908772</v>
      </c>
      <c r="E1554" s="12">
        <f>'3_Survival_Probs'!D1555</f>
        <v>0.905861766523178</v>
      </c>
      <c r="F1554" s="14">
        <f t="shared" si="58"/>
        <v>7.58753855938377e-5</v>
      </c>
      <c r="G1554" s="32">
        <f>(1-recovery)*notional*C1554*F1554</f>
        <v>400.74737955303</v>
      </c>
      <c r="H1554" s="14">
        <f t="shared" ref="H1554:H1617" si="59">C1554*(B1554-4.24931506849315)*F1554</f>
        <v>1.82989671028847e-7</v>
      </c>
      <c r="I1554" s="33"/>
    </row>
    <row r="1555" spans="1:9">
      <c r="A1555" s="4">
        <v>1553</v>
      </c>
      <c r="B1555" s="6">
        <f>'2_Discount_Factors'!B1556</f>
        <v>4.25479452054795</v>
      </c>
      <c r="C1555" s="6">
        <f>EXP(-r_free*(('2_Discount_Factors'!B1555+'2_Discount_Factors'!B1556)/2))</f>
        <v>0.880202979375643</v>
      </c>
      <c r="D1555" s="6">
        <f>'3_Survival_Probs'!D1555</f>
        <v>0.905861766523178</v>
      </c>
      <c r="E1555" s="6">
        <f>'3_Survival_Probs'!D1556</f>
        <v>0.905785897492408</v>
      </c>
      <c r="F1555" s="8">
        <f t="shared" si="58"/>
        <v>7.58690307699483e-5</v>
      </c>
      <c r="G1555" s="29">
        <f>(1-recovery)*notional*C1555*F1555</f>
        <v>400.680881556305</v>
      </c>
      <c r="H1555" s="8">
        <f t="shared" si="59"/>
        <v>3.65918613293502e-7</v>
      </c>
      <c r="I1555" s="30"/>
    </row>
    <row r="1556" spans="1:9">
      <c r="A1556" s="10">
        <v>1554</v>
      </c>
      <c r="B1556" s="12">
        <f>'2_Discount_Factors'!B1557</f>
        <v>4.25753424657534</v>
      </c>
      <c r="C1556" s="12">
        <f>EXP(-r_free*(('2_Discount_Factors'!B1556+'2_Discount_Factors'!B1557)/2))</f>
        <v>0.880130636898302</v>
      </c>
      <c r="D1556" s="12">
        <f>'3_Survival_Probs'!D1556</f>
        <v>0.905785897492408</v>
      </c>
      <c r="E1556" s="12">
        <f>'3_Survival_Probs'!D1557</f>
        <v>0.90571003481593</v>
      </c>
      <c r="F1556" s="14">
        <f t="shared" si="58"/>
        <v>7.58626764782999e-5</v>
      </c>
      <c r="G1556" s="32">
        <f>(1-recovery)*notional*C1556*F1556</f>
        <v>400.614394593936</v>
      </c>
      <c r="H1556" s="14">
        <f t="shared" si="59"/>
        <v>5.48786841909521e-7</v>
      </c>
      <c r="I1556" s="33"/>
    </row>
    <row r="1557" spans="1:9">
      <c r="A1557" s="4">
        <v>1555</v>
      </c>
      <c r="B1557" s="6">
        <f>'2_Discount_Factors'!B1558</f>
        <v>4.26027397260274</v>
      </c>
      <c r="C1557" s="6">
        <f>EXP(-r_free*(('2_Discount_Factors'!B1557+'2_Discount_Factors'!B1558)/2))</f>
        <v>0.880058300366675</v>
      </c>
      <c r="D1557" s="6">
        <f>'3_Survival_Probs'!D1557</f>
        <v>0.90571003481593</v>
      </c>
      <c r="E1557" s="6">
        <f>'3_Survival_Probs'!D1558</f>
        <v>0.905634178493211</v>
      </c>
      <c r="F1557" s="8">
        <f t="shared" si="58"/>
        <v>7.58563227188924e-5</v>
      </c>
      <c r="G1557" s="29">
        <f>(1-recovery)*notional*C1557*F1557</f>
        <v>400.547918664327</v>
      </c>
      <c r="H1557" s="8">
        <f t="shared" si="59"/>
        <v>7.31594371989664e-7</v>
      </c>
      <c r="I1557" s="30"/>
    </row>
    <row r="1558" spans="1:9">
      <c r="A1558" s="10">
        <v>1556</v>
      </c>
      <c r="B1558" s="12">
        <f>'2_Discount_Factors'!B1559</f>
        <v>4.26301369863014</v>
      </c>
      <c r="C1558" s="12">
        <f>EXP(-r_free*(('2_Discount_Factors'!B1558+'2_Discount_Factors'!B1559)/2))</f>
        <v>0.879985969780271</v>
      </c>
      <c r="D1558" s="12">
        <f>'3_Survival_Probs'!D1558</f>
        <v>0.905634178493211</v>
      </c>
      <c r="E1558" s="12">
        <f>'3_Survival_Probs'!D1559</f>
        <v>0.905558328523719</v>
      </c>
      <c r="F1558" s="14">
        <f t="shared" si="58"/>
        <v>7.58499694916148e-5</v>
      </c>
      <c r="G1558" s="32">
        <f>(1-recovery)*notional*C1558*F1558</f>
        <v>400.481453765296</v>
      </c>
      <c r="H1558" s="14">
        <f t="shared" si="59"/>
        <v>9.14341218642261e-7</v>
      </c>
      <c r="I1558" s="33"/>
    </row>
    <row r="1559" spans="1:9">
      <c r="A1559" s="4">
        <v>1557</v>
      </c>
      <c r="B1559" s="6">
        <f>'2_Discount_Factors'!B1560</f>
        <v>4.26575342465753</v>
      </c>
      <c r="C1559" s="6">
        <f>EXP(-r_free*(('2_Discount_Factors'!B1559+'2_Discount_Factors'!B1560)/2))</f>
        <v>0.879913645138603</v>
      </c>
      <c r="D1559" s="6">
        <f>'3_Survival_Probs'!D1559</f>
        <v>0.905558328523719</v>
      </c>
      <c r="E1559" s="6">
        <f>'3_Survival_Probs'!D1560</f>
        <v>0.905482484906923</v>
      </c>
      <c r="F1559" s="8">
        <f t="shared" si="58"/>
        <v>7.58436167964671e-5</v>
      </c>
      <c r="G1559" s="29">
        <f>(1-recovery)*notional*C1559*F1559</f>
        <v>400.414999895248</v>
      </c>
      <c r="H1559" s="8">
        <f t="shared" si="59"/>
        <v>1.09702739697332e-6</v>
      </c>
      <c r="I1559" s="30"/>
    </row>
    <row r="1560" spans="1:9">
      <c r="A1560" s="10">
        <v>1558</v>
      </c>
      <c r="B1560" s="12">
        <f>'2_Discount_Factors'!B1561</f>
        <v>4.26849315068493</v>
      </c>
      <c r="C1560" s="12">
        <f>EXP(-r_free*(('2_Discount_Factors'!B1560+'2_Discount_Factors'!B1561)/2))</f>
        <v>0.879841326441181</v>
      </c>
      <c r="D1560" s="12">
        <f>'3_Survival_Probs'!D1560</f>
        <v>0.905482484906923</v>
      </c>
      <c r="E1560" s="12">
        <f>'3_Survival_Probs'!D1561</f>
        <v>0.905406647642289</v>
      </c>
      <c r="F1560" s="14">
        <f t="shared" si="58"/>
        <v>7.58372646333383e-5</v>
      </c>
      <c r="G1560" s="32">
        <f>(1-recovery)*notional*C1560*F1560</f>
        <v>400.348557052003</v>
      </c>
      <c r="H1560" s="14">
        <f t="shared" si="59"/>
        <v>1.27965292208408e-6</v>
      </c>
      <c r="I1560" s="33"/>
    </row>
    <row r="1561" spans="1:9">
      <c r="A1561" s="4">
        <v>1559</v>
      </c>
      <c r="B1561" s="6">
        <f>'2_Discount_Factors'!B1562</f>
        <v>4.27123287671233</v>
      </c>
      <c r="C1561" s="6">
        <f>EXP(-r_free*(('2_Discount_Factors'!B1561+'2_Discount_Factors'!B1562)/2))</f>
        <v>0.879769013687518</v>
      </c>
      <c r="D1561" s="6">
        <f>'3_Survival_Probs'!D1561</f>
        <v>0.905406647642289</v>
      </c>
      <c r="E1561" s="6">
        <f>'3_Survival_Probs'!D1562</f>
        <v>0.905330816729287</v>
      </c>
      <c r="F1561" s="8">
        <f t="shared" si="58"/>
        <v>7.58309130022283e-5</v>
      </c>
      <c r="G1561" s="29">
        <f>(1-recovery)*notional*C1561*F1561</f>
        <v>400.282125233966</v>
      </c>
      <c r="H1561" s="8">
        <f t="shared" si="59"/>
        <v>1.4622178090739e-6</v>
      </c>
      <c r="I1561" s="30"/>
    </row>
    <row r="1562" spans="1:9">
      <c r="A1562" s="10">
        <v>1560</v>
      </c>
      <c r="B1562" s="12">
        <f>'2_Discount_Factors'!B1563</f>
        <v>4.27397260273973</v>
      </c>
      <c r="C1562" s="12">
        <f>EXP(-r_free*(('2_Discount_Factors'!B1562+'2_Discount_Factors'!B1563)/2))</f>
        <v>0.879696706877124</v>
      </c>
      <c r="D1562" s="12">
        <f>'3_Survival_Probs'!D1562</f>
        <v>0.905330816729287</v>
      </c>
      <c r="E1562" s="12">
        <f>'3_Survival_Probs'!D1563</f>
        <v>0.905254992167384</v>
      </c>
      <c r="F1562" s="14">
        <f t="shared" si="58"/>
        <v>7.58245619031372e-5</v>
      </c>
      <c r="G1562" s="32">
        <f>(1-recovery)*notional*C1562*F1562</f>
        <v>400.215704439543</v>
      </c>
      <c r="H1562" s="14">
        <f t="shared" si="59"/>
        <v>1.64472207303928e-6</v>
      </c>
      <c r="I1562" s="33"/>
    </row>
    <row r="1563" spans="1:9">
      <c r="A1563" s="4">
        <v>1561</v>
      </c>
      <c r="B1563" s="6">
        <f>'2_Discount_Factors'!B1564</f>
        <v>4.27671232876712</v>
      </c>
      <c r="C1563" s="6">
        <f>EXP(-r_free*(('2_Discount_Factors'!B1563+'2_Discount_Factors'!B1564)/2))</f>
        <v>0.879624406009512</v>
      </c>
      <c r="D1563" s="6">
        <f>'3_Survival_Probs'!D1563</f>
        <v>0.905254992167384</v>
      </c>
      <c r="E1563" s="6">
        <f>'3_Survival_Probs'!D1564</f>
        <v>0.905179173956048</v>
      </c>
      <c r="F1563" s="8">
        <f t="shared" si="58"/>
        <v>7.5818211335954e-5</v>
      </c>
      <c r="G1563" s="29">
        <f>(1-recovery)*notional*C1563*F1563</f>
        <v>400.149294666553</v>
      </c>
      <c r="H1563" s="8">
        <f t="shared" si="59"/>
        <v>1.82716572907109e-6</v>
      </c>
      <c r="I1563" s="30"/>
    </row>
    <row r="1564" spans="1:9">
      <c r="A1564" s="10">
        <v>1562</v>
      </c>
      <c r="B1564" s="12">
        <f>'2_Discount_Factors'!B1565</f>
        <v>4.27945205479452</v>
      </c>
      <c r="C1564" s="12">
        <f>EXP(-r_free*(('2_Discount_Factors'!B1564+'2_Discount_Factors'!B1565)/2))</f>
        <v>0.879552111084193</v>
      </c>
      <c r="D1564" s="12">
        <f>'3_Survival_Probs'!D1564</f>
        <v>0.905179173956048</v>
      </c>
      <c r="E1564" s="12">
        <f>'3_Survival_Probs'!D1565</f>
        <v>0.905103362094747</v>
      </c>
      <c r="F1564" s="14">
        <f t="shared" si="58"/>
        <v>7.58118613005676e-5</v>
      </c>
      <c r="G1564" s="32">
        <f>(1-recovery)*notional*C1564*F1564</f>
        <v>400.082895912818</v>
      </c>
      <c r="H1564" s="14">
        <f t="shared" si="59"/>
        <v>2.00954879225623e-6</v>
      </c>
      <c r="I1564" s="33"/>
    </row>
    <row r="1565" spans="1:9">
      <c r="A1565" s="4">
        <v>1563</v>
      </c>
      <c r="B1565" s="6">
        <f>'2_Discount_Factors'!B1566</f>
        <v>4.28219178082192</v>
      </c>
      <c r="C1565" s="6">
        <f>EXP(-r_free*(('2_Discount_Factors'!B1565+'2_Discount_Factors'!B1566)/2))</f>
        <v>0.879479822100678</v>
      </c>
      <c r="D1565" s="6">
        <f>'3_Survival_Probs'!D1565</f>
        <v>0.905103362094747</v>
      </c>
      <c r="E1565" s="6">
        <f>'3_Survival_Probs'!D1566</f>
        <v>0.90502755658295</v>
      </c>
      <c r="F1565" s="8">
        <f t="shared" si="58"/>
        <v>7.58055117970891e-5</v>
      </c>
      <c r="G1565" s="29">
        <f>(1-recovery)*notional*C1565*F1565</f>
        <v>400.016508177328</v>
      </c>
      <c r="H1565" s="8">
        <f t="shared" si="59"/>
        <v>2.19187127768401e-6</v>
      </c>
      <c r="I1565" s="30"/>
    </row>
    <row r="1566" spans="1:9">
      <c r="A1566" s="10">
        <v>1564</v>
      </c>
      <c r="B1566" s="12">
        <f>'2_Discount_Factors'!B1567</f>
        <v>4.28493150684931</v>
      </c>
      <c r="C1566" s="12">
        <f>EXP(-r_free*(('2_Discount_Factors'!B1566+'2_Discount_Factors'!B1567)/2))</f>
        <v>0.879407539058479</v>
      </c>
      <c r="D1566" s="12">
        <f>'3_Survival_Probs'!D1566</f>
        <v>0.90502755658295</v>
      </c>
      <c r="E1566" s="12">
        <f>'3_Survival_Probs'!D1567</f>
        <v>0.904951757420125</v>
      </c>
      <c r="F1566" s="14">
        <f t="shared" si="58"/>
        <v>7.57991628254073e-5</v>
      </c>
      <c r="G1566" s="32">
        <f>(1-recovery)*notional*C1566*F1566</f>
        <v>399.950131457907</v>
      </c>
      <c r="H1566" s="14">
        <f t="shared" si="59"/>
        <v>2.37413320043509e-6</v>
      </c>
      <c r="I1566" s="33"/>
    </row>
    <row r="1567" spans="1:9">
      <c r="A1567" s="4">
        <v>1565</v>
      </c>
      <c r="B1567" s="6">
        <f>'2_Discount_Factors'!B1568</f>
        <v>4.28767123287671</v>
      </c>
      <c r="C1567" s="6">
        <f>EXP(-r_free*(('2_Discount_Factors'!B1567+'2_Discount_Factors'!B1568)/2))</f>
        <v>0.879335261957108</v>
      </c>
      <c r="D1567" s="6">
        <f>'3_Survival_Probs'!D1567</f>
        <v>0.904951757420125</v>
      </c>
      <c r="E1567" s="6">
        <f>'3_Survival_Probs'!D1568</f>
        <v>0.904875964605739</v>
      </c>
      <c r="F1567" s="8">
        <f t="shared" si="58"/>
        <v>7.57928143855224e-5</v>
      </c>
      <c r="G1567" s="29">
        <f>(1-recovery)*notional*C1567*F1567</f>
        <v>399.883765752959</v>
      </c>
      <c r="H1567" s="8">
        <f t="shared" si="59"/>
        <v>2.55633457558973e-6</v>
      </c>
      <c r="I1567" s="30"/>
    </row>
    <row r="1568" spans="1:9">
      <c r="A1568" s="10">
        <v>1566</v>
      </c>
      <c r="B1568" s="12">
        <f>'2_Discount_Factors'!B1569</f>
        <v>4.29041095890411</v>
      </c>
      <c r="C1568" s="12">
        <f>EXP(-r_free*(('2_Discount_Factors'!B1568+'2_Discount_Factors'!B1569)/2))</f>
        <v>0.879262990796077</v>
      </c>
      <c r="D1568" s="12">
        <f>'3_Survival_Probs'!D1568</f>
        <v>0.904875964605739</v>
      </c>
      <c r="E1568" s="12">
        <f>'3_Survival_Probs'!D1569</f>
        <v>0.904800178139262</v>
      </c>
      <c r="F1568" s="14">
        <f t="shared" si="58"/>
        <v>7.57864664773233e-5</v>
      </c>
      <c r="G1568" s="32">
        <f>(1-recovery)*notional*C1568*F1568</f>
        <v>399.817411060308</v>
      </c>
      <c r="H1568" s="14">
        <f t="shared" si="59"/>
        <v>2.73847541822133e-6</v>
      </c>
      <c r="I1568" s="33"/>
    </row>
    <row r="1569" spans="1:9">
      <c r="A1569" s="4">
        <v>1567</v>
      </c>
      <c r="B1569" s="6">
        <f>'2_Discount_Factors'!B1570</f>
        <v>4.29315068493151</v>
      </c>
      <c r="C1569" s="6">
        <f>EXP(-r_free*(('2_Discount_Factors'!B1569+'2_Discount_Factors'!B1570)/2))</f>
        <v>0.879190725574897</v>
      </c>
      <c r="D1569" s="6">
        <f>'3_Survival_Probs'!D1569</f>
        <v>0.904800178139262</v>
      </c>
      <c r="E1569" s="6">
        <f>'3_Survival_Probs'!D1570</f>
        <v>0.904724398020161</v>
      </c>
      <c r="F1569" s="8">
        <f t="shared" si="58"/>
        <v>7.5780119100699e-5</v>
      </c>
      <c r="G1569" s="29">
        <f>(1-recovery)*notional*C1569*F1569</f>
        <v>399.751067377774</v>
      </c>
      <c r="H1569" s="8">
        <f t="shared" si="59"/>
        <v>2.92055574339931e-6</v>
      </c>
      <c r="I1569" s="30"/>
    </row>
    <row r="1570" spans="1:9">
      <c r="A1570" s="10">
        <v>1568</v>
      </c>
      <c r="B1570" s="12">
        <f>'2_Discount_Factors'!B1571</f>
        <v>4.2958904109589</v>
      </c>
      <c r="C1570" s="12">
        <f>EXP(-r_free*(('2_Discount_Factors'!B1570+'2_Discount_Factors'!B1571)/2))</f>
        <v>0.87911846629308</v>
      </c>
      <c r="D1570" s="12">
        <f>'3_Survival_Probs'!D1570</f>
        <v>0.904724398020161</v>
      </c>
      <c r="E1570" s="12">
        <f>'3_Survival_Probs'!D1571</f>
        <v>0.904648624247906</v>
      </c>
      <c r="F1570" s="14">
        <f t="shared" si="58"/>
        <v>7.57737722557605e-5</v>
      </c>
      <c r="G1570" s="32">
        <f>(1-recovery)*notional*C1570*F1570</f>
        <v>399.684734704352</v>
      </c>
      <c r="H1570" s="14">
        <f t="shared" si="59"/>
        <v>3.10257556619822e-6</v>
      </c>
      <c r="I1570" s="33"/>
    </row>
    <row r="1571" spans="1:9">
      <c r="A1571" s="4">
        <v>1569</v>
      </c>
      <c r="B1571" s="6">
        <f>'2_Discount_Factors'!B1572</f>
        <v>4.2986301369863</v>
      </c>
      <c r="C1571" s="6">
        <f>EXP(-r_free*(('2_Discount_Factors'!B1571+'2_Discount_Factors'!B1572)/2))</f>
        <v>0.879046212950138</v>
      </c>
      <c r="D1571" s="6">
        <f>'3_Survival_Probs'!D1571</f>
        <v>0.904648624247906</v>
      </c>
      <c r="E1571" s="6">
        <f>'3_Survival_Probs'!D1572</f>
        <v>0.904572856821963</v>
      </c>
      <c r="F1571" s="8">
        <f t="shared" si="58"/>
        <v>7.57674259423968e-5</v>
      </c>
      <c r="G1571" s="29">
        <f>(1-recovery)*notional*C1571*F1571</f>
        <v>399.618413037864</v>
      </c>
      <c r="H1571" s="8">
        <f t="shared" si="59"/>
        <v>3.28453490168113e-6</v>
      </c>
      <c r="I1571" s="30"/>
    </row>
    <row r="1572" spans="1:9">
      <c r="A1572" s="10">
        <v>1570</v>
      </c>
      <c r="B1572" s="12">
        <f>'2_Discount_Factors'!B1573</f>
        <v>4.3013698630137</v>
      </c>
      <c r="C1572" s="12">
        <f>EXP(-r_free*(('2_Discount_Factors'!B1572+'2_Discount_Factors'!B1573)/2))</f>
        <v>0.878973965545583</v>
      </c>
      <c r="D1572" s="12">
        <f>'3_Survival_Probs'!D1572</f>
        <v>0.904572856821963</v>
      </c>
      <c r="E1572" s="12">
        <f>'3_Survival_Probs'!D1573</f>
        <v>0.904497095741803</v>
      </c>
      <c r="F1572" s="14">
        <f t="shared" si="58"/>
        <v>7.57610801604969e-5</v>
      </c>
      <c r="G1572" s="32">
        <f>(1-recovery)*notional*C1572*F1572</f>
        <v>399.552102376132</v>
      </c>
      <c r="H1572" s="14">
        <f t="shared" si="59"/>
        <v>3.46643376490715e-6</v>
      </c>
      <c r="I1572" s="33"/>
    </row>
    <row r="1573" spans="1:9">
      <c r="A1573" s="4">
        <v>1571</v>
      </c>
      <c r="B1573" s="6">
        <f>'2_Discount_Factors'!B1574</f>
        <v>4.3041095890411</v>
      </c>
      <c r="C1573" s="6">
        <f>EXP(-r_free*(('2_Discount_Factors'!B1573+'2_Discount_Factors'!B1574)/2))</f>
        <v>0.878901724078927</v>
      </c>
      <c r="D1573" s="6">
        <f>'3_Survival_Probs'!D1573</f>
        <v>0.904497095741803</v>
      </c>
      <c r="E1573" s="6">
        <f>'3_Survival_Probs'!D1574</f>
        <v>0.904421341006893</v>
      </c>
      <c r="F1573" s="8">
        <f t="shared" si="58"/>
        <v>7.57547349100607e-5</v>
      </c>
      <c r="G1573" s="29">
        <f>(1-recovery)*notional*C1573*F1573</f>
        <v>399.485802717567</v>
      </c>
      <c r="H1573" s="8">
        <f t="shared" si="59"/>
        <v>3.64827217093675e-6</v>
      </c>
      <c r="I1573" s="30"/>
    </row>
    <row r="1574" spans="1:9">
      <c r="A1574" s="10">
        <v>1572</v>
      </c>
      <c r="B1574" s="12">
        <f>'2_Discount_Factors'!B1575</f>
        <v>4.30684931506849</v>
      </c>
      <c r="C1574" s="12">
        <f>EXP(-r_free*(('2_Discount_Factors'!B1574+'2_Discount_Factors'!B1575)/2))</f>
        <v>0.878829488549681</v>
      </c>
      <c r="D1574" s="12">
        <f>'3_Survival_Probs'!D1574</f>
        <v>0.904421341006893</v>
      </c>
      <c r="E1574" s="12">
        <f>'3_Survival_Probs'!D1575</f>
        <v>0.904345592616701</v>
      </c>
      <c r="F1574" s="14">
        <f t="shared" si="58"/>
        <v>7.57483901911993e-5</v>
      </c>
      <c r="G1574" s="32">
        <f>(1-recovery)*notional*C1574*F1574</f>
        <v>399.41951406116</v>
      </c>
      <c r="H1574" s="14">
        <f t="shared" si="59"/>
        <v>3.83005013483306e-6</v>
      </c>
      <c r="I1574" s="33"/>
    </row>
    <row r="1575" spans="1:9">
      <c r="A1575" s="4">
        <v>1573</v>
      </c>
      <c r="B1575" s="6">
        <f>'2_Discount_Factors'!B1576</f>
        <v>4.30958904109589</v>
      </c>
      <c r="C1575" s="6">
        <f>EXP(-r_free*(('2_Discount_Factors'!B1575+'2_Discount_Factors'!B1576)/2))</f>
        <v>0.878757258957359</v>
      </c>
      <c r="D1575" s="6">
        <f>'3_Survival_Probs'!D1575</f>
        <v>0.904345592616701</v>
      </c>
      <c r="E1575" s="6">
        <f>'3_Survival_Probs'!D1576</f>
        <v>0.904269850570698</v>
      </c>
      <c r="F1575" s="8">
        <f t="shared" si="58"/>
        <v>7.57420460035796e-5</v>
      </c>
      <c r="G1575" s="29">
        <f>(1-recovery)*notional*C1575*F1575</f>
        <v>399.353236403567</v>
      </c>
      <c r="H1575" s="8">
        <f t="shared" si="59"/>
        <v>4.01176767163403e-6</v>
      </c>
      <c r="I1575" s="30"/>
    </row>
    <row r="1576" spans="1:9">
      <c r="A1576" s="10">
        <v>1574</v>
      </c>
      <c r="B1576" s="12">
        <f>'2_Discount_Factors'!B1577</f>
        <v>4.31232876712329</v>
      </c>
      <c r="C1576" s="12">
        <f>EXP(-r_free*(('2_Discount_Factors'!B1576+'2_Discount_Factors'!B1577)/2))</f>
        <v>0.878685035301471</v>
      </c>
      <c r="D1576" s="12">
        <f>'3_Survival_Probs'!D1576</f>
        <v>0.904269850570698</v>
      </c>
      <c r="E1576" s="12">
        <f>'3_Survival_Probs'!D1577</f>
        <v>0.90419411486835</v>
      </c>
      <c r="F1576" s="14">
        <f t="shared" si="58"/>
        <v>7.57357023474237e-5</v>
      </c>
      <c r="G1576" s="32">
        <f>(1-recovery)*notional*C1576*F1576</f>
        <v>399.286969744366</v>
      </c>
      <c r="H1576" s="14">
        <f t="shared" si="59"/>
        <v>4.19342479640205e-6</v>
      </c>
      <c r="I1576" s="33"/>
    </row>
    <row r="1577" spans="1:9">
      <c r="A1577" s="4">
        <v>1575</v>
      </c>
      <c r="B1577" s="6">
        <f>'2_Discount_Factors'!B1578</f>
        <v>4.31506849315068</v>
      </c>
      <c r="C1577" s="6">
        <f>EXP(-r_free*(('2_Discount_Factors'!B1577+'2_Discount_Factors'!B1578)/2))</f>
        <v>0.87861281758153</v>
      </c>
      <c r="D1577" s="6">
        <f>'3_Survival_Probs'!D1577</f>
        <v>0.90419411486835</v>
      </c>
      <c r="E1577" s="6">
        <f>'3_Survival_Probs'!D1578</f>
        <v>0.904118385509128</v>
      </c>
      <c r="F1577" s="8">
        <f t="shared" si="58"/>
        <v>7.57293592225095e-5</v>
      </c>
      <c r="G1577" s="29">
        <f>(1-recovery)*notional*C1577*F1577</f>
        <v>399.220714080797</v>
      </c>
      <c r="H1577" s="8">
        <f t="shared" si="59"/>
        <v>4.37502152417316e-6</v>
      </c>
      <c r="I1577" s="30"/>
    </row>
    <row r="1578" spans="1:9">
      <c r="A1578" s="10">
        <v>1576</v>
      </c>
      <c r="B1578" s="12">
        <f>'2_Discount_Factors'!B1579</f>
        <v>4.31780821917808</v>
      </c>
      <c r="C1578" s="12">
        <f>EXP(-r_free*(('2_Discount_Factors'!B1578+'2_Discount_Factors'!B1579)/2))</f>
        <v>0.878540605797049</v>
      </c>
      <c r="D1578" s="12">
        <f>'3_Survival_Probs'!D1578</f>
        <v>0.904118385509128</v>
      </c>
      <c r="E1578" s="12">
        <f>'3_Survival_Probs'!D1579</f>
        <v>0.904042662492499</v>
      </c>
      <c r="F1578" s="14">
        <f t="shared" si="58"/>
        <v>7.5723016628837e-5</v>
      </c>
      <c r="G1578" s="32">
        <f>(1-recovery)*notional*C1578*F1578</f>
        <v>399.15446941127</v>
      </c>
      <c r="H1578" s="14">
        <f t="shared" si="59"/>
        <v>4.55655786999172e-6</v>
      </c>
      <c r="I1578" s="33"/>
    </row>
    <row r="1579" spans="1:9">
      <c r="A1579" s="4">
        <v>1577</v>
      </c>
      <c r="B1579" s="6">
        <f>'2_Discount_Factors'!B1580</f>
        <v>4.32054794520548</v>
      </c>
      <c r="C1579" s="6">
        <f>EXP(-r_free*(('2_Discount_Factors'!B1579+'2_Discount_Factors'!B1580)/2))</f>
        <v>0.878468399947538</v>
      </c>
      <c r="D1579" s="6">
        <f>'3_Survival_Probs'!D1579</f>
        <v>0.904042662492499</v>
      </c>
      <c r="E1579" s="6">
        <f>'3_Survival_Probs'!D1580</f>
        <v>0.903966945817933</v>
      </c>
      <c r="F1579" s="8">
        <f t="shared" si="58"/>
        <v>7.57166745664062e-5</v>
      </c>
      <c r="G1579" s="29">
        <f>(1-recovery)*notional*C1579*F1579</f>
        <v>399.088235734196</v>
      </c>
      <c r="H1579" s="8">
        <f t="shared" si="59"/>
        <v>4.73803384889918e-6</v>
      </c>
      <c r="I1579" s="30"/>
    </row>
    <row r="1580" spans="1:9">
      <c r="A1580" s="10">
        <v>1578</v>
      </c>
      <c r="B1580" s="12">
        <f>'2_Discount_Factors'!B1581</f>
        <v>4.32328767123288</v>
      </c>
      <c r="C1580" s="12">
        <f>EXP(-r_free*(('2_Discount_Factors'!B1580+'2_Discount_Factors'!B1581)/2))</f>
        <v>0.878396200032511</v>
      </c>
      <c r="D1580" s="12">
        <f>'3_Survival_Probs'!D1580</f>
        <v>0.903966945817933</v>
      </c>
      <c r="E1580" s="12">
        <f>'3_Survival_Probs'!D1581</f>
        <v>0.903891235484898</v>
      </c>
      <c r="F1580" s="14">
        <f t="shared" si="58"/>
        <v>7.57103330351061e-5</v>
      </c>
      <c r="G1580" s="32">
        <f>(1-recovery)*notional*C1580*F1580</f>
        <v>399.022013047399</v>
      </c>
      <c r="H1580" s="14">
        <f t="shared" si="59"/>
        <v>4.91944947592689e-6</v>
      </c>
      <c r="I1580" s="33"/>
    </row>
    <row r="1581" spans="1:9">
      <c r="A1581" s="4">
        <v>1579</v>
      </c>
      <c r="B1581" s="6">
        <f>'2_Discount_Factors'!B1582</f>
        <v>4.32602739726027</v>
      </c>
      <c r="C1581" s="6">
        <f>EXP(-r_free*(('2_Discount_Factors'!B1581+'2_Discount_Factors'!B1582)/2))</f>
        <v>0.87832400605148</v>
      </c>
      <c r="D1581" s="6">
        <f>'3_Survival_Probs'!D1581</f>
        <v>0.903891235484898</v>
      </c>
      <c r="E1581" s="6">
        <f>'3_Survival_Probs'!D1582</f>
        <v>0.903815531492863</v>
      </c>
      <c r="F1581" s="8">
        <f t="shared" si="58"/>
        <v>7.57039920350477e-5</v>
      </c>
      <c r="G1581" s="29">
        <f>(1-recovery)*notional*C1581*F1581</f>
        <v>398.955801349875</v>
      </c>
      <c r="H1581" s="8">
        <f t="shared" si="59"/>
        <v>5.10080476611719e-6</v>
      </c>
      <c r="I1581" s="30"/>
    </row>
    <row r="1582" spans="1:9">
      <c r="A1582" s="10">
        <v>1580</v>
      </c>
      <c r="B1582" s="12">
        <f>'2_Discount_Factors'!B1583</f>
        <v>4.32876712328767</v>
      </c>
      <c r="C1582" s="12">
        <f>EXP(-r_free*(('2_Discount_Factors'!B1582+'2_Discount_Factors'!B1583)/2))</f>
        <v>0.878251818003956</v>
      </c>
      <c r="D1582" s="12">
        <f>'3_Survival_Probs'!D1582</f>
        <v>0.903815531492863</v>
      </c>
      <c r="E1582" s="12">
        <f>'3_Survival_Probs'!D1583</f>
        <v>0.903739833841297</v>
      </c>
      <c r="F1582" s="14">
        <f t="shared" si="58"/>
        <v>7.5697651565898e-5</v>
      </c>
      <c r="G1582" s="32">
        <f>(1-recovery)*notional*C1582*F1582</f>
        <v>398.88960063828</v>
      </c>
      <c r="H1582" s="14">
        <f t="shared" si="59"/>
        <v>5.28209973447958e-6</v>
      </c>
      <c r="I1582" s="33"/>
    </row>
    <row r="1583" spans="1:9">
      <c r="A1583" s="4">
        <v>1581</v>
      </c>
      <c r="B1583" s="6">
        <f>'2_Discount_Factors'!B1584</f>
        <v>4.33150684931507</v>
      </c>
      <c r="C1583" s="6">
        <f>EXP(-r_free*(('2_Discount_Factors'!B1583+'2_Discount_Factors'!B1584)/2))</f>
        <v>0.878179635889453</v>
      </c>
      <c r="D1583" s="6">
        <f>'3_Survival_Probs'!D1583</f>
        <v>0.903739833841297</v>
      </c>
      <c r="E1583" s="6">
        <f>'3_Survival_Probs'!D1584</f>
        <v>0.903664142529669</v>
      </c>
      <c r="F1583" s="8">
        <f t="shared" si="58"/>
        <v>7.5691311627879e-5</v>
      </c>
      <c r="G1583" s="29">
        <f>(1-recovery)*notional*C1583*F1583</f>
        <v>398.823410912196</v>
      </c>
      <c r="H1583" s="8">
        <f t="shared" si="59"/>
        <v>5.4633343960575e-6</v>
      </c>
      <c r="I1583" s="30"/>
    </row>
    <row r="1584" spans="1:9">
      <c r="A1584" s="10">
        <v>1582</v>
      </c>
      <c r="B1584" s="12">
        <f>'2_Discount_Factors'!B1585</f>
        <v>4.33424657534247</v>
      </c>
      <c r="C1584" s="12">
        <f>EXP(-r_free*(('2_Discount_Factors'!B1584+'2_Discount_Factors'!B1585)/2))</f>
        <v>0.878107459707483</v>
      </c>
      <c r="D1584" s="12">
        <f>'3_Survival_Probs'!D1584</f>
        <v>0.903664142529669</v>
      </c>
      <c r="E1584" s="12">
        <f>'3_Survival_Probs'!D1585</f>
        <v>0.903588457557448</v>
      </c>
      <c r="F1584" s="14">
        <f t="shared" si="58"/>
        <v>7.56849722208797e-5</v>
      </c>
      <c r="G1584" s="32">
        <f>(1-recovery)*notional*C1584*F1584</f>
        <v>398.757232169449</v>
      </c>
      <c r="H1584" s="14">
        <f t="shared" si="59"/>
        <v>5.64450876586893e-6</v>
      </c>
      <c r="I1584" s="33"/>
    </row>
    <row r="1585" spans="1:9">
      <c r="A1585" s="4">
        <v>1583</v>
      </c>
      <c r="B1585" s="6">
        <f>'2_Discount_Factors'!B1586</f>
        <v>4.33698630136986</v>
      </c>
      <c r="C1585" s="6">
        <f>EXP(-r_free*(('2_Discount_Factors'!B1585+'2_Discount_Factors'!B1586)/2))</f>
        <v>0.878035289457558</v>
      </c>
      <c r="D1585" s="6">
        <f>'3_Survival_Probs'!D1585</f>
        <v>0.903588457557448</v>
      </c>
      <c r="E1585" s="6">
        <f>'3_Survival_Probs'!D1586</f>
        <v>0.903512778924103</v>
      </c>
      <c r="F1585" s="8">
        <f t="shared" si="58"/>
        <v>7.5678633344789e-5</v>
      </c>
      <c r="G1585" s="29">
        <f>(1-recovery)*notional*C1585*F1585</f>
        <v>398.691064407865</v>
      </c>
      <c r="H1585" s="8">
        <f t="shared" si="59"/>
        <v>5.82562285892775e-6</v>
      </c>
      <c r="I1585" s="30"/>
    </row>
    <row r="1586" spans="1:9">
      <c r="A1586" s="10">
        <v>1584</v>
      </c>
      <c r="B1586" s="12">
        <f>'2_Discount_Factors'!B1587</f>
        <v>4.33972602739726</v>
      </c>
      <c r="C1586" s="12">
        <f>EXP(-r_free*(('2_Discount_Factors'!B1586+'2_Discount_Factors'!B1587)/2))</f>
        <v>0.877963125139191</v>
      </c>
      <c r="D1586" s="12">
        <f>'3_Survival_Probs'!D1586</f>
        <v>0.903512778924103</v>
      </c>
      <c r="E1586" s="12">
        <f>'3_Survival_Probs'!D1587</f>
        <v>0.903437106629103</v>
      </c>
      <c r="F1586" s="14">
        <f t="shared" si="58"/>
        <v>7.56722949996069e-5</v>
      </c>
      <c r="G1586" s="32">
        <f>(1-recovery)*notional*C1586*F1586</f>
        <v>398.624907625858</v>
      </c>
      <c r="H1586" s="14">
        <f t="shared" si="59"/>
        <v>6.0066766902527e-6</v>
      </c>
      <c r="I1586" s="33"/>
    </row>
    <row r="1587" spans="1:9">
      <c r="A1587" s="4">
        <v>1585</v>
      </c>
      <c r="B1587" s="6">
        <f>'2_Discount_Factors'!B1588</f>
        <v>4.34246575342466</v>
      </c>
      <c r="C1587" s="6">
        <f>EXP(-r_free*(('2_Discount_Factors'!B1587+'2_Discount_Factors'!B1588)/2))</f>
        <v>0.877890966751893</v>
      </c>
      <c r="D1587" s="6">
        <f>'3_Survival_Probs'!D1587</f>
        <v>0.903437106629103</v>
      </c>
      <c r="E1587" s="6">
        <f>'3_Survival_Probs'!D1588</f>
        <v>0.903361440671918</v>
      </c>
      <c r="F1587" s="8">
        <f t="shared" si="58"/>
        <v>7.56659571853335e-5</v>
      </c>
      <c r="G1587" s="29">
        <f>(1-recovery)*notional*C1587*F1587</f>
        <v>398.558761821839</v>
      </c>
      <c r="H1587" s="8">
        <f t="shared" si="59"/>
        <v>6.18767027485965e-6</v>
      </c>
      <c r="I1587" s="30"/>
    </row>
    <row r="1588" spans="1:9">
      <c r="A1588" s="10">
        <v>1586</v>
      </c>
      <c r="B1588" s="12">
        <f>'2_Discount_Factors'!B1589</f>
        <v>4.34520547945205</v>
      </c>
      <c r="C1588" s="12">
        <f>EXP(-r_free*(('2_Discount_Factors'!B1588+'2_Discount_Factors'!B1589)/2))</f>
        <v>0.877818814295179</v>
      </c>
      <c r="D1588" s="12">
        <f>'3_Survival_Probs'!D1588</f>
        <v>0.903361440671918</v>
      </c>
      <c r="E1588" s="12">
        <f>'3_Survival_Probs'!D1589</f>
        <v>0.903285781052016</v>
      </c>
      <c r="F1588" s="14">
        <f t="shared" si="58"/>
        <v>7.56596199018578e-5</v>
      </c>
      <c r="G1588" s="32">
        <f>(1-recovery)*notional*C1588*F1588</f>
        <v>398.492626993636</v>
      </c>
      <c r="H1588" s="14">
        <f t="shared" si="59"/>
        <v>6.36860362775223e-6</v>
      </c>
      <c r="I1588" s="33"/>
    </row>
    <row r="1589" spans="1:9">
      <c r="A1589" s="4">
        <v>1587</v>
      </c>
      <c r="B1589" s="6">
        <f>'2_Discount_Factors'!B1590</f>
        <v>4.34794520547945</v>
      </c>
      <c r="C1589" s="6">
        <f>EXP(-r_free*(('2_Discount_Factors'!B1589+'2_Discount_Factors'!B1590)/2))</f>
        <v>0.877746667768559</v>
      </c>
      <c r="D1589" s="6">
        <f>'3_Survival_Probs'!D1589</f>
        <v>0.903285781052016</v>
      </c>
      <c r="E1589" s="6">
        <f>'3_Survival_Probs'!D1590</f>
        <v>0.903210127768867</v>
      </c>
      <c r="F1589" s="8">
        <f t="shared" si="58"/>
        <v>7.56532831490686e-5</v>
      </c>
      <c r="G1589" s="29">
        <f>(1-recovery)*notional*C1589*F1589</f>
        <v>398.426503139078</v>
      </c>
      <c r="H1589" s="8">
        <f t="shared" si="59"/>
        <v>6.5494767639301e-6</v>
      </c>
      <c r="I1589" s="30"/>
    </row>
    <row r="1590" spans="1:9">
      <c r="A1590" s="10">
        <v>1588</v>
      </c>
      <c r="B1590" s="12">
        <f>'2_Discount_Factors'!B1591</f>
        <v>4.35068493150685</v>
      </c>
      <c r="C1590" s="12">
        <f>EXP(-r_free*(('2_Discount_Factors'!B1590+'2_Discount_Factors'!B1591)/2))</f>
        <v>0.877674527171547</v>
      </c>
      <c r="D1590" s="12">
        <f>'3_Survival_Probs'!D1590</f>
        <v>0.903210127768867</v>
      </c>
      <c r="E1590" s="12">
        <f>'3_Survival_Probs'!D1591</f>
        <v>0.90313448082194</v>
      </c>
      <c r="F1590" s="14">
        <f t="shared" si="58"/>
        <v>7.56469469270771e-5</v>
      </c>
      <c r="G1590" s="32">
        <f>(1-recovery)*notional*C1590*F1590</f>
        <v>398.360390257161</v>
      </c>
      <c r="H1590" s="14">
        <f t="shared" si="59"/>
        <v>6.73028969840873e-6</v>
      </c>
      <c r="I1590" s="33"/>
    </row>
    <row r="1591" spans="1:9">
      <c r="A1591" s="4">
        <v>1589</v>
      </c>
      <c r="B1591" s="6">
        <f>'2_Discount_Factors'!B1592</f>
        <v>4.35342465753425</v>
      </c>
      <c r="C1591" s="6">
        <f>EXP(-r_free*(('2_Discount_Factors'!B1591+'2_Discount_Factors'!B1592)/2))</f>
        <v>0.877602392503656</v>
      </c>
      <c r="D1591" s="6">
        <f>'3_Survival_Probs'!D1591</f>
        <v>0.90313448082194</v>
      </c>
      <c r="E1591" s="6">
        <f>'3_Survival_Probs'!D1592</f>
        <v>0.903058840210704</v>
      </c>
      <c r="F1591" s="8">
        <f t="shared" si="58"/>
        <v>7.56406112357721e-5</v>
      </c>
      <c r="G1591" s="29">
        <f>(1-recovery)*notional*C1591*F1591</f>
        <v>398.294288345715</v>
      </c>
      <c r="H1591" s="8">
        <f t="shared" si="59"/>
        <v>6.91104244618144e-6</v>
      </c>
      <c r="I1591" s="30"/>
    </row>
    <row r="1592" spans="1:9">
      <c r="A1592" s="10">
        <v>1590</v>
      </c>
      <c r="B1592" s="12">
        <f>'2_Discount_Factors'!B1593</f>
        <v>4.35616438356164</v>
      </c>
      <c r="C1592" s="12">
        <f>EXP(-r_free*(('2_Discount_Factors'!B1592+'2_Discount_Factors'!B1593)/2))</f>
        <v>0.877530263764398</v>
      </c>
      <c r="D1592" s="12">
        <f>'3_Survival_Probs'!D1592</f>
        <v>0.903058840210704</v>
      </c>
      <c r="E1592" s="12">
        <f>'3_Survival_Probs'!D1593</f>
        <v>0.902983205934629</v>
      </c>
      <c r="F1592" s="14">
        <f t="shared" si="58"/>
        <v>7.56342760750428e-5</v>
      </c>
      <c r="G1592" s="32">
        <f>(1-recovery)*notional*C1592*F1592</f>
        <v>398.22819740257</v>
      </c>
      <c r="H1592" s="14">
        <f t="shared" si="59"/>
        <v>7.09173502223756e-6</v>
      </c>
      <c r="I1592" s="33"/>
    </row>
    <row r="1593" spans="1:9">
      <c r="A1593" s="4">
        <v>1591</v>
      </c>
      <c r="B1593" s="6">
        <f>'2_Discount_Factors'!B1594</f>
        <v>4.35890410958904</v>
      </c>
      <c r="C1593" s="6">
        <f>EXP(-r_free*(('2_Discount_Factors'!B1593+'2_Discount_Factors'!B1594)/2))</f>
        <v>0.877458140953286</v>
      </c>
      <c r="D1593" s="6">
        <f>'3_Survival_Probs'!D1593</f>
        <v>0.902983205934629</v>
      </c>
      <c r="E1593" s="6">
        <f>'3_Survival_Probs'!D1594</f>
        <v>0.902907577993184</v>
      </c>
      <c r="F1593" s="8">
        <f t="shared" si="58"/>
        <v>7.5627941444889e-5</v>
      </c>
      <c r="G1593" s="29">
        <f>(1-recovery)*notional*C1593*F1593</f>
        <v>398.162117426138</v>
      </c>
      <c r="H1593" s="8">
        <f t="shared" si="59"/>
        <v>7.27236744157332e-6</v>
      </c>
      <c r="I1593" s="30"/>
    </row>
    <row r="1594" spans="1:9">
      <c r="A1594" s="10">
        <v>1592</v>
      </c>
      <c r="B1594" s="12">
        <f>'2_Discount_Factors'!B1595</f>
        <v>4.36164383561644</v>
      </c>
      <c r="C1594" s="12">
        <f>EXP(-r_free*(('2_Discount_Factors'!B1594+'2_Discount_Factors'!B1595)/2))</f>
        <v>0.877386024069832</v>
      </c>
      <c r="D1594" s="12">
        <f>'3_Survival_Probs'!D1594</f>
        <v>0.902907577993184</v>
      </c>
      <c r="E1594" s="12">
        <f>'3_Survival_Probs'!D1595</f>
        <v>0.902831956385839</v>
      </c>
      <c r="F1594" s="14">
        <f t="shared" si="58"/>
        <v>7.56216073453109e-5</v>
      </c>
      <c r="G1594" s="32">
        <f>(1-recovery)*notional*C1594*F1594</f>
        <v>398.096048414834</v>
      </c>
      <c r="H1594" s="14">
        <f t="shared" si="59"/>
        <v>7.45293971918186e-6</v>
      </c>
      <c r="I1594" s="33"/>
    </row>
    <row r="1595" spans="1:9">
      <c r="A1595" s="4">
        <v>1593</v>
      </c>
      <c r="B1595" s="6">
        <f>'2_Discount_Factors'!B1596</f>
        <v>4.36438356164384</v>
      </c>
      <c r="C1595" s="6">
        <f>EXP(-r_free*(('2_Discount_Factors'!B1595+'2_Discount_Factors'!B1596)/2))</f>
        <v>0.87731391311355</v>
      </c>
      <c r="D1595" s="6">
        <f>'3_Survival_Probs'!D1595</f>
        <v>0.902831956385839</v>
      </c>
      <c r="E1595" s="6">
        <f>'3_Survival_Probs'!D1596</f>
        <v>0.902756341112063</v>
      </c>
      <c r="F1595" s="8">
        <f t="shared" si="58"/>
        <v>7.56152737763083e-5</v>
      </c>
      <c r="G1595" s="29">
        <f>(1-recovery)*notional*C1595*F1595</f>
        <v>398.029990367073</v>
      </c>
      <c r="H1595" s="8">
        <f t="shared" si="59"/>
        <v>7.63345187005349e-6</v>
      </c>
      <c r="I1595" s="30"/>
    </row>
    <row r="1596" spans="1:9">
      <c r="A1596" s="10">
        <v>1594</v>
      </c>
      <c r="B1596" s="12">
        <f>'2_Discount_Factors'!B1597</f>
        <v>4.36712328767123</v>
      </c>
      <c r="C1596" s="12">
        <f>EXP(-r_free*(('2_Discount_Factors'!B1596+'2_Discount_Factors'!B1597)/2))</f>
        <v>0.877241808083953</v>
      </c>
      <c r="D1596" s="12">
        <f>'3_Survival_Probs'!D1596</f>
        <v>0.902756341112063</v>
      </c>
      <c r="E1596" s="12">
        <f>'3_Survival_Probs'!D1597</f>
        <v>0.902680732171325</v>
      </c>
      <c r="F1596" s="14">
        <f t="shared" si="58"/>
        <v>7.56089407376592e-5</v>
      </c>
      <c r="G1596" s="32">
        <f>(1-recovery)*notional*C1596*F1596</f>
        <v>397.9639432801</v>
      </c>
      <c r="H1596" s="14">
        <f t="shared" si="59"/>
        <v>7.81390390915269e-6</v>
      </c>
      <c r="I1596" s="33"/>
    </row>
    <row r="1597" spans="1:9">
      <c r="A1597" s="4">
        <v>1595</v>
      </c>
      <c r="B1597" s="6">
        <f>'2_Discount_Factors'!B1598</f>
        <v>4.36986301369863</v>
      </c>
      <c r="C1597" s="6">
        <f>EXP(-r_free*(('2_Discount_Factors'!B1597+'2_Discount_Factors'!B1598)/2))</f>
        <v>0.877169708980552</v>
      </c>
      <c r="D1597" s="6">
        <f>'3_Survival_Probs'!D1597</f>
        <v>0.902680732171325</v>
      </c>
      <c r="E1597" s="6">
        <f>'3_Survival_Probs'!D1598</f>
        <v>0.902605129563096</v>
      </c>
      <c r="F1597" s="8">
        <f t="shared" si="58"/>
        <v>7.56026082294747e-5</v>
      </c>
      <c r="G1597" s="29">
        <f>(1-recovery)*notional*C1597*F1597</f>
        <v>397.897907152914</v>
      </c>
      <c r="H1597" s="8">
        <f t="shared" si="59"/>
        <v>7.99429585147413e-6</v>
      </c>
      <c r="I1597" s="30"/>
    </row>
    <row r="1598" spans="1:9">
      <c r="A1598" s="10">
        <v>1596</v>
      </c>
      <c r="B1598" s="12">
        <f>'2_Discount_Factors'!B1599</f>
        <v>4.37260273972603</v>
      </c>
      <c r="C1598" s="12">
        <f>EXP(-r_free*(('2_Discount_Factors'!B1598+'2_Discount_Factors'!B1599)/2))</f>
        <v>0.877097615802862</v>
      </c>
      <c r="D1598" s="12">
        <f>'3_Survival_Probs'!D1598</f>
        <v>0.902605129563096</v>
      </c>
      <c r="E1598" s="12">
        <f>'3_Survival_Probs'!D1599</f>
        <v>0.902529533286844</v>
      </c>
      <c r="F1598" s="14">
        <f t="shared" si="58"/>
        <v>7.55962762516438e-5</v>
      </c>
      <c r="G1598" s="32">
        <f>(1-recovery)*notional*C1598*F1598</f>
        <v>397.831881983348</v>
      </c>
      <c r="H1598" s="14">
        <f t="shared" si="59"/>
        <v>8.17462771198666e-6</v>
      </c>
      <c r="I1598" s="33"/>
    </row>
    <row r="1599" spans="1:9">
      <c r="A1599" s="4">
        <v>1597</v>
      </c>
      <c r="B1599" s="6">
        <f>'2_Discount_Factors'!B1600</f>
        <v>4.37534246575343</v>
      </c>
      <c r="C1599" s="6">
        <f>EXP(-r_free*(('2_Discount_Factors'!B1599+'2_Discount_Factors'!B1600)/2))</f>
        <v>0.877025528550395</v>
      </c>
      <c r="D1599" s="6">
        <f>'3_Survival_Probs'!D1599</f>
        <v>0.902529533286844</v>
      </c>
      <c r="E1599" s="6">
        <f>'3_Survival_Probs'!D1600</f>
        <v>0.90245394334204</v>
      </c>
      <c r="F1599" s="8">
        <f t="shared" si="58"/>
        <v>7.55899448041664e-5</v>
      </c>
      <c r="G1599" s="29">
        <f>(1-recovery)*notional*C1599*F1599</f>
        <v>397.765867769815</v>
      </c>
      <c r="H1599" s="8">
        <f t="shared" si="59"/>
        <v>8.35489950566742e-6</v>
      </c>
      <c r="I1599" s="30"/>
    </row>
    <row r="1600" spans="1:9">
      <c r="A1600" s="10">
        <v>1598</v>
      </c>
      <c r="B1600" s="12">
        <f>'2_Discount_Factors'!B1601</f>
        <v>4.37808219178082</v>
      </c>
      <c r="C1600" s="12">
        <f>EXP(-r_free*(('2_Discount_Factors'!B1600+'2_Discount_Factors'!B1601)/2))</f>
        <v>0.876953447222664</v>
      </c>
      <c r="D1600" s="12">
        <f>'3_Survival_Probs'!D1600</f>
        <v>0.90245394334204</v>
      </c>
      <c r="E1600" s="12">
        <f>'3_Survival_Probs'!D1601</f>
        <v>0.902378359728153</v>
      </c>
      <c r="F1600" s="14">
        <f t="shared" si="58"/>
        <v>7.55836138870425e-5</v>
      </c>
      <c r="G1600" s="32">
        <f>(1-recovery)*notional*C1600*F1600</f>
        <v>397.699864510732</v>
      </c>
      <c r="H1600" s="14">
        <f t="shared" si="59"/>
        <v>8.53511124749062e-6</v>
      </c>
      <c r="I1600" s="33"/>
    </row>
    <row r="1601" spans="1:9">
      <c r="A1601" s="4">
        <v>1599</v>
      </c>
      <c r="B1601" s="6">
        <f>'2_Discount_Factors'!B1602</f>
        <v>4.38082191780822</v>
      </c>
      <c r="C1601" s="6">
        <f>EXP(-r_free*(('2_Discount_Factors'!B1601+'2_Discount_Factors'!B1602)/2))</f>
        <v>0.876881371819182</v>
      </c>
      <c r="D1601" s="6">
        <f>'3_Survival_Probs'!D1601</f>
        <v>0.902378359728153</v>
      </c>
      <c r="E1601" s="6">
        <f>'3_Survival_Probs'!D1602</f>
        <v>0.902302782444653</v>
      </c>
      <c r="F1601" s="8">
        <f t="shared" si="58"/>
        <v>7.55772835000501e-5</v>
      </c>
      <c r="G1601" s="29">
        <f>(1-recovery)*notional*C1601*F1601</f>
        <v>397.633872203347</v>
      </c>
      <c r="H1601" s="8">
        <f t="shared" si="59"/>
        <v>8.71526295240215e-6</v>
      </c>
      <c r="I1601" s="30"/>
    </row>
    <row r="1602" spans="1:9">
      <c r="A1602" s="10">
        <v>1600</v>
      </c>
      <c r="B1602" s="12">
        <f>'2_Discount_Factors'!B1603</f>
        <v>4.38356164383562</v>
      </c>
      <c r="C1602" s="12">
        <f>EXP(-r_free*(('2_Discount_Factors'!B1602+'2_Discount_Factors'!B1603)/2))</f>
        <v>0.876809302339463</v>
      </c>
      <c r="D1602" s="12">
        <f>'3_Survival_Probs'!D1602</f>
        <v>0.902302782444653</v>
      </c>
      <c r="E1602" s="12">
        <f>'3_Survival_Probs'!D1603</f>
        <v>0.90222721149101</v>
      </c>
      <c r="F1602" s="14">
        <f t="shared" si="58"/>
        <v>7.55709536431892e-5</v>
      </c>
      <c r="G1602" s="32">
        <f>(1-recovery)*notional*C1602*F1602</f>
        <v>397.567890846076</v>
      </c>
      <c r="H1602" s="14">
        <f t="shared" si="59"/>
        <v>8.89535463536885e-6</v>
      </c>
      <c r="I1602" s="33"/>
    </row>
    <row r="1603" spans="1:9">
      <c r="A1603" s="4">
        <v>1601</v>
      </c>
      <c r="B1603" s="6">
        <f>'2_Discount_Factors'!B1604</f>
        <v>4.38630136986301</v>
      </c>
      <c r="C1603" s="6">
        <f>EXP(-r_free*(('2_Discount_Factors'!B1603+'2_Discount_Factors'!B1604)/2))</f>
        <v>0.876737238783019</v>
      </c>
      <c r="D1603" s="6">
        <f>'3_Survival_Probs'!D1603</f>
        <v>0.90222721149101</v>
      </c>
      <c r="E1603" s="6">
        <f>'3_Survival_Probs'!D1604</f>
        <v>0.902151646866693</v>
      </c>
      <c r="F1603" s="8">
        <f t="shared" ref="F1603:F1666" si="60">D1603-E1603</f>
        <v>7.55646243165708e-5</v>
      </c>
      <c r="G1603" s="29">
        <f>(1-recovery)*notional*C1603*F1603</f>
        <v>397.501920437919</v>
      </c>
      <c r="H1603" s="8">
        <f t="shared" si="59"/>
        <v>9.07538631136805e-6</v>
      </c>
      <c r="I1603" s="30"/>
    </row>
    <row r="1604" spans="1:9">
      <c r="A1604" s="10">
        <v>1602</v>
      </c>
      <c r="B1604" s="12">
        <f>'2_Discount_Factors'!B1605</f>
        <v>4.38904109589041</v>
      </c>
      <c r="C1604" s="12">
        <f>EXP(-r_free*(('2_Discount_Factors'!B1604+'2_Discount_Factors'!B1605)/2))</f>
        <v>0.876665181149364</v>
      </c>
      <c r="D1604" s="12">
        <f>'3_Survival_Probs'!D1604</f>
        <v>0.902151646866693</v>
      </c>
      <c r="E1604" s="12">
        <f>'3_Survival_Probs'!D1605</f>
        <v>0.902076088571173</v>
      </c>
      <c r="F1604" s="14">
        <f t="shared" si="60"/>
        <v>7.5558295520084e-5</v>
      </c>
      <c r="G1604" s="32">
        <f>(1-recovery)*notional*C1604*F1604</f>
        <v>397.43596097671</v>
      </c>
      <c r="H1604" s="14">
        <f t="shared" si="59"/>
        <v>9.25535799534807e-6</v>
      </c>
      <c r="I1604" s="33"/>
    </row>
    <row r="1605" spans="1:9">
      <c r="A1605" s="4">
        <v>1603</v>
      </c>
      <c r="B1605" s="6">
        <f>'2_Discount_Factors'!B1606</f>
        <v>4.39178082191781</v>
      </c>
      <c r="C1605" s="6">
        <f>EXP(-r_free*(('2_Discount_Factors'!B1605+'2_Discount_Factors'!B1606)/2))</f>
        <v>0.87659312943801</v>
      </c>
      <c r="D1605" s="6">
        <f>'3_Survival_Probs'!D1605</f>
        <v>0.902076088571173</v>
      </c>
      <c r="E1605" s="6">
        <f>'3_Survival_Probs'!D1606</f>
        <v>0.902000536603919</v>
      </c>
      <c r="F1605" s="8">
        <f t="shared" si="60"/>
        <v>7.55519672536176e-5</v>
      </c>
      <c r="G1605" s="29">
        <f>(1-recovery)*notional*C1605*F1605</f>
        <v>397.37001246028</v>
      </c>
      <c r="H1605" s="8">
        <f t="shared" si="59"/>
        <v>9.43526970225328e-6</v>
      </c>
      <c r="I1605" s="30"/>
    </row>
    <row r="1606" spans="1:9">
      <c r="A1606" s="10">
        <v>1604</v>
      </c>
      <c r="B1606" s="12">
        <f>'2_Discount_Factors'!B1607</f>
        <v>4.39452054794521</v>
      </c>
      <c r="C1606" s="12">
        <f>EXP(-r_free*(('2_Discount_Factors'!B1606+'2_Discount_Factors'!B1607)/2))</f>
        <v>0.876521083648472</v>
      </c>
      <c r="D1606" s="12">
        <f>'3_Survival_Probs'!D1606</f>
        <v>0.902000536603919</v>
      </c>
      <c r="E1606" s="12">
        <f>'3_Survival_Probs'!D1607</f>
        <v>0.901924990964402</v>
      </c>
      <c r="F1606" s="14">
        <f t="shared" si="60"/>
        <v>7.55456395171716e-5</v>
      </c>
      <c r="G1606" s="32">
        <f>(1-recovery)*notional*C1606*F1606</f>
        <v>397.304074887049</v>
      </c>
      <c r="H1606" s="14">
        <f t="shared" si="59"/>
        <v>9.61512144703822e-6</v>
      </c>
      <c r="I1606" s="33"/>
    </row>
    <row r="1607" spans="1:9">
      <c r="A1607" s="4">
        <v>1605</v>
      </c>
      <c r="B1607" s="6">
        <f>'2_Discount_Factors'!B1608</f>
        <v>4.3972602739726</v>
      </c>
      <c r="C1607" s="6">
        <f>EXP(-r_free*(('2_Discount_Factors'!B1607+'2_Discount_Factors'!B1608)/2))</f>
        <v>0.876449043780262</v>
      </c>
      <c r="D1607" s="6">
        <f>'3_Survival_Probs'!D1607</f>
        <v>0.901924990964402</v>
      </c>
      <c r="E1607" s="6">
        <f>'3_Survival_Probs'!D1608</f>
        <v>0.901849451652092</v>
      </c>
      <c r="F1607" s="8">
        <f t="shared" si="60"/>
        <v>7.55393123106352e-5</v>
      </c>
      <c r="G1607" s="29">
        <f>(1-recovery)*notional*C1607*F1607</f>
        <v>397.238148254849</v>
      </c>
      <c r="H1607" s="8">
        <f t="shared" si="59"/>
        <v>9.79491324464016e-6</v>
      </c>
      <c r="I1607" s="30"/>
    </row>
    <row r="1608" spans="1:9">
      <c r="A1608" s="10">
        <v>1606</v>
      </c>
      <c r="B1608" s="12">
        <f>'2_Discount_Factors'!B1609</f>
        <v>4.4</v>
      </c>
      <c r="C1608" s="12">
        <f>EXP(-r_free*(('2_Discount_Factors'!B1608+'2_Discount_Factors'!B1609)/2))</f>
        <v>0.876377009832894</v>
      </c>
      <c r="D1608" s="12">
        <f>'3_Survival_Probs'!D1608</f>
        <v>0.901849451652092</v>
      </c>
      <c r="E1608" s="12">
        <f>'3_Survival_Probs'!D1609</f>
        <v>0.901773918666457</v>
      </c>
      <c r="F1608" s="14">
        <f t="shared" si="60"/>
        <v>7.55329856341191e-5</v>
      </c>
      <c r="G1608" s="32">
        <f>(1-recovery)*notional*C1608*F1608</f>
        <v>397.172232562682</v>
      </c>
      <c r="H1608" s="14">
        <f t="shared" si="59"/>
        <v>9.97464511002175e-6</v>
      </c>
      <c r="I1608" s="33"/>
    </row>
    <row r="1609" spans="1:9">
      <c r="A1609" s="4">
        <v>1607</v>
      </c>
      <c r="B1609" s="6">
        <f>'2_Discount_Factors'!B1610</f>
        <v>4.4027397260274</v>
      </c>
      <c r="C1609" s="6">
        <f>EXP(-r_free*(('2_Discount_Factors'!B1609+'2_Discount_Factors'!B1610)/2))</f>
        <v>0.876304981805881</v>
      </c>
      <c r="D1609" s="6">
        <f>'3_Survival_Probs'!D1609</f>
        <v>0.901773918666457</v>
      </c>
      <c r="E1609" s="6">
        <f>'3_Survival_Probs'!D1610</f>
        <v>0.90169839200697</v>
      </c>
      <c r="F1609" s="8">
        <f t="shared" si="60"/>
        <v>7.55266594874016e-5</v>
      </c>
      <c r="G1609" s="29">
        <f>(1-recovery)*notional*C1609*F1609</f>
        <v>397.106327807798</v>
      </c>
      <c r="H1609" s="8">
        <f t="shared" si="59"/>
        <v>1.0154317058099e-5</v>
      </c>
      <c r="I1609" s="30"/>
    </row>
    <row r="1610" spans="1:9">
      <c r="A1610" s="10">
        <v>1608</v>
      </c>
      <c r="B1610" s="12">
        <f>'2_Discount_Factors'!B1611</f>
        <v>4.40547945205479</v>
      </c>
      <c r="C1610" s="12">
        <f>EXP(-r_free*(('2_Discount_Factors'!B1610+'2_Discount_Factors'!B1611)/2))</f>
        <v>0.876232959698736</v>
      </c>
      <c r="D1610" s="12">
        <f>'3_Survival_Probs'!D1610</f>
        <v>0.90169839200697</v>
      </c>
      <c r="E1610" s="12">
        <f>'3_Survival_Probs'!D1611</f>
        <v>0.901622871673099</v>
      </c>
      <c r="F1610" s="14">
        <f t="shared" si="60"/>
        <v>7.55203338705934e-5</v>
      </c>
      <c r="G1610" s="32">
        <f>(1-recovery)*notional*C1610*F1610</f>
        <v>397.040433989201</v>
      </c>
      <c r="H1610" s="14">
        <f t="shared" si="59"/>
        <v>1.03339291038285e-5</v>
      </c>
      <c r="I1610" s="33"/>
    </row>
    <row r="1611" spans="1:9">
      <c r="A1611" s="4">
        <v>1609</v>
      </c>
      <c r="B1611" s="6">
        <f>'2_Discount_Factors'!B1612</f>
        <v>4.40821917808219</v>
      </c>
      <c r="C1611" s="6">
        <f>EXP(-r_free*(('2_Discount_Factors'!B1611+'2_Discount_Factors'!B1612)/2))</f>
        <v>0.876160943510974</v>
      </c>
      <c r="D1611" s="6">
        <f>'3_Survival_Probs'!D1611</f>
        <v>0.901622871673099</v>
      </c>
      <c r="E1611" s="6">
        <f>'3_Survival_Probs'!D1612</f>
        <v>0.901547357664316</v>
      </c>
      <c r="F1611" s="8">
        <f t="shared" si="60"/>
        <v>7.55140087834727e-5</v>
      </c>
      <c r="G1611" s="29">
        <f>(1-recovery)*notional*C1611*F1611</f>
        <v>396.97455110414</v>
      </c>
      <c r="H1611" s="8">
        <f t="shared" si="59"/>
        <v>1.05134812621188e-5</v>
      </c>
      <c r="I1611" s="30"/>
    </row>
    <row r="1612" spans="1:9">
      <c r="A1612" s="10">
        <v>1610</v>
      </c>
      <c r="B1612" s="12">
        <f>'2_Discount_Factors'!B1613</f>
        <v>4.41095890410959</v>
      </c>
      <c r="C1612" s="12">
        <f>EXP(-r_free*(('2_Discount_Factors'!B1612+'2_Discount_Factors'!B1613)/2))</f>
        <v>0.876088933242106</v>
      </c>
      <c r="D1612" s="12">
        <f>'3_Survival_Probs'!D1612</f>
        <v>0.901547357664316</v>
      </c>
      <c r="E1612" s="12">
        <f>'3_Survival_Probs'!D1613</f>
        <v>0.90147184998009</v>
      </c>
      <c r="F1612" s="14">
        <f t="shared" si="60"/>
        <v>7.55076842261504e-5</v>
      </c>
      <c r="G1612" s="32">
        <f>(1-recovery)*notional*C1612*F1612</f>
        <v>396.90867915162</v>
      </c>
      <c r="H1612" s="14">
        <f t="shared" si="59"/>
        <v>1.06929735479204e-5</v>
      </c>
      <c r="I1612" s="33"/>
    </row>
    <row r="1613" spans="1:9">
      <c r="A1613" s="4">
        <v>1611</v>
      </c>
      <c r="B1613" s="6">
        <f>'2_Discount_Factors'!B1614</f>
        <v>4.41369863013699</v>
      </c>
      <c r="C1613" s="6">
        <f>EXP(-r_free*(('2_Discount_Factors'!B1613+'2_Discount_Factors'!B1614)/2))</f>
        <v>0.876016928891648</v>
      </c>
      <c r="D1613" s="6">
        <f>'3_Survival_Probs'!D1613</f>
        <v>0.90147184998009</v>
      </c>
      <c r="E1613" s="6">
        <f>'3_Survival_Probs'!D1614</f>
        <v>0.901396348619891</v>
      </c>
      <c r="F1613" s="8">
        <f t="shared" si="60"/>
        <v>7.55013601986265e-5</v>
      </c>
      <c r="G1613" s="29">
        <f>(1-recovery)*notional*C1613*F1613</f>
        <v>396.842818130058</v>
      </c>
      <c r="H1613" s="8">
        <f t="shared" si="59"/>
        <v>1.0872405976166e-5</v>
      </c>
      <c r="I1613" s="30"/>
    </row>
    <row r="1614" spans="1:9">
      <c r="A1614" s="10">
        <v>1612</v>
      </c>
      <c r="B1614" s="12">
        <f>'2_Discount_Factors'!B1615</f>
        <v>4.41643835616438</v>
      </c>
      <c r="C1614" s="12">
        <f>EXP(-r_free*(('2_Discount_Factors'!B1614+'2_Discount_Factors'!B1615)/2))</f>
        <v>0.875944930459113</v>
      </c>
      <c r="D1614" s="12">
        <f>'3_Survival_Probs'!D1614</f>
        <v>0.901396348619891</v>
      </c>
      <c r="E1614" s="12">
        <f>'3_Survival_Probs'!D1615</f>
        <v>0.90132085358319</v>
      </c>
      <c r="F1614" s="14">
        <f t="shared" si="60"/>
        <v>7.5495036700679e-5</v>
      </c>
      <c r="G1614" s="32">
        <f>(1-recovery)*notional*C1614*F1614</f>
        <v>396.776968036707</v>
      </c>
      <c r="H1614" s="14">
        <f t="shared" si="59"/>
        <v>1.10517785617531e-5</v>
      </c>
      <c r="I1614" s="33"/>
    </row>
    <row r="1615" spans="1:9">
      <c r="A1615" s="4">
        <v>1613</v>
      </c>
      <c r="B1615" s="6">
        <f>'2_Discount_Factors'!B1616</f>
        <v>4.41917808219178</v>
      </c>
      <c r="C1615" s="6">
        <f>EXP(-r_free*(('2_Discount_Factors'!B1615+'2_Discount_Factors'!B1616)/2))</f>
        <v>0.875872937944013</v>
      </c>
      <c r="D1615" s="6">
        <f>'3_Survival_Probs'!D1615</f>
        <v>0.90132085358319</v>
      </c>
      <c r="E1615" s="6">
        <f>'3_Survival_Probs'!D1616</f>
        <v>0.901245364869458</v>
      </c>
      <c r="F1615" s="8">
        <f t="shared" si="60"/>
        <v>7.54887137323079e-5</v>
      </c>
      <c r="G1615" s="29">
        <f>(1-recovery)*notional*C1615*F1615</f>
        <v>396.711128869987</v>
      </c>
      <c r="H1615" s="8">
        <f t="shared" si="59"/>
        <v>1.1231091319607e-5</v>
      </c>
      <c r="I1615" s="30"/>
    </row>
    <row r="1616" spans="1:9">
      <c r="A1616" s="10">
        <v>1614</v>
      </c>
      <c r="B1616" s="12">
        <f>'2_Discount_Factors'!B1617</f>
        <v>4.42191780821918</v>
      </c>
      <c r="C1616" s="12">
        <f>EXP(-r_free*(('2_Discount_Factors'!B1616+'2_Discount_Factors'!B1617)/2))</f>
        <v>0.875800951345864</v>
      </c>
      <c r="D1616" s="12">
        <f>'3_Survival_Probs'!D1616</f>
        <v>0.901245364869458</v>
      </c>
      <c r="E1616" s="12">
        <f>'3_Survival_Probs'!D1617</f>
        <v>0.901169882478165</v>
      </c>
      <c r="F1616" s="14">
        <f t="shared" si="60"/>
        <v>7.54823912935132e-5</v>
      </c>
      <c r="G1616" s="32">
        <f>(1-recovery)*notional*C1616*F1616</f>
        <v>396.645300628318</v>
      </c>
      <c r="H1616" s="14">
        <f t="shared" si="59"/>
        <v>1.14103442646503e-5</v>
      </c>
      <c r="I1616" s="33"/>
    </row>
    <row r="1617" spans="1:9">
      <c r="A1617" s="4">
        <v>1615</v>
      </c>
      <c r="B1617" s="6">
        <f>'2_Discount_Factors'!B1618</f>
        <v>4.42465753424658</v>
      </c>
      <c r="C1617" s="6">
        <f>EXP(-r_free*(('2_Discount_Factors'!B1617+'2_Discount_Factors'!B1618)/2))</f>
        <v>0.875728970664178</v>
      </c>
      <c r="D1617" s="6">
        <f>'3_Survival_Probs'!D1617</f>
        <v>0.901169882478165</v>
      </c>
      <c r="E1617" s="6">
        <f>'3_Survival_Probs'!D1618</f>
        <v>0.90109440640878</v>
      </c>
      <c r="F1617" s="8">
        <f t="shared" si="60"/>
        <v>7.54760693842949e-5</v>
      </c>
      <c r="G1617" s="29">
        <f>(1-recovery)*notional*C1617*F1617</f>
        <v>396.57948331012</v>
      </c>
      <c r="H1617" s="8">
        <f t="shared" si="59"/>
        <v>1.15895374118027e-5</v>
      </c>
      <c r="I1617" s="30"/>
    </row>
    <row r="1618" spans="1:9">
      <c r="A1618" s="10">
        <v>1616</v>
      </c>
      <c r="B1618" s="12">
        <f>'2_Discount_Factors'!B1619</f>
        <v>4.42739726027397</v>
      </c>
      <c r="C1618" s="12">
        <f>EXP(-r_free*(('2_Discount_Factors'!B1618+'2_Discount_Factors'!B1619)/2))</f>
        <v>0.875656995898469</v>
      </c>
      <c r="D1618" s="12">
        <f>'3_Survival_Probs'!D1618</f>
        <v>0.90109440640878</v>
      </c>
      <c r="E1618" s="12">
        <f>'3_Survival_Probs'!D1619</f>
        <v>0.901018936660776</v>
      </c>
      <c r="F1618" s="14">
        <f t="shared" si="60"/>
        <v>7.54697480045419e-5</v>
      </c>
      <c r="G1618" s="32">
        <f>(1-recovery)*notional*C1618*F1618</f>
        <v>396.51367691323</v>
      </c>
      <c r="H1618" s="14">
        <f t="shared" ref="H1618:H1644" si="61">C1618*(B1618-4.24931506849315)*F1618</f>
        <v>1.17686707759635e-5</v>
      </c>
      <c r="I1618" s="33"/>
    </row>
    <row r="1619" spans="1:9">
      <c r="A1619" s="4">
        <v>1617</v>
      </c>
      <c r="B1619" s="6">
        <f>'2_Discount_Factors'!B1620</f>
        <v>4.43013698630137</v>
      </c>
      <c r="C1619" s="6">
        <f>EXP(-r_free*(('2_Discount_Factors'!B1619+'2_Discount_Factors'!B1620)/2))</f>
        <v>0.875585027048252</v>
      </c>
      <c r="D1619" s="6">
        <f>'3_Survival_Probs'!D1619</f>
        <v>0.901018936660776</v>
      </c>
      <c r="E1619" s="6">
        <f>'3_Survival_Probs'!D1620</f>
        <v>0.900943473233622</v>
      </c>
      <c r="F1619" s="8">
        <f t="shared" si="60"/>
        <v>7.54634271542542e-5</v>
      </c>
      <c r="G1619" s="29">
        <f>(1-recovery)*notional*C1619*F1619</f>
        <v>396.447881436069</v>
      </c>
      <c r="H1619" s="8">
        <f t="shared" si="61"/>
        <v>1.19477443720459e-5</v>
      </c>
      <c r="I1619" s="30"/>
    </row>
    <row r="1620" spans="1:9">
      <c r="A1620" s="10">
        <v>1618</v>
      </c>
      <c r="B1620" s="12">
        <f>'2_Discount_Factors'!B1621</f>
        <v>4.43287671232877</v>
      </c>
      <c r="C1620" s="12">
        <f>EXP(-r_free*(('2_Discount_Factors'!B1620+'2_Discount_Factors'!B1621)/2))</f>
        <v>0.875513064113039</v>
      </c>
      <c r="D1620" s="12">
        <f>'3_Survival_Probs'!D1620</f>
        <v>0.900943473233622</v>
      </c>
      <c r="E1620" s="12">
        <f>'3_Survival_Probs'!D1621</f>
        <v>0.900868016126788</v>
      </c>
      <c r="F1620" s="14">
        <f t="shared" si="60"/>
        <v>7.5457106833321e-5</v>
      </c>
      <c r="G1620" s="32">
        <f>(1-recovery)*notional*C1620*F1620</f>
        <v>396.382096876475</v>
      </c>
      <c r="H1620" s="14">
        <f t="shared" si="61"/>
        <v>1.21267582149424e-5</v>
      </c>
      <c r="I1620" s="33"/>
    </row>
    <row r="1621" spans="1:9">
      <c r="A1621" s="4">
        <v>1619</v>
      </c>
      <c r="B1621" s="6">
        <f>'2_Discount_Factors'!B1622</f>
        <v>4.43561643835616</v>
      </c>
      <c r="C1621" s="6">
        <f>EXP(-r_free*(('2_Discount_Factors'!B1621+'2_Discount_Factors'!B1622)/2))</f>
        <v>0.875441107092345</v>
      </c>
      <c r="D1621" s="6">
        <f>'3_Survival_Probs'!D1621</f>
        <v>0.900868016126788</v>
      </c>
      <c r="E1621" s="6">
        <f>'3_Survival_Probs'!D1622</f>
        <v>0.900792565339746</v>
      </c>
      <c r="F1621" s="8">
        <f t="shared" si="60"/>
        <v>7.5450787041742e-5</v>
      </c>
      <c r="G1621" s="29">
        <f>(1-recovery)*notional*C1621*F1621</f>
        <v>396.316323232868</v>
      </c>
      <c r="H1621" s="8">
        <f t="shared" si="61"/>
        <v>1.23057123195594e-5</v>
      </c>
      <c r="I1621" s="30"/>
    </row>
    <row r="1622" spans="1:9">
      <c r="A1622" s="10">
        <v>1620</v>
      </c>
      <c r="B1622" s="12">
        <f>'2_Discount_Factors'!B1623</f>
        <v>4.43835616438356</v>
      </c>
      <c r="C1622" s="12">
        <f>EXP(-r_free*(('2_Discount_Factors'!B1622+'2_Discount_Factors'!B1623)/2))</f>
        <v>0.875369155985684</v>
      </c>
      <c r="D1622" s="12">
        <f>'3_Survival_Probs'!D1622</f>
        <v>0.900792565339746</v>
      </c>
      <c r="E1622" s="12">
        <f>'3_Survival_Probs'!D1623</f>
        <v>0.900717120871967</v>
      </c>
      <c r="F1622" s="14">
        <f t="shared" si="60"/>
        <v>7.54444677794064e-5</v>
      </c>
      <c r="G1622" s="32">
        <f>(1-recovery)*notional*C1622*F1622</f>
        <v>396.250560503089</v>
      </c>
      <c r="H1622" s="14">
        <f t="shared" si="61"/>
        <v>1.24846067007823e-5</v>
      </c>
      <c r="I1622" s="33"/>
    </row>
    <row r="1623" spans="1:9">
      <c r="A1623" s="4">
        <v>1621</v>
      </c>
      <c r="B1623" s="6">
        <f>'2_Discount_Factors'!B1624</f>
        <v>4.44109589041096</v>
      </c>
      <c r="C1623" s="6">
        <f>EXP(-r_free*(('2_Discount_Factors'!B1623+'2_Discount_Factors'!B1624)/2))</f>
        <v>0.875297210792569</v>
      </c>
      <c r="D1623" s="6">
        <f>'3_Survival_Probs'!D1623</f>
        <v>0.900717120871967</v>
      </c>
      <c r="E1623" s="6">
        <f>'3_Survival_Probs'!D1624</f>
        <v>0.900641682722921</v>
      </c>
      <c r="F1623" s="8">
        <f t="shared" si="60"/>
        <v>7.54381490464251e-5</v>
      </c>
      <c r="G1623" s="29">
        <f>(1-recovery)*notional*C1623*F1623</f>
        <v>396.18480868614</v>
      </c>
      <c r="H1623" s="8">
        <f t="shared" si="61"/>
        <v>1.26634413735296e-5</v>
      </c>
      <c r="I1623" s="30"/>
    </row>
    <row r="1624" spans="1:9">
      <c r="A1624" s="10">
        <v>1622</v>
      </c>
      <c r="B1624" s="12">
        <f>'2_Discount_Factors'!B1625</f>
        <v>4.44383561643836</v>
      </c>
      <c r="C1624" s="12">
        <f>EXP(-r_free*(('2_Discount_Factors'!B1624+'2_Discount_Factors'!B1625)/2))</f>
        <v>0.875225271512515</v>
      </c>
      <c r="D1624" s="12">
        <f>'3_Survival_Probs'!D1624</f>
        <v>0.900641682722921</v>
      </c>
      <c r="E1624" s="12">
        <f>'3_Survival_Probs'!D1625</f>
        <v>0.900566250892078</v>
      </c>
      <c r="F1624" s="14">
        <f t="shared" si="60"/>
        <v>7.54318308426871e-5</v>
      </c>
      <c r="G1624" s="32">
        <f>(1-recovery)*notional*C1624*F1624</f>
        <v>396.119067779862</v>
      </c>
      <c r="H1624" s="14">
        <f t="shared" si="61"/>
        <v>1.28422163526805e-5</v>
      </c>
      <c r="I1624" s="33"/>
    </row>
    <row r="1625" spans="1:9">
      <c r="A1625" s="4">
        <v>1623</v>
      </c>
      <c r="B1625" s="6">
        <f>'2_Discount_Factors'!B1626</f>
        <v>4.44657534246575</v>
      </c>
      <c r="C1625" s="6">
        <f>EXP(-r_free*(('2_Discount_Factors'!B1625+'2_Discount_Factors'!B1626)/2))</f>
        <v>0.875153338145035</v>
      </c>
      <c r="D1625" s="6">
        <f>'3_Survival_Probs'!D1625</f>
        <v>0.900566250892078</v>
      </c>
      <c r="E1625" s="6">
        <f>'3_Survival_Probs'!D1626</f>
        <v>0.90049082537891</v>
      </c>
      <c r="F1625" s="8">
        <f t="shared" si="60"/>
        <v>7.54255131680814e-5</v>
      </c>
      <c r="G1625" s="29">
        <f>(1-recovery)*notional*C1625*F1625</f>
        <v>396.053337782093</v>
      </c>
      <c r="H1625" s="8">
        <f t="shared" si="61"/>
        <v>1.302093165311e-5</v>
      </c>
      <c r="I1625" s="30"/>
    </row>
    <row r="1626" spans="1:9">
      <c r="A1626" s="10">
        <v>1624</v>
      </c>
      <c r="B1626" s="12">
        <f>'2_Discount_Factors'!B1627</f>
        <v>4.44931506849315</v>
      </c>
      <c r="C1626" s="12">
        <f>EXP(-r_free*(('2_Discount_Factors'!B1626+'2_Discount_Factors'!B1627)/2))</f>
        <v>0.875081410689644</v>
      </c>
      <c r="D1626" s="12">
        <f>'3_Survival_Probs'!D1626</f>
        <v>0.90049082537891</v>
      </c>
      <c r="E1626" s="12">
        <f>'3_Survival_Probs'!D1627</f>
        <v>0.900415406182887</v>
      </c>
      <c r="F1626" s="14">
        <f t="shared" si="60"/>
        <v>7.5419196022497e-5</v>
      </c>
      <c r="G1626" s="32">
        <f>(1-recovery)*notional*C1626*F1626</f>
        <v>395.987618690673</v>
      </c>
      <c r="H1626" s="14">
        <f t="shared" si="61"/>
        <v>1.31995872896892e-5</v>
      </c>
      <c r="I1626" s="33"/>
    </row>
    <row r="1627" spans="1:9">
      <c r="A1627" s="4">
        <v>1625</v>
      </c>
      <c r="B1627" s="6">
        <f>'2_Discount_Factors'!B1628</f>
        <v>4.45205479452055</v>
      </c>
      <c r="C1627" s="6">
        <f>EXP(-r_free*(('2_Discount_Factors'!B1627+'2_Discount_Factors'!B1628)/2))</f>
        <v>0.875009489145856</v>
      </c>
      <c r="D1627" s="6">
        <f>'3_Survival_Probs'!D1627</f>
        <v>0.900415406182887</v>
      </c>
      <c r="E1627" s="6">
        <f>'3_Survival_Probs'!D1628</f>
        <v>0.900339993303481</v>
      </c>
      <c r="F1627" s="8">
        <f t="shared" si="60"/>
        <v>7.54128794061559e-5</v>
      </c>
      <c r="G1627" s="29">
        <f>(1-recovery)*notional*C1627*F1627</f>
        <v>395.921910505191</v>
      </c>
      <c r="H1627" s="8">
        <f t="shared" si="61"/>
        <v>1.33781832773444e-5</v>
      </c>
      <c r="I1627" s="30"/>
    </row>
    <row r="1628" spans="1:9">
      <c r="A1628" s="10">
        <v>1626</v>
      </c>
      <c r="B1628" s="12">
        <f>'2_Discount_Factors'!B1629</f>
        <v>4.45479452054794</v>
      </c>
      <c r="C1628" s="12">
        <f>EXP(-r_free*(('2_Discount_Factors'!B1628+'2_Discount_Factors'!B1629)/2))</f>
        <v>0.874937573513184</v>
      </c>
      <c r="D1628" s="12">
        <f>'3_Survival_Probs'!D1628</f>
        <v>0.900339993303481</v>
      </c>
      <c r="E1628" s="12">
        <f>'3_Survival_Probs'!D1629</f>
        <v>0.900264586740163</v>
      </c>
      <c r="F1628" s="14">
        <f t="shared" si="60"/>
        <v>7.54065633187251e-5</v>
      </c>
      <c r="G1628" s="32">
        <f>(1-recovery)*notional*C1628*F1628</f>
        <v>395.856213222322</v>
      </c>
      <c r="H1628" s="14">
        <f t="shared" si="61"/>
        <v>1.35567196309015e-5</v>
      </c>
      <c r="I1628" s="33"/>
    </row>
    <row r="1629" spans="1:9">
      <c r="A1629" s="4">
        <v>1627</v>
      </c>
      <c r="B1629" s="6">
        <f>'2_Discount_Factors'!B1630</f>
        <v>4.45753424657534</v>
      </c>
      <c r="C1629" s="6">
        <f>EXP(-r_free*(('2_Discount_Factors'!B1629+'2_Discount_Factors'!B1630)/2))</f>
        <v>0.874865663791144</v>
      </c>
      <c r="D1629" s="6">
        <f>'3_Survival_Probs'!D1629</f>
        <v>0.900264586740163</v>
      </c>
      <c r="E1629" s="6">
        <f>'3_Survival_Probs'!D1630</f>
        <v>0.900189186492402</v>
      </c>
      <c r="F1629" s="8">
        <f t="shared" si="60"/>
        <v>7.54002477603155e-5</v>
      </c>
      <c r="G1629" s="29">
        <f>(1-recovery)*notional*C1629*F1629</f>
        <v>395.790526841071</v>
      </c>
      <c r="H1629" s="8">
        <f t="shared" si="61"/>
        <v>1.37351963652609e-5</v>
      </c>
      <c r="I1629" s="30"/>
    </row>
    <row r="1630" spans="1:9">
      <c r="A1630" s="10">
        <v>1628</v>
      </c>
      <c r="B1630" s="12">
        <f>'2_Discount_Factors'!B1631</f>
        <v>4.46027397260274</v>
      </c>
      <c r="C1630" s="12">
        <f>EXP(-r_free*(('2_Discount_Factors'!B1630+'2_Discount_Factors'!B1631)/2))</f>
        <v>0.874793759979248</v>
      </c>
      <c r="D1630" s="12">
        <f>'3_Survival_Probs'!D1630</f>
        <v>0.900189186492402</v>
      </c>
      <c r="E1630" s="12">
        <f>'3_Survival_Probs'!D1631</f>
        <v>0.900113792559671</v>
      </c>
      <c r="F1630" s="14">
        <f t="shared" si="60"/>
        <v>7.53939327309272e-5</v>
      </c>
      <c r="G1630" s="32">
        <f>(1-recovery)*notional*C1630*F1630</f>
        <v>395.724851359862</v>
      </c>
      <c r="H1630" s="14">
        <f t="shared" si="61"/>
        <v>1.39136134953011e-5</v>
      </c>
      <c r="I1630" s="33"/>
    </row>
    <row r="1631" spans="1:9">
      <c r="A1631" s="4">
        <v>1629</v>
      </c>
      <c r="B1631" s="6">
        <f>'2_Discount_Factors'!B1632</f>
        <v>4.46301369863014</v>
      </c>
      <c r="C1631" s="6">
        <f>EXP(-r_free*(('2_Discount_Factors'!B1631+'2_Discount_Factors'!B1632)/2))</f>
        <v>0.874721862077013</v>
      </c>
      <c r="D1631" s="6">
        <f>'3_Survival_Probs'!D1631</f>
        <v>0.900113792559671</v>
      </c>
      <c r="E1631" s="6">
        <f>'3_Survival_Probs'!D1632</f>
        <v>0.900038404941441</v>
      </c>
      <c r="F1631" s="8">
        <f t="shared" si="60"/>
        <v>7.53876182304491e-5</v>
      </c>
      <c r="G1631" s="29">
        <f>(1-recovery)*notional*C1631*F1631</f>
        <v>395.659186776537</v>
      </c>
      <c r="H1631" s="8">
        <f t="shared" si="61"/>
        <v>1.40919710358767e-5</v>
      </c>
      <c r="I1631" s="30"/>
    </row>
    <row r="1632" spans="1:9">
      <c r="A1632" s="10">
        <v>1630</v>
      </c>
      <c r="B1632" s="12">
        <f>'2_Discount_Factors'!B1633</f>
        <v>4.46575342465753</v>
      </c>
      <c r="C1632" s="12">
        <f>EXP(-r_free*(('2_Discount_Factors'!B1632+'2_Discount_Factors'!B1633)/2))</f>
        <v>0.874649970083951</v>
      </c>
      <c r="D1632" s="12">
        <f>'3_Survival_Probs'!D1632</f>
        <v>0.900038404941441</v>
      </c>
      <c r="E1632" s="12">
        <f>'3_Survival_Probs'!D1633</f>
        <v>0.899963023637182</v>
      </c>
      <c r="F1632" s="14">
        <f t="shared" si="60"/>
        <v>7.53813042587703e-5</v>
      </c>
      <c r="G1632" s="32">
        <f>(1-recovery)*notional*C1632*F1632</f>
        <v>395.593533088936</v>
      </c>
      <c r="H1632" s="14">
        <f t="shared" si="61"/>
        <v>1.42702690018384e-5</v>
      </c>
      <c r="I1632" s="33"/>
    </row>
    <row r="1633" spans="1:9">
      <c r="A1633" s="4">
        <v>1631</v>
      </c>
      <c r="B1633" s="6">
        <f>'2_Discount_Factors'!B1634</f>
        <v>4.46849315068493</v>
      </c>
      <c r="C1633" s="6">
        <f>EXP(-r_free*(('2_Discount_Factors'!B1633+'2_Discount_Factors'!B1634)/2))</f>
        <v>0.874578083999577</v>
      </c>
      <c r="D1633" s="6">
        <f>'3_Survival_Probs'!D1633</f>
        <v>0.899963023637182</v>
      </c>
      <c r="E1633" s="6">
        <f>'3_Survival_Probs'!D1634</f>
        <v>0.899887648646366</v>
      </c>
      <c r="F1633" s="8">
        <f t="shared" si="60"/>
        <v>7.53749908158907e-5</v>
      </c>
      <c r="G1633" s="29">
        <f>(1-recovery)*notional*C1633*F1633</f>
        <v>395.527890295484</v>
      </c>
      <c r="H1633" s="8">
        <f t="shared" si="61"/>
        <v>1.44485074080543e-5</v>
      </c>
      <c r="I1633" s="30"/>
    </row>
    <row r="1634" spans="1:9">
      <c r="A1634" s="10">
        <v>1632</v>
      </c>
      <c r="B1634" s="12">
        <f>'2_Discount_Factors'!B1635</f>
        <v>4.47123287671233</v>
      </c>
      <c r="C1634" s="12">
        <f>EXP(-r_free*(('2_Discount_Factors'!B1634+'2_Discount_Factors'!B1635)/2))</f>
        <v>0.874506203823405</v>
      </c>
      <c r="D1634" s="12">
        <f>'3_Survival_Probs'!D1634</f>
        <v>0.899887648646366</v>
      </c>
      <c r="E1634" s="12">
        <f>'3_Survival_Probs'!D1635</f>
        <v>0.899812279968464</v>
      </c>
      <c r="F1634" s="14">
        <f t="shared" si="60"/>
        <v>7.53686779018103e-5</v>
      </c>
      <c r="G1634" s="32">
        <f>(1-recovery)*notional*C1634*F1634</f>
        <v>395.462258394607</v>
      </c>
      <c r="H1634" s="14">
        <f t="shared" si="61"/>
        <v>1.46266862693896e-5</v>
      </c>
      <c r="I1634" s="33"/>
    </row>
    <row r="1635" spans="1:9">
      <c r="A1635" s="4">
        <v>1633</v>
      </c>
      <c r="B1635" s="6">
        <f>'2_Discount_Factors'!B1636</f>
        <v>4.47397260273973</v>
      </c>
      <c r="C1635" s="6">
        <f>EXP(-r_free*(('2_Discount_Factors'!B1635+'2_Discount_Factors'!B1636)/2))</f>
        <v>0.874434329554951</v>
      </c>
      <c r="D1635" s="6">
        <f>'3_Survival_Probs'!D1635</f>
        <v>0.899812279968464</v>
      </c>
      <c r="E1635" s="6">
        <f>'3_Survival_Probs'!D1636</f>
        <v>0.899736917602948</v>
      </c>
      <c r="F1635" s="8">
        <f t="shared" si="60"/>
        <v>7.53623655164182e-5</v>
      </c>
      <c r="G1635" s="29">
        <f>(1-recovery)*notional*C1635*F1635</f>
        <v>395.396637384146</v>
      </c>
      <c r="H1635" s="8">
        <f t="shared" si="61"/>
        <v>1.4804805600685e-5</v>
      </c>
      <c r="I1635" s="30"/>
    </row>
    <row r="1636" spans="1:9">
      <c r="A1636" s="10">
        <v>1634</v>
      </c>
      <c r="B1636" s="12">
        <f>'2_Discount_Factors'!B1637</f>
        <v>4.47671232876712</v>
      </c>
      <c r="C1636" s="12">
        <f>EXP(-r_free*(('2_Discount_Factors'!B1636+'2_Discount_Factors'!B1637)/2))</f>
        <v>0.874362461193728</v>
      </c>
      <c r="D1636" s="12">
        <f>'3_Survival_Probs'!D1636</f>
        <v>0.899736917602948</v>
      </c>
      <c r="E1636" s="12">
        <f>'3_Survival_Probs'!D1637</f>
        <v>0.899661561549288</v>
      </c>
      <c r="F1636" s="14">
        <f t="shared" si="60"/>
        <v>7.53560536598252e-5</v>
      </c>
      <c r="G1636" s="32">
        <f>(1-recovery)*notional*C1636*F1636</f>
        <v>395.331027263108</v>
      </c>
      <c r="H1636" s="14">
        <f t="shared" si="61"/>
        <v>1.4982865416821e-5</v>
      </c>
      <c r="I1636" s="33"/>
    </row>
    <row r="1637" spans="1:9">
      <c r="A1637" s="4">
        <v>1635</v>
      </c>
      <c r="B1637" s="6">
        <f>'2_Discount_Factors'!B1638</f>
        <v>4.47945205479452</v>
      </c>
      <c r="C1637" s="6">
        <f>EXP(-r_free*(('2_Discount_Factors'!B1637+'2_Discount_Factors'!B1638)/2))</f>
        <v>0.87429059873925</v>
      </c>
      <c r="D1637" s="6">
        <f>'3_Survival_Probs'!D1637</f>
        <v>0.899661561549288</v>
      </c>
      <c r="E1637" s="6">
        <f>'3_Survival_Probs'!D1638</f>
        <v>0.899586211806956</v>
      </c>
      <c r="F1637" s="8">
        <f t="shared" si="60"/>
        <v>7.53497423318095e-5</v>
      </c>
      <c r="G1637" s="29">
        <f>(1-recovery)*notional*C1637*F1637</f>
        <v>395.265428028756</v>
      </c>
      <c r="H1637" s="8">
        <f t="shared" si="61"/>
        <v>1.51608657326098e-5</v>
      </c>
      <c r="I1637" s="30"/>
    </row>
    <row r="1638" spans="1:9">
      <c r="A1638" s="10">
        <v>1636</v>
      </c>
      <c r="B1638" s="12">
        <f>'2_Discount_Factors'!B1639</f>
        <v>4.48219178082192</v>
      </c>
      <c r="C1638" s="12">
        <f>EXP(-r_free*(('2_Discount_Factors'!B1638+'2_Discount_Factors'!B1639)/2))</f>
        <v>0.874218742191033</v>
      </c>
      <c r="D1638" s="12">
        <f>'3_Survival_Probs'!D1638</f>
        <v>0.899586211806956</v>
      </c>
      <c r="E1638" s="12">
        <f>'3_Survival_Probs'!D1639</f>
        <v>0.899510868375424</v>
      </c>
      <c r="F1638" s="14">
        <f t="shared" si="60"/>
        <v>7.53434315323709e-5</v>
      </c>
      <c r="G1638" s="32">
        <f>(1-recovery)*notional*C1638*F1638</f>
        <v>395.199839679513</v>
      </c>
      <c r="H1638" s="14">
        <f t="shared" si="61"/>
        <v>1.53388065629035e-5</v>
      </c>
      <c r="I1638" s="33"/>
    </row>
    <row r="1639" spans="1:9">
      <c r="A1639" s="4">
        <v>1637</v>
      </c>
      <c r="B1639" s="6">
        <f>'2_Discount_Factors'!B1640</f>
        <v>4.48493150684931</v>
      </c>
      <c r="C1639" s="6">
        <f>EXP(-r_free*(('2_Discount_Factors'!B1639+'2_Discount_Factors'!B1640)/2))</f>
        <v>0.874146891548591</v>
      </c>
      <c r="D1639" s="6">
        <f>'3_Survival_Probs'!D1639</f>
        <v>0.899510868375424</v>
      </c>
      <c r="E1639" s="6">
        <f>'3_Survival_Probs'!D1640</f>
        <v>0.899435531254162</v>
      </c>
      <c r="F1639" s="8">
        <f t="shared" si="60"/>
        <v>7.53371212615095e-5</v>
      </c>
      <c r="G1639" s="29">
        <f>(1-recovery)*notional*C1639*F1639</f>
        <v>395.134262213807</v>
      </c>
      <c r="H1639" s="8">
        <f t="shared" si="61"/>
        <v>1.55166879225514e-5</v>
      </c>
      <c r="I1639" s="30"/>
    </row>
    <row r="1640" spans="1:9">
      <c r="A1640" s="10">
        <v>1638</v>
      </c>
      <c r="B1640" s="12">
        <f>'2_Discount_Factors'!B1641</f>
        <v>4.48767123287671</v>
      </c>
      <c r="C1640" s="12">
        <f>EXP(-r_free*(('2_Discount_Factors'!B1640+'2_Discount_Factors'!B1641)/2))</f>
        <v>0.874075046811439</v>
      </c>
      <c r="D1640" s="12">
        <f>'3_Survival_Probs'!D1640</f>
        <v>0.899435531254162</v>
      </c>
      <c r="E1640" s="12">
        <f>'3_Survival_Probs'!D1641</f>
        <v>0.899360200442643</v>
      </c>
      <c r="F1640" s="14">
        <f t="shared" si="60"/>
        <v>7.53308115191142e-5</v>
      </c>
      <c r="G1640" s="32">
        <f>(1-recovery)*notional*C1640*F1640</f>
        <v>395.068695629481</v>
      </c>
      <c r="H1640" s="14">
        <f t="shared" si="61"/>
        <v>1.56945098263767e-5</v>
      </c>
      <c r="I1640" s="33"/>
    </row>
    <row r="1641" spans="1:9">
      <c r="A1641" s="4">
        <v>1639</v>
      </c>
      <c r="B1641" s="6">
        <f>'2_Discount_Factors'!B1642</f>
        <v>4.49041095890411</v>
      </c>
      <c r="C1641" s="6">
        <f>EXP(-r_free*(('2_Discount_Factors'!B1641+'2_Discount_Factors'!B1642)/2))</f>
        <v>0.874003207979091</v>
      </c>
      <c r="D1641" s="6">
        <f>'3_Survival_Probs'!D1641</f>
        <v>0.899360200442643</v>
      </c>
      <c r="E1641" s="6">
        <f>'3_Survival_Probs'!D1642</f>
        <v>0.899284875940338</v>
      </c>
      <c r="F1641" s="8">
        <f t="shared" si="60"/>
        <v>7.53245023051852e-5</v>
      </c>
      <c r="G1641" s="29">
        <f>(1-recovery)*notional*C1641*F1641</f>
        <v>395.003139924961</v>
      </c>
      <c r="H1641" s="8">
        <f t="shared" si="61"/>
        <v>1.58722722892222e-5</v>
      </c>
      <c r="I1641" s="30"/>
    </row>
    <row r="1642" spans="1:9">
      <c r="A1642" s="10">
        <v>1640</v>
      </c>
      <c r="B1642" s="12">
        <f>'2_Discount_Factors'!B1643</f>
        <v>4.49315068493151</v>
      </c>
      <c r="C1642" s="12">
        <f>EXP(-r_free*(('2_Discount_Factors'!B1642+'2_Discount_Factors'!B1643)/2))</f>
        <v>0.873931375051061</v>
      </c>
      <c r="D1642" s="12">
        <f>'3_Survival_Probs'!D1642</f>
        <v>0.899284875940338</v>
      </c>
      <c r="E1642" s="12">
        <f>'3_Survival_Probs'!D1643</f>
        <v>0.899209557746718</v>
      </c>
      <c r="F1642" s="14">
        <f t="shared" si="60"/>
        <v>7.53181936197223e-5</v>
      </c>
      <c r="G1642" s="32">
        <f>(1-recovery)*notional*C1642*F1642</f>
        <v>394.937595098676</v>
      </c>
      <c r="H1642" s="14">
        <f t="shared" si="61"/>
        <v>1.6049975325928e-5</v>
      </c>
      <c r="I1642" s="33"/>
    </row>
    <row r="1643" spans="1:9">
      <c r="A1643" s="4">
        <v>1641</v>
      </c>
      <c r="B1643" s="6">
        <f>'2_Discount_Factors'!B1644</f>
        <v>4.4958904109589</v>
      </c>
      <c r="C1643" s="6">
        <f>EXP(-r_free*(('2_Discount_Factors'!B1643+'2_Discount_Factors'!B1644)/2))</f>
        <v>0.873859548026866</v>
      </c>
      <c r="D1643" s="6">
        <f>'3_Survival_Probs'!D1643</f>
        <v>0.899209557746718</v>
      </c>
      <c r="E1643" s="6">
        <f>'3_Survival_Probs'!D1644</f>
        <v>0.899134245861256</v>
      </c>
      <c r="F1643" s="8">
        <f t="shared" si="60"/>
        <v>7.53118854626145e-5</v>
      </c>
      <c r="G1643" s="29">
        <f>(1-recovery)*notional*C1643*F1643</f>
        <v>394.872061148468</v>
      </c>
      <c r="H1643" s="8">
        <f t="shared" si="61"/>
        <v>1.6227618951307e-5</v>
      </c>
      <c r="I1643" s="30"/>
    </row>
    <row r="1644" spans="1:9">
      <c r="A1644" s="34">
        <v>1642</v>
      </c>
      <c r="B1644" s="35">
        <f>'2_Discount_Factors'!B1645</f>
        <v>4.4986301369863</v>
      </c>
      <c r="C1644" s="35">
        <f>EXP(-r_free*(('2_Discount_Factors'!B1644+'2_Discount_Factors'!B1645)/2))</f>
        <v>0.873787726906018</v>
      </c>
      <c r="D1644" s="35">
        <f>'3_Survival_Probs'!D1644</f>
        <v>0.899134245861256</v>
      </c>
      <c r="E1644" s="35">
        <f>'3_Survival_Probs'!D1645</f>
        <v>0.899058940283422</v>
      </c>
      <c r="F1644" s="36">
        <f t="shared" si="60"/>
        <v>7.53055778337508e-5</v>
      </c>
      <c r="G1644" s="37">
        <f>(1-recovery)*notional*C1644*F1644</f>
        <v>394.806538072184</v>
      </c>
      <c r="H1644" s="36">
        <f t="shared" si="61"/>
        <v>1.64052031801685e-5</v>
      </c>
      <c r="I1644" s="38" t="s">
        <v>71</v>
      </c>
    </row>
    <row r="1645" spans="1:9">
      <c r="A1645" s="4">
        <v>1643</v>
      </c>
      <c r="B1645" s="6">
        <f>'2_Discount_Factors'!B1646</f>
        <v>4.5013698630137</v>
      </c>
      <c r="C1645" s="6">
        <f>EXP(-r_free*(('2_Discount_Factors'!B1645+'2_Discount_Factors'!B1646)/2))</f>
        <v>0.873715911688034</v>
      </c>
      <c r="D1645" s="6">
        <f>'3_Survival_Probs'!D1645</f>
        <v>0.899058940283422</v>
      </c>
      <c r="E1645" s="6">
        <f>'3_Survival_Probs'!D1646</f>
        <v>0.898983641012689</v>
      </c>
      <c r="F1645" s="8">
        <f t="shared" si="60"/>
        <v>7.52992707332423e-5</v>
      </c>
      <c r="G1645" s="29">
        <f>(1-recovery)*notional*C1645*F1645</f>
        <v>394.741025868833</v>
      </c>
      <c r="H1645" s="8">
        <f t="shared" ref="H1645:H1708" si="62">C1645*(B1645-4.4986301369863)*F1645</f>
        <v>1.80247043775788e-7</v>
      </c>
      <c r="I1645" s="30"/>
    </row>
    <row r="1646" spans="1:9">
      <c r="A1646" s="10">
        <v>1644</v>
      </c>
      <c r="B1646" s="12">
        <f>'2_Discount_Factors'!B1647</f>
        <v>4.5041095890411</v>
      </c>
      <c r="C1646" s="12">
        <f>EXP(-r_free*(('2_Discount_Factors'!B1646+'2_Discount_Factors'!B1647)/2))</f>
        <v>0.873644102372429</v>
      </c>
      <c r="D1646" s="12">
        <f>'3_Survival_Probs'!D1646</f>
        <v>0.898983641012689</v>
      </c>
      <c r="E1646" s="12">
        <f>'3_Survival_Probs'!D1647</f>
        <v>0.898908348048528</v>
      </c>
      <c r="F1646" s="14">
        <f t="shared" si="60"/>
        <v>7.52929641609779e-5</v>
      </c>
      <c r="G1646" s="32">
        <f>(1-recovery)*notional*C1646*F1646</f>
        <v>394.675524536262</v>
      </c>
      <c r="H1646" s="14">
        <f t="shared" si="62"/>
        <v>3.60434268982959e-7</v>
      </c>
      <c r="I1646" s="33"/>
    </row>
    <row r="1647" spans="1:9">
      <c r="A1647" s="4">
        <v>1645</v>
      </c>
      <c r="B1647" s="6">
        <f>'2_Discount_Factors'!B1648</f>
        <v>4.50684931506849</v>
      </c>
      <c r="C1647" s="6">
        <f>EXP(-r_free*(('2_Discount_Factors'!B1647+'2_Discount_Factors'!B1648)/2))</f>
        <v>0.873572298958716</v>
      </c>
      <c r="D1647" s="6">
        <f>'3_Survival_Probs'!D1647</f>
        <v>0.898908348048528</v>
      </c>
      <c r="E1647" s="6">
        <f>'3_Survival_Probs'!D1648</f>
        <v>0.898833061390411</v>
      </c>
      <c r="F1647" s="8">
        <f t="shared" si="60"/>
        <v>7.52866581169576e-5</v>
      </c>
      <c r="G1647" s="29">
        <f>(1-recovery)*notional*C1647*F1647</f>
        <v>394.610034072897</v>
      </c>
      <c r="H1647" s="8">
        <f t="shared" si="62"/>
        <v>5.40561690510896e-7</v>
      </c>
      <c r="I1647" s="30"/>
    </row>
    <row r="1648" spans="1:9">
      <c r="A1648" s="10">
        <v>1646</v>
      </c>
      <c r="B1648" s="12">
        <f>'2_Discount_Factors'!B1649</f>
        <v>4.50958904109589</v>
      </c>
      <c r="C1648" s="12">
        <f>EXP(-r_free*(('2_Discount_Factors'!B1648+'2_Discount_Factors'!B1649)/2))</f>
        <v>0.873500501446411</v>
      </c>
      <c r="D1648" s="12">
        <f>'3_Survival_Probs'!D1648</f>
        <v>0.898833061390411</v>
      </c>
      <c r="E1648" s="12">
        <f>'3_Survival_Probs'!D1649</f>
        <v>0.89875778103781</v>
      </c>
      <c r="F1648" s="14">
        <f t="shared" si="60"/>
        <v>7.52803526010704e-5</v>
      </c>
      <c r="G1648" s="32">
        <f>(1-recovery)*notional*C1648*F1648</f>
        <v>394.544554476585</v>
      </c>
      <c r="H1648" s="14">
        <f t="shared" si="62"/>
        <v>7.20629323244989e-7</v>
      </c>
      <c r="I1648" s="33"/>
    </row>
    <row r="1649" spans="1:9">
      <c r="A1649" s="4">
        <v>1647</v>
      </c>
      <c r="B1649" s="6">
        <f>'2_Discount_Factors'!B1650</f>
        <v>4.51232876712329</v>
      </c>
      <c r="C1649" s="6">
        <f>EXP(-r_free*(('2_Discount_Factors'!B1649+'2_Discount_Factors'!B1650)/2))</f>
        <v>0.873428709835029</v>
      </c>
      <c r="D1649" s="6">
        <f>'3_Survival_Probs'!D1649</f>
        <v>0.89875778103781</v>
      </c>
      <c r="E1649" s="6">
        <f>'3_Survival_Probs'!D1650</f>
        <v>0.898682506990197</v>
      </c>
      <c r="F1649" s="8">
        <f t="shared" si="60"/>
        <v>7.52740476132052e-5</v>
      </c>
      <c r="G1649" s="29">
        <f>(1-recovery)*notional*C1649*F1649</f>
        <v>394.479085745174</v>
      </c>
      <c r="H1649" s="8">
        <f t="shared" si="62"/>
        <v>9.00637182066699e-7</v>
      </c>
      <c r="I1649" s="30"/>
    </row>
    <row r="1650" spans="1:9">
      <c r="A1650" s="10">
        <v>1648</v>
      </c>
      <c r="B1650" s="12">
        <f>'2_Discount_Factors'!B1651</f>
        <v>4.51506849315069</v>
      </c>
      <c r="C1650" s="12">
        <f>EXP(-r_free*(('2_Discount_Factors'!B1650+'2_Discount_Factors'!B1651)/2))</f>
        <v>0.873356924124084</v>
      </c>
      <c r="D1650" s="12">
        <f>'3_Survival_Probs'!D1650</f>
        <v>0.898682506990197</v>
      </c>
      <c r="E1650" s="12">
        <f>'3_Survival_Probs'!D1651</f>
        <v>0.898607239247043</v>
      </c>
      <c r="F1650" s="14">
        <f t="shared" si="60"/>
        <v>7.52677431534732e-5</v>
      </c>
      <c r="G1650" s="32">
        <f>(1-recovery)*notional*C1650*F1650</f>
        <v>394.413627877674</v>
      </c>
      <c r="H1650" s="14">
        <f t="shared" si="62"/>
        <v>1.08058528185674e-6</v>
      </c>
      <c r="I1650" s="33"/>
    </row>
    <row r="1651" spans="1:9">
      <c r="A1651" s="4">
        <v>1649</v>
      </c>
      <c r="B1651" s="6">
        <f>'2_Discount_Factors'!B1652</f>
        <v>4.51780821917808</v>
      </c>
      <c r="C1651" s="6">
        <f>EXP(-r_free*(('2_Discount_Factors'!B1651+'2_Discount_Factors'!B1652)/2))</f>
        <v>0.873285144313093</v>
      </c>
      <c r="D1651" s="6">
        <f>'3_Survival_Probs'!D1651</f>
        <v>0.898607239247043</v>
      </c>
      <c r="E1651" s="6">
        <f>'3_Survival_Probs'!D1652</f>
        <v>0.898531977807821</v>
      </c>
      <c r="F1651" s="8">
        <f t="shared" si="60"/>
        <v>7.52614392217632e-5</v>
      </c>
      <c r="G1651" s="29">
        <f>(1-recovery)*notional*C1651*F1651</f>
        <v>394.348180871931</v>
      </c>
      <c r="H1651" s="8">
        <f t="shared" si="62"/>
        <v>1.2604736374903e-6</v>
      </c>
      <c r="I1651" s="30"/>
    </row>
    <row r="1652" spans="1:9">
      <c r="A1652" s="10">
        <v>1650</v>
      </c>
      <c r="B1652" s="12">
        <f>'2_Discount_Factors'!B1653</f>
        <v>4.52054794520548</v>
      </c>
      <c r="C1652" s="12">
        <f>EXP(-r_free*(('2_Discount_Factors'!B1652+'2_Discount_Factors'!B1653)/2))</f>
        <v>0.87321337040157</v>
      </c>
      <c r="D1652" s="12">
        <f>'3_Survival_Probs'!D1652</f>
        <v>0.898531977807821</v>
      </c>
      <c r="E1652" s="12">
        <f>'3_Survival_Probs'!D1653</f>
        <v>0.898456722672003</v>
      </c>
      <c r="F1652" s="14">
        <f t="shared" si="60"/>
        <v>7.52551358180753e-5</v>
      </c>
      <c r="G1652" s="32">
        <f>(1-recovery)*notional*C1652*F1652</f>
        <v>394.282744726377</v>
      </c>
      <c r="H1652" s="14">
        <f t="shared" si="62"/>
        <v>1.44030226384076e-6</v>
      </c>
      <c r="I1652" s="33"/>
    </row>
    <row r="1653" spans="1:9">
      <c r="A1653" s="4">
        <v>1651</v>
      </c>
      <c r="B1653" s="6">
        <f>'2_Discount_Factors'!B1654</f>
        <v>4.52328767123288</v>
      </c>
      <c r="C1653" s="6">
        <f>EXP(-r_free*(('2_Discount_Factors'!B1653+'2_Discount_Factors'!B1654)/2))</f>
        <v>0.87314160238903</v>
      </c>
      <c r="D1653" s="6">
        <f>'3_Survival_Probs'!D1653</f>
        <v>0.898456722672003</v>
      </c>
      <c r="E1653" s="6">
        <f>'3_Survival_Probs'!D1654</f>
        <v>0.898381473839061</v>
      </c>
      <c r="F1653" s="8">
        <f t="shared" si="60"/>
        <v>7.52488329422984e-5</v>
      </c>
      <c r="G1653" s="29">
        <f>(1-recovery)*notional*C1653*F1653</f>
        <v>394.217319438857</v>
      </c>
      <c r="H1653" s="8">
        <f t="shared" si="62"/>
        <v>1.62007117577624e-6</v>
      </c>
      <c r="I1653" s="30"/>
    </row>
    <row r="1654" spans="1:9">
      <c r="A1654" s="10">
        <v>1652</v>
      </c>
      <c r="B1654" s="12">
        <f>'2_Discount_Factors'!B1655</f>
        <v>4.52602739726027</v>
      </c>
      <c r="C1654" s="12">
        <f>EXP(-r_free*(('2_Discount_Factors'!B1654+'2_Discount_Factors'!B1655)/2))</f>
        <v>0.873069840274988</v>
      </c>
      <c r="D1654" s="12">
        <f>'3_Survival_Probs'!D1654</f>
        <v>0.898381473839061</v>
      </c>
      <c r="E1654" s="12">
        <f>'3_Survival_Probs'!D1655</f>
        <v>0.898306231308467</v>
      </c>
      <c r="F1654" s="14">
        <f t="shared" si="60"/>
        <v>7.52425305943216e-5</v>
      </c>
      <c r="G1654" s="32">
        <f>(1-recovery)*notional*C1654*F1654</f>
        <v>394.151905007222</v>
      </c>
      <c r="H1654" s="14">
        <f t="shared" si="62"/>
        <v>1.7997803881609e-6</v>
      </c>
      <c r="I1654" s="33"/>
    </row>
    <row r="1655" spans="1:9">
      <c r="A1655" s="4">
        <v>1653</v>
      </c>
      <c r="B1655" s="6">
        <f>'2_Discount_Factors'!B1656</f>
        <v>4.52876712328767</v>
      </c>
      <c r="C1655" s="6">
        <f>EXP(-r_free*(('2_Discount_Factors'!B1655+'2_Discount_Factors'!B1656)/2))</f>
        <v>0.87299808405896</v>
      </c>
      <c r="D1655" s="6">
        <f>'3_Survival_Probs'!D1655</f>
        <v>0.898306231308467</v>
      </c>
      <c r="E1655" s="6">
        <f>'3_Survival_Probs'!D1656</f>
        <v>0.898230995079692</v>
      </c>
      <c r="F1655" s="8">
        <f t="shared" si="60"/>
        <v>7.52362287742558e-5</v>
      </c>
      <c r="G1655" s="29">
        <f>(1-recovery)*notional*C1655*F1655</f>
        <v>394.086501430482</v>
      </c>
      <c r="H1655" s="8">
        <f t="shared" si="62"/>
        <v>1.97942991586094e-6</v>
      </c>
      <c r="I1655" s="30"/>
    </row>
    <row r="1656" spans="1:9">
      <c r="A1656" s="10">
        <v>1654</v>
      </c>
      <c r="B1656" s="12">
        <f>'2_Discount_Factors'!B1657</f>
        <v>4.53150684931507</v>
      </c>
      <c r="C1656" s="12">
        <f>EXP(-r_free*(('2_Discount_Factors'!B1656+'2_Discount_Factors'!B1657)/2))</f>
        <v>0.872926333740461</v>
      </c>
      <c r="D1656" s="12">
        <f>'3_Survival_Probs'!D1656</f>
        <v>0.898230995079692</v>
      </c>
      <c r="E1656" s="12">
        <f>'3_Survival_Probs'!D1657</f>
        <v>0.89815576515221</v>
      </c>
      <c r="F1656" s="14">
        <f t="shared" si="60"/>
        <v>7.52299274819901e-5</v>
      </c>
      <c r="G1656" s="32">
        <f>(1-recovery)*notional*C1656*F1656</f>
        <v>394.021108706486</v>
      </c>
      <c r="H1656" s="14">
        <f t="shared" si="62"/>
        <v>2.15901977373425e-6</v>
      </c>
      <c r="I1656" s="33"/>
    </row>
    <row r="1657" spans="1:9">
      <c r="A1657" s="4">
        <v>1655</v>
      </c>
      <c r="B1657" s="6">
        <f>'2_Discount_Factors'!B1658</f>
        <v>4.53424657534247</v>
      </c>
      <c r="C1657" s="6">
        <f>EXP(-r_free*(('2_Discount_Factors'!B1657+'2_Discount_Factors'!B1658)/2))</f>
        <v>0.872854589319006</v>
      </c>
      <c r="D1657" s="6">
        <f>'3_Survival_Probs'!D1657</f>
        <v>0.89815576515221</v>
      </c>
      <c r="E1657" s="6">
        <f>'3_Survival_Probs'!D1658</f>
        <v>0.898080541525493</v>
      </c>
      <c r="F1657" s="8">
        <f t="shared" si="60"/>
        <v>7.52236267174133e-5</v>
      </c>
      <c r="G1657" s="29">
        <f>(1-recovery)*notional*C1657*F1657</f>
        <v>393.955726833084</v>
      </c>
      <c r="H1657" s="8">
        <f t="shared" si="62"/>
        <v>2.33854997663483e-6</v>
      </c>
      <c r="I1657" s="30"/>
    </row>
    <row r="1658" spans="1:9">
      <c r="A1658" s="10">
        <v>1656</v>
      </c>
      <c r="B1658" s="12">
        <f>'2_Discount_Factors'!B1659</f>
        <v>4.53698630136986</v>
      </c>
      <c r="C1658" s="12">
        <f>EXP(-r_free*(('2_Discount_Factors'!B1658+'2_Discount_Factors'!B1659)/2))</f>
        <v>0.87278285079411</v>
      </c>
      <c r="D1658" s="12">
        <f>'3_Survival_Probs'!D1658</f>
        <v>0.898080541525493</v>
      </c>
      <c r="E1658" s="12">
        <f>'3_Survival_Probs'!D1659</f>
        <v>0.898005324199012</v>
      </c>
      <c r="F1658" s="14">
        <f t="shared" si="60"/>
        <v>7.52173264806366e-5</v>
      </c>
      <c r="G1658" s="32">
        <f>(1-recovery)*notional*C1658*F1658</f>
        <v>393.890355809288</v>
      </c>
      <c r="H1658" s="14">
        <f t="shared" si="62"/>
        <v>2.5180205394202e-6</v>
      </c>
      <c r="I1658" s="33"/>
    </row>
    <row r="1659" spans="1:9">
      <c r="A1659" s="4">
        <v>1657</v>
      </c>
      <c r="B1659" s="6">
        <f>'2_Discount_Factors'!B1660</f>
        <v>4.53972602739726</v>
      </c>
      <c r="C1659" s="6">
        <f>EXP(-r_free*(('2_Discount_Factors'!B1659+'2_Discount_Factors'!B1660)/2))</f>
        <v>0.872711118165289</v>
      </c>
      <c r="D1659" s="6">
        <f>'3_Survival_Probs'!D1659</f>
        <v>0.898005324199012</v>
      </c>
      <c r="E1659" s="6">
        <f>'3_Survival_Probs'!D1660</f>
        <v>0.897930113172241</v>
      </c>
      <c r="F1659" s="8">
        <f t="shared" si="60"/>
        <v>7.52110267714379e-5</v>
      </c>
      <c r="G1659" s="29">
        <f>(1-recovery)*notional*C1659*F1659</f>
        <v>393.824995632366</v>
      </c>
      <c r="H1659" s="8">
        <f t="shared" si="62"/>
        <v>2.69743147693411e-6</v>
      </c>
      <c r="I1659" s="30"/>
    </row>
    <row r="1660" spans="1:9">
      <c r="A1660" s="10">
        <v>1658</v>
      </c>
      <c r="B1660" s="12">
        <f>'2_Discount_Factors'!B1661</f>
        <v>4.54246575342466</v>
      </c>
      <c r="C1660" s="12">
        <f>EXP(-r_free*(('2_Discount_Factors'!B1660+'2_Discount_Factors'!B1661)/2))</f>
        <v>0.872639391432058</v>
      </c>
      <c r="D1660" s="12">
        <f>'3_Survival_Probs'!D1660</f>
        <v>0.897930113172241</v>
      </c>
      <c r="E1660" s="12">
        <f>'3_Survival_Probs'!D1661</f>
        <v>0.897854908444651</v>
      </c>
      <c r="F1660" s="14">
        <f t="shared" si="60"/>
        <v>7.52047275899281e-5</v>
      </c>
      <c r="G1660" s="32">
        <f>(1-recovery)*notional*C1660*F1660</f>
        <v>393.759646301332</v>
      </c>
      <c r="H1660" s="14">
        <f t="shared" si="62"/>
        <v>2.8767828040281e-6</v>
      </c>
      <c r="I1660" s="33"/>
    </row>
    <row r="1661" spans="1:9">
      <c r="A1661" s="4">
        <v>1659</v>
      </c>
      <c r="B1661" s="6">
        <f>'2_Discount_Factors'!B1662</f>
        <v>4.54520547945206</v>
      </c>
      <c r="C1661" s="6">
        <f>EXP(-r_free*(('2_Discount_Factors'!B1661+'2_Discount_Factors'!B1662)/2))</f>
        <v>0.872567670593933</v>
      </c>
      <c r="D1661" s="6">
        <f>'3_Survival_Probs'!D1661</f>
        <v>0.897854908444651</v>
      </c>
      <c r="E1661" s="6">
        <f>'3_Survival_Probs'!D1662</f>
        <v>0.897779710015715</v>
      </c>
      <c r="F1661" s="8">
        <f t="shared" si="60"/>
        <v>7.51984289359964e-5</v>
      </c>
      <c r="G1661" s="29">
        <f>(1-recovery)*notional*C1661*F1661</f>
        <v>393.694307814035</v>
      </c>
      <c r="H1661" s="8">
        <f t="shared" si="62"/>
        <v>3.05607453554285e-6</v>
      </c>
      <c r="I1661" s="30"/>
    </row>
    <row r="1662" spans="1:9">
      <c r="A1662" s="10">
        <v>1660</v>
      </c>
      <c r="B1662" s="12">
        <f>'2_Discount_Factors'!B1663</f>
        <v>4.54794520547945</v>
      </c>
      <c r="C1662" s="12">
        <f>EXP(-r_free*(('2_Discount_Factors'!B1662+'2_Discount_Factors'!B1663)/2))</f>
        <v>0.872495955650429</v>
      </c>
      <c r="D1662" s="12">
        <f>'3_Survival_Probs'!D1662</f>
        <v>0.897779710015715</v>
      </c>
      <c r="E1662" s="12">
        <f>'3_Survival_Probs'!D1663</f>
        <v>0.897704517884905</v>
      </c>
      <c r="F1662" s="14">
        <f t="shared" si="60"/>
        <v>7.51921308096426e-5</v>
      </c>
      <c r="G1662" s="32">
        <f>(1-recovery)*notional*C1662*F1662</f>
        <v>393.628980168907</v>
      </c>
      <c r="H1662" s="14">
        <f t="shared" si="62"/>
        <v>3.2353066863199e-6</v>
      </c>
      <c r="I1662" s="33"/>
    </row>
    <row r="1663" spans="1:9">
      <c r="A1663" s="4">
        <v>1661</v>
      </c>
      <c r="B1663" s="6">
        <f>'2_Discount_Factors'!B1664</f>
        <v>4.55068493150685</v>
      </c>
      <c r="C1663" s="6">
        <f>EXP(-r_free*(('2_Discount_Factors'!B1663+'2_Discount_Factors'!B1664)/2))</f>
        <v>0.872424246601062</v>
      </c>
      <c r="D1663" s="6">
        <f>'3_Survival_Probs'!D1663</f>
        <v>0.897704517884905</v>
      </c>
      <c r="E1663" s="6">
        <f>'3_Survival_Probs'!D1664</f>
        <v>0.897629332051695</v>
      </c>
      <c r="F1663" s="8">
        <f t="shared" si="60"/>
        <v>7.51858332106448e-5</v>
      </c>
      <c r="G1663" s="29">
        <f>(1-recovery)*notional*C1663*F1663</f>
        <v>393.563663363219</v>
      </c>
      <c r="H1663" s="8">
        <f t="shared" si="62"/>
        <v>3.41447927118781e-6</v>
      </c>
      <c r="I1663" s="30"/>
    </row>
    <row r="1664" spans="1:9">
      <c r="A1664" s="10">
        <v>1662</v>
      </c>
      <c r="B1664" s="12">
        <f>'2_Discount_Factors'!B1665</f>
        <v>4.55342465753425</v>
      </c>
      <c r="C1664" s="12">
        <f>EXP(-r_free*(('2_Discount_Factors'!B1664+'2_Discount_Factors'!B1665)/2))</f>
        <v>0.872352543445347</v>
      </c>
      <c r="D1664" s="12">
        <f>'3_Survival_Probs'!D1664</f>
        <v>0.897629332051695</v>
      </c>
      <c r="E1664" s="12">
        <f>'3_Survival_Probs'!D1665</f>
        <v>0.897554152515555</v>
      </c>
      <c r="F1664" s="14">
        <f t="shared" si="60"/>
        <v>7.51795361392249e-5</v>
      </c>
      <c r="G1664" s="32">
        <f>(1-recovery)*notional*C1664*F1664</f>
        <v>393.498357396565</v>
      </c>
      <c r="H1664" s="14">
        <f t="shared" si="62"/>
        <v>3.59359230499154e-6</v>
      </c>
      <c r="I1664" s="33"/>
    </row>
    <row r="1665" spans="1:9">
      <c r="A1665" s="4">
        <v>1663</v>
      </c>
      <c r="B1665" s="6">
        <f>'2_Discount_Factors'!B1666</f>
        <v>4.55616438356164</v>
      </c>
      <c r="C1665" s="6">
        <f>EXP(-r_free*(('2_Discount_Factors'!B1665+'2_Discount_Factors'!B1666)/2))</f>
        <v>0.8722808461828</v>
      </c>
      <c r="D1665" s="6">
        <f>'3_Survival_Probs'!D1665</f>
        <v>0.897554152515555</v>
      </c>
      <c r="E1665" s="6">
        <f>'3_Survival_Probs'!D1666</f>
        <v>0.89747897927596</v>
      </c>
      <c r="F1665" s="8">
        <f t="shared" si="60"/>
        <v>7.5173239595161e-5</v>
      </c>
      <c r="G1665" s="29">
        <f>(1-recovery)*notional*C1665*F1665</f>
        <v>393.433062266216</v>
      </c>
      <c r="H1665" s="8">
        <f t="shared" si="62"/>
        <v>3.77264580255284e-6</v>
      </c>
      <c r="I1665" s="30"/>
    </row>
    <row r="1666" spans="1:9">
      <c r="A1666" s="10">
        <v>1664</v>
      </c>
      <c r="B1666" s="12">
        <f>'2_Discount_Factors'!B1667</f>
        <v>4.55890410958904</v>
      </c>
      <c r="C1666" s="12">
        <f>EXP(-r_free*(('2_Discount_Factors'!B1666+'2_Discount_Factors'!B1667)/2))</f>
        <v>0.872209154812936</v>
      </c>
      <c r="D1666" s="12">
        <f>'3_Survival_Probs'!D1666</f>
        <v>0.89747897927596</v>
      </c>
      <c r="E1666" s="12">
        <f>'3_Survival_Probs'!D1667</f>
        <v>0.897403812332382</v>
      </c>
      <c r="F1666" s="14">
        <f t="shared" si="60"/>
        <v>7.5166943578342e-5</v>
      </c>
      <c r="G1666" s="32">
        <f>(1-recovery)*notional*C1666*F1666</f>
        <v>393.367777970024</v>
      </c>
      <c r="H1666" s="14">
        <f t="shared" si="62"/>
        <v>3.95163977869439e-6</v>
      </c>
      <c r="I1666" s="33"/>
    </row>
    <row r="1667" spans="1:9">
      <c r="A1667" s="4">
        <v>1665</v>
      </c>
      <c r="B1667" s="6">
        <f>'2_Discount_Factors'!B1668</f>
        <v>4.56164383561644</v>
      </c>
      <c r="C1667" s="6">
        <f>EXP(-r_free*(('2_Discount_Factors'!B1667+'2_Discount_Factors'!B1668)/2))</f>
        <v>0.872137469335272</v>
      </c>
      <c r="D1667" s="6">
        <f>'3_Survival_Probs'!D1667</f>
        <v>0.897403812332382</v>
      </c>
      <c r="E1667" s="6">
        <f>'3_Survival_Probs'!D1668</f>
        <v>0.897328651684293</v>
      </c>
      <c r="F1667" s="8">
        <f t="shared" ref="F1667:F1730" si="63">D1667-E1667</f>
        <v>7.51606480889899e-5</v>
      </c>
      <c r="G1667" s="29">
        <f>(1-recovery)*notional*C1667*F1667</f>
        <v>393.302504507584</v>
      </c>
      <c r="H1667" s="8">
        <f t="shared" si="62"/>
        <v>4.13057424825325e-6</v>
      </c>
      <c r="I1667" s="30"/>
    </row>
    <row r="1668" spans="1:9">
      <c r="A1668" s="10">
        <v>1666</v>
      </c>
      <c r="B1668" s="12">
        <f>'2_Discount_Factors'!B1669</f>
        <v>4.56438356164384</v>
      </c>
      <c r="C1668" s="12">
        <f>EXP(-r_free*(('2_Discount_Factors'!B1668+'2_Discount_Factors'!B1669)/2))</f>
        <v>0.872065789749322</v>
      </c>
      <c r="D1668" s="12">
        <f>'3_Survival_Probs'!D1668</f>
        <v>0.897328651684293</v>
      </c>
      <c r="E1668" s="12">
        <f>'3_Survival_Probs'!D1669</f>
        <v>0.897253497331166</v>
      </c>
      <c r="F1668" s="14">
        <f t="shared" si="63"/>
        <v>7.51543531268828e-5</v>
      </c>
      <c r="G1668" s="32">
        <f>(1-recovery)*notional*C1668*F1668</f>
        <v>393.237241876167</v>
      </c>
      <c r="H1668" s="14">
        <f t="shared" si="62"/>
        <v>4.30944922604028e-6</v>
      </c>
      <c r="I1668" s="33"/>
    </row>
    <row r="1669" spans="1:9">
      <c r="A1669" s="4">
        <v>1667</v>
      </c>
      <c r="B1669" s="6">
        <f>'2_Discount_Factors'!B1670</f>
        <v>4.56712328767123</v>
      </c>
      <c r="C1669" s="6">
        <f>EXP(-r_free*(('2_Discount_Factors'!B1669+'2_Discount_Factors'!B1670)/2))</f>
        <v>0.871994116054604</v>
      </c>
      <c r="D1669" s="6">
        <f>'3_Survival_Probs'!D1669</f>
        <v>0.897253497331166</v>
      </c>
      <c r="E1669" s="6">
        <f>'3_Survival_Probs'!D1670</f>
        <v>0.897178349272474</v>
      </c>
      <c r="F1669" s="8">
        <f t="shared" si="63"/>
        <v>7.51480586919095e-5</v>
      </c>
      <c r="G1669" s="29">
        <f>(1-recovery)*notional*C1669*F1669</f>
        <v>393.171990073627</v>
      </c>
      <c r="H1669" s="8">
        <f t="shared" si="62"/>
        <v>4.48826472686799e-6</v>
      </c>
      <c r="I1669" s="30"/>
    </row>
    <row r="1670" spans="1:9">
      <c r="A1670" s="10">
        <v>1668</v>
      </c>
      <c r="B1670" s="12">
        <f>'2_Discount_Factors'!B1671</f>
        <v>4.56986301369863</v>
      </c>
      <c r="C1670" s="12">
        <f>EXP(-r_free*(('2_Discount_Factors'!B1670+'2_Discount_Factors'!B1671)/2))</f>
        <v>0.871922448250631</v>
      </c>
      <c r="D1670" s="12">
        <f>'3_Survival_Probs'!D1670</f>
        <v>0.897178349272474</v>
      </c>
      <c r="E1670" s="12">
        <f>'3_Survival_Probs'!D1671</f>
        <v>0.89710320750769</v>
      </c>
      <c r="F1670" s="14">
        <f t="shared" si="63"/>
        <v>7.51417647841812e-5</v>
      </c>
      <c r="G1670" s="32">
        <f>(1-recovery)*notional*C1670*F1670</f>
        <v>393.106749098978</v>
      </c>
      <c r="H1670" s="14">
        <f t="shared" si="62"/>
        <v>4.66702076555876e-6</v>
      </c>
      <c r="I1670" s="33"/>
    </row>
    <row r="1671" spans="1:9">
      <c r="A1671" s="4">
        <v>1669</v>
      </c>
      <c r="B1671" s="6">
        <f>'2_Discount_Factors'!B1672</f>
        <v>4.57260273972603</v>
      </c>
      <c r="C1671" s="6">
        <f>EXP(-r_free*(('2_Discount_Factors'!B1671+'2_Discount_Factors'!B1672)/2))</f>
        <v>0.871850786336922</v>
      </c>
      <c r="D1671" s="6">
        <f>'3_Survival_Probs'!D1671</f>
        <v>0.89710320750769</v>
      </c>
      <c r="E1671" s="6">
        <f>'3_Survival_Probs'!D1672</f>
        <v>0.897028072036286</v>
      </c>
      <c r="F1671" s="8">
        <f t="shared" si="63"/>
        <v>7.51354714035868e-5</v>
      </c>
      <c r="G1671" s="29">
        <f>(1-recovery)*notional*C1671*F1671</f>
        <v>393.041518950075</v>
      </c>
      <c r="H1671" s="8">
        <f t="shared" si="62"/>
        <v>4.84571735691885e-6</v>
      </c>
      <c r="I1671" s="30"/>
    </row>
    <row r="1672" spans="1:9">
      <c r="A1672" s="10">
        <v>1670</v>
      </c>
      <c r="B1672" s="12">
        <f>'2_Discount_Factors'!B1673</f>
        <v>4.57534246575342</v>
      </c>
      <c r="C1672" s="12">
        <f>EXP(-r_free*(('2_Discount_Factors'!B1672+'2_Discount_Factors'!B1673)/2))</f>
        <v>0.87177913031299</v>
      </c>
      <c r="D1672" s="12">
        <f>'3_Survival_Probs'!D1672</f>
        <v>0.897028072036286</v>
      </c>
      <c r="E1672" s="12">
        <f>'3_Survival_Probs'!D1673</f>
        <v>0.896952942857736</v>
      </c>
      <c r="F1672" s="14">
        <f t="shared" si="63"/>
        <v>7.51291785501262e-5</v>
      </c>
      <c r="G1672" s="32">
        <f>(1-recovery)*notional*C1672*F1672</f>
        <v>392.97629962535</v>
      </c>
      <c r="H1672" s="14">
        <f t="shared" si="62"/>
        <v>5.02435451575797e-6</v>
      </c>
      <c r="I1672" s="33"/>
    </row>
    <row r="1673" spans="1:9">
      <c r="A1673" s="4">
        <v>1671</v>
      </c>
      <c r="B1673" s="6">
        <f>'2_Discount_Factors'!B1674</f>
        <v>4.57808219178082</v>
      </c>
      <c r="C1673" s="6">
        <f>EXP(-r_free*(('2_Discount_Factors'!B1673+'2_Discount_Factors'!B1674)/2))</f>
        <v>0.871707480178353</v>
      </c>
      <c r="D1673" s="6">
        <f>'3_Survival_Probs'!D1673</f>
        <v>0.896952942857736</v>
      </c>
      <c r="E1673" s="6">
        <f>'3_Survival_Probs'!D1674</f>
        <v>0.896877819971513</v>
      </c>
      <c r="F1673" s="8">
        <f t="shared" si="63"/>
        <v>7.51228862236886e-5</v>
      </c>
      <c r="G1673" s="29">
        <f>(1-recovery)*notional*C1673*F1673</f>
        <v>392.91109112266</v>
      </c>
      <c r="H1673" s="8">
        <f t="shared" si="62"/>
        <v>5.20293225687548e-6</v>
      </c>
      <c r="I1673" s="30"/>
    </row>
    <row r="1674" spans="1:9">
      <c r="A1674" s="10">
        <v>1672</v>
      </c>
      <c r="B1674" s="12">
        <f>'2_Discount_Factors'!B1675</f>
        <v>4.58082191780822</v>
      </c>
      <c r="C1674" s="12">
        <f>EXP(-r_free*(('2_Discount_Factors'!B1674+'2_Discount_Factors'!B1675)/2))</f>
        <v>0.871635835932525</v>
      </c>
      <c r="D1674" s="12">
        <f>'3_Survival_Probs'!D1674</f>
        <v>0.896877819971513</v>
      </c>
      <c r="E1674" s="12">
        <f>'3_Survival_Probs'!D1675</f>
        <v>0.896802703377088</v>
      </c>
      <c r="F1674" s="14">
        <f t="shared" si="63"/>
        <v>7.51165944241627e-5</v>
      </c>
      <c r="G1674" s="32">
        <f>(1-recovery)*notional*C1674*F1674</f>
        <v>392.845893439857</v>
      </c>
      <c r="H1674" s="14">
        <f t="shared" si="62"/>
        <v>5.38145059506662e-6</v>
      </c>
      <c r="I1674" s="33"/>
    </row>
    <row r="1675" spans="1:9">
      <c r="A1675" s="4">
        <v>1673</v>
      </c>
      <c r="B1675" s="6">
        <f>'2_Discount_Factors'!B1676</f>
        <v>4.58356164383562</v>
      </c>
      <c r="C1675" s="6">
        <f>EXP(-r_free*(('2_Discount_Factors'!B1675+'2_Discount_Factors'!B1676)/2))</f>
        <v>0.871564197575024</v>
      </c>
      <c r="D1675" s="6">
        <f>'3_Survival_Probs'!D1675</f>
        <v>0.896802703377088</v>
      </c>
      <c r="E1675" s="6">
        <f>'3_Survival_Probs'!D1676</f>
        <v>0.896727593073937</v>
      </c>
      <c r="F1675" s="8">
        <f t="shared" si="63"/>
        <v>7.51103031516598e-5</v>
      </c>
      <c r="G1675" s="29">
        <f>(1-recovery)*notional*C1675*F1675</f>
        <v>392.780706575959</v>
      </c>
      <c r="H1675" s="8">
        <f t="shared" si="62"/>
        <v>5.55990954513923e-6</v>
      </c>
      <c r="I1675" s="30"/>
    </row>
    <row r="1676" spans="1:9">
      <c r="A1676" s="10">
        <v>1674</v>
      </c>
      <c r="B1676" s="12">
        <f>'2_Discount_Factors'!B1677</f>
        <v>4.58630136986301</v>
      </c>
      <c r="C1676" s="12">
        <f>EXP(-r_free*(('2_Discount_Factors'!B1676+'2_Discount_Factors'!B1677)/2))</f>
        <v>0.871492565105365</v>
      </c>
      <c r="D1676" s="12">
        <f>'3_Survival_Probs'!D1676</f>
        <v>0.896727593073937</v>
      </c>
      <c r="E1676" s="12">
        <f>'3_Survival_Probs'!D1677</f>
        <v>0.896652489061531</v>
      </c>
      <c r="F1676" s="14">
        <f t="shared" si="63"/>
        <v>7.51040124060687e-5</v>
      </c>
      <c r="G1676" s="32">
        <f>(1-recovery)*notional*C1676*F1676</f>
        <v>392.71553052882</v>
      </c>
      <c r="H1676" s="14">
        <f t="shared" si="62"/>
        <v>5.73830912188239e-6</v>
      </c>
      <c r="I1676" s="33"/>
    </row>
    <row r="1677" spans="1:9">
      <c r="A1677" s="4">
        <v>1675</v>
      </c>
      <c r="B1677" s="6">
        <f>'2_Discount_Factors'!B1678</f>
        <v>4.58904109589041</v>
      </c>
      <c r="C1677" s="6">
        <f>EXP(-r_free*(('2_Discount_Factors'!B1677+'2_Discount_Factors'!B1678)/2))</f>
        <v>0.871420938523065</v>
      </c>
      <c r="D1677" s="6">
        <f>'3_Survival_Probs'!D1677</f>
        <v>0.896652489061531</v>
      </c>
      <c r="E1677" s="6">
        <f>'3_Survival_Probs'!D1678</f>
        <v>0.896577391339343</v>
      </c>
      <c r="F1677" s="8">
        <f t="shared" si="63"/>
        <v>7.50977221873894e-5</v>
      </c>
      <c r="G1677" s="29">
        <f>(1-recovery)*notional*C1677*F1677</f>
        <v>392.650365296876</v>
      </c>
      <c r="H1677" s="8">
        <f t="shared" si="62"/>
        <v>5.91664934009001e-6</v>
      </c>
      <c r="I1677" s="30"/>
    </row>
    <row r="1678" spans="1:9">
      <c r="A1678" s="10">
        <v>1676</v>
      </c>
      <c r="B1678" s="12">
        <f>'2_Discount_Factors'!B1679</f>
        <v>4.59178082191781</v>
      </c>
      <c r="C1678" s="12">
        <f>EXP(-r_free*(('2_Discount_Factors'!B1678+'2_Discount_Factors'!B1679)/2))</f>
        <v>0.871349317827639</v>
      </c>
      <c r="D1678" s="12">
        <f>'3_Survival_Probs'!D1678</f>
        <v>0.896577391339343</v>
      </c>
      <c r="E1678" s="12">
        <f>'3_Survival_Probs'!D1679</f>
        <v>0.896502299906848</v>
      </c>
      <c r="F1678" s="14">
        <f t="shared" si="63"/>
        <v>7.5091432495511e-5</v>
      </c>
      <c r="G1678" s="32">
        <f>(1-recovery)*notional*C1678*F1678</f>
        <v>392.585210877982</v>
      </c>
      <c r="H1678" s="14">
        <f t="shared" si="62"/>
        <v>6.09493021454412e-6</v>
      </c>
      <c r="I1678" s="33"/>
    </row>
    <row r="1679" spans="1:9">
      <c r="A1679" s="4">
        <v>1677</v>
      </c>
      <c r="B1679" s="6">
        <f>'2_Discount_Factors'!B1680</f>
        <v>4.59452054794521</v>
      </c>
      <c r="C1679" s="6">
        <f>EXP(-r_free*(('2_Discount_Factors'!B1679+'2_Discount_Factors'!B1680)/2))</f>
        <v>0.871277703018603</v>
      </c>
      <c r="D1679" s="6">
        <f>'3_Survival_Probs'!D1679</f>
        <v>0.896502299906848</v>
      </c>
      <c r="E1679" s="6">
        <f>'3_Survival_Probs'!D1680</f>
        <v>0.896427214763517</v>
      </c>
      <c r="F1679" s="8">
        <f t="shared" si="63"/>
        <v>7.50851433304334e-5</v>
      </c>
      <c r="G1679" s="29">
        <f>(1-recovery)*notional*C1679*F1679</f>
        <v>392.520067270576</v>
      </c>
      <c r="H1679" s="8">
        <f t="shared" si="62"/>
        <v>6.27315176003214e-6</v>
      </c>
      <c r="I1679" s="30"/>
    </row>
    <row r="1680" spans="1:9">
      <c r="A1680" s="10">
        <v>1678</v>
      </c>
      <c r="B1680" s="12">
        <f>'2_Discount_Factors'!B1681</f>
        <v>4.5972602739726</v>
      </c>
      <c r="C1680" s="12">
        <f>EXP(-r_free*(('2_Discount_Factors'!B1680+'2_Discount_Factors'!B1681)/2))</f>
        <v>0.871206094095474</v>
      </c>
      <c r="D1680" s="12">
        <f>'3_Survival_Probs'!D1680</f>
        <v>0.896427214763517</v>
      </c>
      <c r="E1680" s="12">
        <f>'3_Survival_Probs'!D1681</f>
        <v>0.896352135908825</v>
      </c>
      <c r="F1680" s="14">
        <f t="shared" si="63"/>
        <v>7.50788546920456e-5</v>
      </c>
      <c r="G1680" s="32">
        <f>(1-recovery)*notional*C1680*F1680</f>
        <v>392.454934472512</v>
      </c>
      <c r="H1680" s="14">
        <f t="shared" si="62"/>
        <v>6.45131399132909e-6</v>
      </c>
      <c r="I1680" s="33"/>
    </row>
    <row r="1681" spans="1:9">
      <c r="A1681" s="4">
        <v>1679</v>
      </c>
      <c r="B1681" s="6">
        <f>'2_Discount_Factors'!B1682</f>
        <v>4.6</v>
      </c>
      <c r="C1681" s="6">
        <f>EXP(-r_free*(('2_Discount_Factors'!B1681+'2_Discount_Factors'!B1682)/2))</f>
        <v>0.871134491057769</v>
      </c>
      <c r="D1681" s="6">
        <f>'3_Survival_Probs'!D1681</f>
        <v>0.896352135908825</v>
      </c>
      <c r="E1681" s="6">
        <f>'3_Survival_Probs'!D1682</f>
        <v>0.896277063342245</v>
      </c>
      <c r="F1681" s="8">
        <f t="shared" si="63"/>
        <v>7.50725665804586e-5</v>
      </c>
      <c r="G1681" s="29">
        <f>(1-recovery)*notional*C1681*F1681</f>
        <v>392.389812482809</v>
      </c>
      <c r="H1681" s="8">
        <f t="shared" si="62"/>
        <v>6.62941692322561e-6</v>
      </c>
      <c r="I1681" s="30"/>
    </row>
    <row r="1682" spans="1:9">
      <c r="A1682" s="10">
        <v>1680</v>
      </c>
      <c r="B1682" s="12">
        <f>'2_Discount_Factors'!B1683</f>
        <v>4.6027397260274</v>
      </c>
      <c r="C1682" s="12">
        <f>EXP(-r_free*(('2_Discount_Factors'!B1682+'2_Discount_Factors'!B1683)/2))</f>
        <v>0.871062893905002</v>
      </c>
      <c r="D1682" s="12">
        <f>'3_Survival_Probs'!D1682</f>
        <v>0.896277063342245</v>
      </c>
      <c r="E1682" s="12">
        <f>'3_Survival_Probs'!D1683</f>
        <v>0.896201997063249</v>
      </c>
      <c r="F1682" s="14">
        <f t="shared" si="63"/>
        <v>7.50662789954504e-5</v>
      </c>
      <c r="G1682" s="32">
        <f>(1-recovery)*notional*C1682*F1682</f>
        <v>392.324701298744</v>
      </c>
      <c r="H1682" s="14">
        <f t="shared" si="62"/>
        <v>6.80746057048056e-6</v>
      </c>
      <c r="I1682" s="33"/>
    </row>
    <row r="1683" spans="1:9">
      <c r="A1683" s="4">
        <v>1681</v>
      </c>
      <c r="B1683" s="6">
        <f>'2_Discount_Factors'!B1684</f>
        <v>4.60547945205479</v>
      </c>
      <c r="C1683" s="6">
        <f>EXP(-r_free*(('2_Discount_Factors'!B1683+'2_Discount_Factors'!B1684)/2))</f>
        <v>0.870991302636692</v>
      </c>
      <c r="D1683" s="6">
        <f>'3_Survival_Probs'!D1683</f>
        <v>0.896201997063249</v>
      </c>
      <c r="E1683" s="6">
        <f>'3_Survival_Probs'!D1684</f>
        <v>0.896126937071312</v>
      </c>
      <c r="F1683" s="8">
        <f t="shared" si="63"/>
        <v>7.5059991937021e-5</v>
      </c>
      <c r="G1683" s="29">
        <f>(1-recovery)*notional*C1683*F1683</f>
        <v>392.259600918753</v>
      </c>
      <c r="H1683" s="8">
        <f t="shared" si="62"/>
        <v>6.98544494786828e-6</v>
      </c>
      <c r="I1683" s="30"/>
    </row>
    <row r="1684" spans="1:9">
      <c r="A1684" s="10">
        <v>1682</v>
      </c>
      <c r="B1684" s="12">
        <f>'2_Discount_Factors'!B1685</f>
        <v>4.60821917808219</v>
      </c>
      <c r="C1684" s="12">
        <f>EXP(-r_free*(('2_Discount_Factors'!B1684+'2_Discount_Factors'!B1685)/2))</f>
        <v>0.870919717252353</v>
      </c>
      <c r="D1684" s="12">
        <f>'3_Survival_Probs'!D1684</f>
        <v>0.896126937071312</v>
      </c>
      <c r="E1684" s="12">
        <f>'3_Survival_Probs'!D1685</f>
        <v>0.896051883365907</v>
      </c>
      <c r="F1684" s="14">
        <f t="shared" si="63"/>
        <v>7.50537054051703e-5</v>
      </c>
      <c r="G1684" s="32">
        <f>(1-recovery)*notional*C1684*F1684</f>
        <v>392.194511341274</v>
      </c>
      <c r="H1684" s="14">
        <f t="shared" si="62"/>
        <v>7.16337007016034e-6</v>
      </c>
      <c r="I1684" s="33"/>
    </row>
    <row r="1685" spans="1:9">
      <c r="A1685" s="4">
        <v>1683</v>
      </c>
      <c r="B1685" s="6">
        <f>'2_Discount_Factors'!B1686</f>
        <v>4.61095890410959</v>
      </c>
      <c r="C1685" s="6">
        <f>EXP(-r_free*(('2_Discount_Factors'!B1685+'2_Discount_Factors'!B1686)/2))</f>
        <v>0.870848137751503</v>
      </c>
      <c r="D1685" s="6">
        <f>'3_Survival_Probs'!D1685</f>
        <v>0.896051883365907</v>
      </c>
      <c r="E1685" s="6">
        <f>'3_Survival_Probs'!D1686</f>
        <v>0.895976835946507</v>
      </c>
      <c r="F1685" s="8">
        <f t="shared" si="63"/>
        <v>7.50474193998985e-5</v>
      </c>
      <c r="G1685" s="29">
        <f>(1-recovery)*notional*C1685*F1685</f>
        <v>392.129432564745</v>
      </c>
      <c r="H1685" s="8">
        <f t="shared" si="62"/>
        <v>7.34123595212546e-6</v>
      </c>
      <c r="I1685" s="30"/>
    </row>
    <row r="1686" spans="1:9">
      <c r="A1686" s="10">
        <v>1684</v>
      </c>
      <c r="B1686" s="12">
        <f>'2_Discount_Factors'!B1687</f>
        <v>4.61369863013699</v>
      </c>
      <c r="C1686" s="12">
        <f>EXP(-r_free*(('2_Discount_Factors'!B1686+'2_Discount_Factors'!B1687)/2))</f>
        <v>0.870776564133657</v>
      </c>
      <c r="D1686" s="12">
        <f>'3_Survival_Probs'!D1686</f>
        <v>0.895976835946507</v>
      </c>
      <c r="E1686" s="12">
        <f>'3_Survival_Probs'!D1687</f>
        <v>0.895901794812586</v>
      </c>
      <c r="F1686" s="14">
        <f t="shared" si="63"/>
        <v>7.50411339209833e-5</v>
      </c>
      <c r="G1686" s="32">
        <f>(1-recovery)*notional*C1686*F1686</f>
        <v>392.064364586445</v>
      </c>
      <c r="H1686" s="14">
        <f t="shared" si="62"/>
        <v>7.51904260850726e-6</v>
      </c>
      <c r="I1686" s="33"/>
    </row>
    <row r="1687" spans="1:9">
      <c r="A1687" s="4">
        <v>1685</v>
      </c>
      <c r="B1687" s="6">
        <f>'2_Discount_Factors'!B1688</f>
        <v>4.61643835616438</v>
      </c>
      <c r="C1687" s="6">
        <f>EXP(-r_free*(('2_Discount_Factors'!B1687+'2_Discount_Factors'!B1688)/2))</f>
        <v>0.870704996398333</v>
      </c>
      <c r="D1687" s="6">
        <f>'3_Survival_Probs'!D1687</f>
        <v>0.895901794812586</v>
      </c>
      <c r="E1687" s="6">
        <f>'3_Survival_Probs'!D1688</f>
        <v>0.895826759963618</v>
      </c>
      <c r="F1687" s="8">
        <f t="shared" si="63"/>
        <v>7.5034848968647e-5</v>
      </c>
      <c r="G1687" s="29">
        <f>(1-recovery)*notional*C1687*F1687</f>
        <v>391.999307405971</v>
      </c>
      <c r="H1687" s="8">
        <f t="shared" si="62"/>
        <v>7.69679005408996e-6</v>
      </c>
      <c r="I1687" s="30"/>
    </row>
    <row r="1688" spans="1:9">
      <c r="A1688" s="10">
        <v>1686</v>
      </c>
      <c r="B1688" s="12">
        <f>'2_Discount_Factors'!B1689</f>
        <v>4.61917808219178</v>
      </c>
      <c r="C1688" s="12">
        <f>EXP(-r_free*(('2_Discount_Factors'!B1688+'2_Discount_Factors'!B1689)/2))</f>
        <v>0.870633434545047</v>
      </c>
      <c r="D1688" s="12">
        <f>'3_Survival_Probs'!D1688</f>
        <v>0.895826759963618</v>
      </c>
      <c r="E1688" s="12">
        <f>'3_Survival_Probs'!D1689</f>
        <v>0.895751731399075</v>
      </c>
      <c r="F1688" s="14">
        <f t="shared" si="63"/>
        <v>7.50285645425564e-5</v>
      </c>
      <c r="G1688" s="32">
        <f>(1-recovery)*notional*C1688*F1688</f>
        <v>391.934261020023</v>
      </c>
      <c r="H1688" s="14">
        <f t="shared" si="62"/>
        <v>7.87447830359876e-6</v>
      </c>
      <c r="I1688" s="33"/>
    </row>
    <row r="1689" spans="1:9">
      <c r="A1689" s="4">
        <v>1687</v>
      </c>
      <c r="B1689" s="6">
        <f>'2_Discount_Factors'!B1690</f>
        <v>4.62191780821918</v>
      </c>
      <c r="C1689" s="6">
        <f>EXP(-r_free*(('2_Discount_Factors'!B1689+'2_Discount_Factors'!B1690)/2))</f>
        <v>0.870561878573315</v>
      </c>
      <c r="D1689" s="6">
        <f>'3_Survival_Probs'!D1689</f>
        <v>0.895751731399075</v>
      </c>
      <c r="E1689" s="6">
        <f>'3_Survival_Probs'!D1690</f>
        <v>0.895676709118432</v>
      </c>
      <c r="F1689" s="8">
        <f t="shared" si="63"/>
        <v>7.50222806428225e-5</v>
      </c>
      <c r="G1689" s="29">
        <f>(1-recovery)*notional*C1689*F1689</f>
        <v>391.86922542762</v>
      </c>
      <c r="H1689" s="8">
        <f t="shared" si="62"/>
        <v>8.05210737180053e-6</v>
      </c>
      <c r="I1689" s="30"/>
    </row>
    <row r="1690" spans="1:9">
      <c r="A1690" s="10">
        <v>1688</v>
      </c>
      <c r="B1690" s="12">
        <f>'2_Discount_Factors'!B1691</f>
        <v>4.62465753424657</v>
      </c>
      <c r="C1690" s="12">
        <f>EXP(-r_free*(('2_Discount_Factors'!B1690+'2_Discount_Factors'!B1691)/2))</f>
        <v>0.870490328482655</v>
      </c>
      <c r="D1690" s="12">
        <f>'3_Survival_Probs'!D1690</f>
        <v>0.895676709118432</v>
      </c>
      <c r="E1690" s="12">
        <f>'3_Survival_Probs'!D1691</f>
        <v>0.895601693121163</v>
      </c>
      <c r="F1690" s="14">
        <f t="shared" si="63"/>
        <v>7.50159972694453e-5</v>
      </c>
      <c r="G1690" s="32">
        <f>(1-recovery)*notional*C1690*F1690</f>
        <v>391.8042006272</v>
      </c>
      <c r="H1690" s="14">
        <f t="shared" si="62"/>
        <v>8.22967727344811e-6</v>
      </c>
      <c r="I1690" s="33"/>
    </row>
    <row r="1691" spans="1:9">
      <c r="A1691" s="4">
        <v>1689</v>
      </c>
      <c r="B1691" s="6">
        <f>'2_Discount_Factors'!B1692</f>
        <v>4.62739726027397</v>
      </c>
      <c r="C1691" s="6">
        <f>EXP(-r_free*(('2_Discount_Factors'!B1691+'2_Discount_Factors'!B1692)/2))</f>
        <v>0.870418784272582</v>
      </c>
      <c r="D1691" s="6">
        <f>'3_Survival_Probs'!D1691</f>
        <v>0.895601693121163</v>
      </c>
      <c r="E1691" s="6">
        <f>'3_Survival_Probs'!D1692</f>
        <v>0.895526683406741</v>
      </c>
      <c r="F1691" s="8">
        <f t="shared" si="63"/>
        <v>7.50097144223139e-5</v>
      </c>
      <c r="G1691" s="29">
        <f>(1-recovery)*notional*C1691*F1691</f>
        <v>391.739186616624</v>
      </c>
      <c r="H1691" s="8">
        <f t="shared" si="62"/>
        <v>8.40718802327922e-6</v>
      </c>
      <c r="I1691" s="30"/>
    </row>
    <row r="1692" spans="1:9">
      <c r="A1692" s="10">
        <v>1690</v>
      </c>
      <c r="B1692" s="12">
        <f>'2_Discount_Factors'!B1693</f>
        <v>4.63013698630137</v>
      </c>
      <c r="C1692" s="12">
        <f>EXP(-r_free*(('2_Discount_Factors'!B1692+'2_Discount_Factors'!B1693)/2))</f>
        <v>0.870347245942613</v>
      </c>
      <c r="D1692" s="12">
        <f>'3_Survival_Probs'!D1692</f>
        <v>0.895526683406741</v>
      </c>
      <c r="E1692" s="12">
        <f>'3_Survival_Probs'!D1693</f>
        <v>0.895451679974639</v>
      </c>
      <c r="F1692" s="14">
        <f t="shared" si="63"/>
        <v>7.50034321014281e-5</v>
      </c>
      <c r="G1692" s="32">
        <f>(1-recovery)*notional*C1692*F1692</f>
        <v>391.67418339433</v>
      </c>
      <c r="H1692" s="14">
        <f t="shared" si="62"/>
        <v>8.5846396360402e-6</v>
      </c>
      <c r="I1692" s="33"/>
    </row>
    <row r="1693" spans="1:9">
      <c r="A1693" s="4">
        <v>1691</v>
      </c>
      <c r="B1693" s="6">
        <f>'2_Discount_Factors'!B1694</f>
        <v>4.63287671232877</v>
      </c>
      <c r="C1693" s="6">
        <f>EXP(-r_free*(('2_Discount_Factors'!B1693+'2_Discount_Factors'!B1694)/2))</f>
        <v>0.870275713492266</v>
      </c>
      <c r="D1693" s="6">
        <f>'3_Survival_Probs'!D1693</f>
        <v>0.895451679974639</v>
      </c>
      <c r="E1693" s="6">
        <f>'3_Survival_Probs'!D1694</f>
        <v>0.895376682824332</v>
      </c>
      <c r="F1693" s="8">
        <f t="shared" si="63"/>
        <v>7.49971503066771e-5</v>
      </c>
      <c r="G1693" s="29">
        <f>(1-recovery)*notional*C1693*F1693</f>
        <v>391.609190958181</v>
      </c>
      <c r="H1693" s="8">
        <f t="shared" si="62"/>
        <v>8.76203212646166e-6</v>
      </c>
      <c r="I1693" s="30"/>
    </row>
    <row r="1694" spans="1:9">
      <c r="A1694" s="10">
        <v>1692</v>
      </c>
      <c r="B1694" s="12">
        <f>'2_Discount_Factors'!B1695</f>
        <v>4.63561643835616</v>
      </c>
      <c r="C1694" s="12">
        <f>EXP(-r_free*(('2_Discount_Factors'!B1694+'2_Discount_Factors'!B1695)/2))</f>
        <v>0.870204186921056</v>
      </c>
      <c r="D1694" s="12">
        <f>'3_Survival_Probs'!D1694</f>
        <v>0.895376682824332</v>
      </c>
      <c r="E1694" s="12">
        <f>'3_Survival_Probs'!D1695</f>
        <v>0.895301691955294</v>
      </c>
      <c r="F1694" s="14">
        <f t="shared" si="63"/>
        <v>7.49908690380607e-5</v>
      </c>
      <c r="G1694" s="32">
        <f>(1-recovery)*notional*C1694*F1694</f>
        <v>391.544209306614</v>
      </c>
      <c r="H1694" s="14">
        <f t="shared" si="62"/>
        <v>8.93936550928352e-6</v>
      </c>
      <c r="I1694" s="33"/>
    </row>
    <row r="1695" spans="1:9">
      <c r="A1695" s="4">
        <v>1693</v>
      </c>
      <c r="B1695" s="6">
        <f>'2_Discount_Factors'!B1696</f>
        <v>4.63835616438356</v>
      </c>
      <c r="C1695" s="6">
        <f>EXP(-r_free*(('2_Discount_Factors'!B1695+'2_Discount_Factors'!B1696)/2))</f>
        <v>0.870132666228501</v>
      </c>
      <c r="D1695" s="6">
        <f>'3_Survival_Probs'!D1695</f>
        <v>0.895301691955294</v>
      </c>
      <c r="E1695" s="6">
        <f>'3_Survival_Probs'!D1696</f>
        <v>0.895226707366999</v>
      </c>
      <c r="F1695" s="8">
        <f t="shared" si="63"/>
        <v>7.49845882954681e-5</v>
      </c>
      <c r="G1695" s="29">
        <f>(1-recovery)*notional*C1695*F1695</f>
        <v>391.479238437492</v>
      </c>
      <c r="H1695" s="8">
        <f t="shared" si="62"/>
        <v>9.11663979922938e-6</v>
      </c>
      <c r="I1695" s="30"/>
    </row>
    <row r="1696" spans="1:9">
      <c r="A1696" s="10">
        <v>1694</v>
      </c>
      <c r="B1696" s="12">
        <f>'2_Discount_Factors'!B1697</f>
        <v>4.64109589041096</v>
      </c>
      <c r="C1696" s="12">
        <f>EXP(-r_free*(('2_Discount_Factors'!B1696+'2_Discount_Factors'!B1697)/2))</f>
        <v>0.870061151414118</v>
      </c>
      <c r="D1696" s="12">
        <f>'3_Survival_Probs'!D1696</f>
        <v>0.895226707366999</v>
      </c>
      <c r="E1696" s="12">
        <f>'3_Survival_Probs'!D1697</f>
        <v>0.89515172905892</v>
      </c>
      <c r="F1696" s="14">
        <f t="shared" si="63"/>
        <v>7.4978308078899e-5</v>
      </c>
      <c r="G1696" s="32">
        <f>(1-recovery)*notional*C1696*F1696</f>
        <v>391.414278349256</v>
      </c>
      <c r="H1696" s="14">
        <f t="shared" si="62"/>
        <v>9.29385501103267e-6</v>
      </c>
      <c r="I1696" s="33"/>
    </row>
    <row r="1697" spans="1:9">
      <c r="A1697" s="4">
        <v>1695</v>
      </c>
      <c r="B1697" s="6">
        <f>'2_Discount_Factors'!B1698</f>
        <v>4.64383561643836</v>
      </c>
      <c r="C1697" s="6">
        <f>EXP(-r_free*(('2_Discount_Factors'!B1697+'2_Discount_Factors'!B1698)/2))</f>
        <v>0.869989642477423</v>
      </c>
      <c r="D1697" s="6">
        <f>'3_Survival_Probs'!D1697</f>
        <v>0.89515172905892</v>
      </c>
      <c r="E1697" s="6">
        <f>'3_Survival_Probs'!D1698</f>
        <v>0.895076757030532</v>
      </c>
      <c r="F1697" s="8">
        <f t="shared" si="63"/>
        <v>7.49720283883537e-5</v>
      </c>
      <c r="G1697" s="29">
        <f>(1-recovery)*notional*C1697*F1697</f>
        <v>391.349329040346</v>
      </c>
      <c r="H1697" s="8">
        <f t="shared" si="62"/>
        <v>9.47101115942402e-6</v>
      </c>
      <c r="I1697" s="30"/>
    </row>
    <row r="1698" spans="1:9">
      <c r="A1698" s="10">
        <v>1696</v>
      </c>
      <c r="B1698" s="12">
        <f>'2_Discount_Factors'!B1699</f>
        <v>4.64657534246575</v>
      </c>
      <c r="C1698" s="12">
        <f>EXP(-r_free*(('2_Discount_Factors'!B1698+'2_Discount_Factors'!B1699)/2))</f>
        <v>0.869918139417933</v>
      </c>
      <c r="D1698" s="12">
        <f>'3_Survival_Probs'!D1698</f>
        <v>0.895076757030532</v>
      </c>
      <c r="E1698" s="12">
        <f>'3_Survival_Probs'!D1699</f>
        <v>0.895001791281308</v>
      </c>
      <c r="F1698" s="14">
        <f t="shared" si="63"/>
        <v>7.4965749223832e-5</v>
      </c>
      <c r="G1698" s="32">
        <f>(1-recovery)*notional*C1698*F1698</f>
        <v>391.284390509204</v>
      </c>
      <c r="H1698" s="14">
        <f t="shared" si="62"/>
        <v>9.64810825913112e-6</v>
      </c>
      <c r="I1698" s="33"/>
    </row>
    <row r="1699" spans="1:9">
      <c r="A1699" s="4">
        <v>1697</v>
      </c>
      <c r="B1699" s="6">
        <f>'2_Discount_Factors'!B1700</f>
        <v>4.64931506849315</v>
      </c>
      <c r="C1699" s="6">
        <f>EXP(-r_free*(('2_Discount_Factors'!B1699+'2_Discount_Factors'!B1700)/2))</f>
        <v>0.869846642235166</v>
      </c>
      <c r="D1699" s="6">
        <f>'3_Survival_Probs'!D1699</f>
        <v>0.895001791281308</v>
      </c>
      <c r="E1699" s="6">
        <f>'3_Survival_Probs'!D1700</f>
        <v>0.894926831810723</v>
      </c>
      <c r="F1699" s="8">
        <f t="shared" si="63"/>
        <v>7.4959470585112e-5</v>
      </c>
      <c r="G1699" s="29">
        <f>(1-recovery)*notional*C1699*F1699</f>
        <v>391.219462753112</v>
      </c>
      <c r="H1699" s="8">
        <f t="shared" si="62"/>
        <v>9.82514632484991e-6</v>
      </c>
      <c r="I1699" s="30"/>
    </row>
    <row r="1700" spans="1:9">
      <c r="A1700" s="10">
        <v>1698</v>
      </c>
      <c r="B1700" s="12">
        <f>'2_Discount_Factors'!B1701</f>
        <v>4.65205479452055</v>
      </c>
      <c r="C1700" s="12">
        <f>EXP(-r_free*(('2_Discount_Factors'!B1700+'2_Discount_Factors'!B1701)/2))</f>
        <v>0.869775150928638</v>
      </c>
      <c r="D1700" s="12">
        <f>'3_Survival_Probs'!D1700</f>
        <v>0.894926831810723</v>
      </c>
      <c r="E1700" s="12">
        <f>'3_Survival_Probs'!D1701</f>
        <v>0.89485187861825</v>
      </c>
      <c r="F1700" s="14">
        <f t="shared" si="63"/>
        <v>7.49531924723046e-5</v>
      </c>
      <c r="G1700" s="32">
        <f>(1-recovery)*notional*C1700*F1700</f>
        <v>391.154545771092</v>
      </c>
      <c r="H1700" s="14">
        <f t="shared" si="62"/>
        <v>1.00021253713157e-5</v>
      </c>
      <c r="I1700" s="33"/>
    </row>
    <row r="1701" spans="1:9">
      <c r="A1701" s="4">
        <v>1699</v>
      </c>
      <c r="B1701" s="6">
        <f>'2_Discount_Factors'!B1702</f>
        <v>4.65479452054795</v>
      </c>
      <c r="C1701" s="6">
        <f>EXP(-r_free*(('2_Discount_Factors'!B1701+'2_Discount_Factors'!B1702)/2))</f>
        <v>0.869703665497866</v>
      </c>
      <c r="D1701" s="6">
        <f>'3_Survival_Probs'!D1701</f>
        <v>0.89485187861825</v>
      </c>
      <c r="E1701" s="6">
        <f>'3_Survival_Probs'!D1702</f>
        <v>0.894776931703365</v>
      </c>
      <c r="F1701" s="8">
        <f t="shared" si="63"/>
        <v>7.49469148852988e-5</v>
      </c>
      <c r="G1701" s="29">
        <f>(1-recovery)*notional*C1701*F1701</f>
        <v>391.089639561006</v>
      </c>
      <c r="H1701" s="8">
        <f t="shared" si="62"/>
        <v>1.01790454132317e-5</v>
      </c>
      <c r="I1701" s="30"/>
    </row>
    <row r="1702" spans="1:9">
      <c r="A1702" s="10">
        <v>1700</v>
      </c>
      <c r="B1702" s="12">
        <f>'2_Discount_Factors'!B1703</f>
        <v>4.65753424657534</v>
      </c>
      <c r="C1702" s="12">
        <f>EXP(-r_free*(('2_Discount_Factors'!B1702+'2_Discount_Factors'!B1703)/2))</f>
        <v>0.869632185942367</v>
      </c>
      <c r="D1702" s="12">
        <f>'3_Survival_Probs'!D1702</f>
        <v>0.894776931703365</v>
      </c>
      <c r="E1702" s="12">
        <f>'3_Survival_Probs'!D1703</f>
        <v>0.894701991065541</v>
      </c>
      <c r="F1702" s="14">
        <f t="shared" si="63"/>
        <v>7.49406378239836e-5</v>
      </c>
      <c r="G1702" s="32">
        <f>(1-recovery)*notional*C1702*F1702</f>
        <v>391.024744120717</v>
      </c>
      <c r="H1702" s="14">
        <f t="shared" si="62"/>
        <v>1.03559064652976e-5</v>
      </c>
      <c r="I1702" s="33"/>
    </row>
    <row r="1703" spans="1:9">
      <c r="A1703" s="4">
        <v>1701</v>
      </c>
      <c r="B1703" s="6">
        <f>'2_Discount_Factors'!B1704</f>
        <v>4.66027397260274</v>
      </c>
      <c r="C1703" s="6">
        <f>EXP(-r_free*(('2_Discount_Factors'!B1703+'2_Discount_Factors'!B1704)/2))</f>
        <v>0.869560712261659</v>
      </c>
      <c r="D1703" s="6">
        <f>'3_Survival_Probs'!D1703</f>
        <v>0.894701991065541</v>
      </c>
      <c r="E1703" s="6">
        <f>'3_Survival_Probs'!D1704</f>
        <v>0.894627056704253</v>
      </c>
      <c r="F1703" s="8">
        <f t="shared" si="63"/>
        <v>7.49343612884701e-5</v>
      </c>
      <c r="G1703" s="29">
        <f>(1-recovery)*notional*C1703*F1703</f>
        <v>390.959859449247</v>
      </c>
      <c r="H1703" s="8">
        <f t="shared" si="62"/>
        <v>1.05327085422401e-5</v>
      </c>
      <c r="I1703" s="30"/>
    </row>
    <row r="1704" spans="1:9">
      <c r="A1704" s="10">
        <v>1702</v>
      </c>
      <c r="B1704" s="12">
        <f>'2_Discount_Factors'!B1705</f>
        <v>4.66301369863014</v>
      </c>
      <c r="C1704" s="12">
        <f>EXP(-r_free*(('2_Discount_Factors'!B1704+'2_Discount_Factors'!B1705)/2))</f>
        <v>0.869489244455259</v>
      </c>
      <c r="D1704" s="12">
        <f>'3_Survival_Probs'!D1704</f>
        <v>0.894627056704253</v>
      </c>
      <c r="E1704" s="12">
        <f>'3_Survival_Probs'!D1705</f>
        <v>0.894552128618974</v>
      </c>
      <c r="F1704" s="14">
        <f t="shared" si="63"/>
        <v>7.49280852786471e-5</v>
      </c>
      <c r="G1704" s="32">
        <f>(1-recovery)*notional*C1704*F1704</f>
        <v>390.894985544461</v>
      </c>
      <c r="H1704" s="14">
        <f t="shared" si="62"/>
        <v>1.07094516587525e-5</v>
      </c>
      <c r="I1704" s="33"/>
    </row>
    <row r="1705" spans="1:9">
      <c r="A1705" s="4">
        <v>1703</v>
      </c>
      <c r="B1705" s="6">
        <f>'2_Discount_Factors'!B1706</f>
        <v>4.66575342465753</v>
      </c>
      <c r="C1705" s="6">
        <f>EXP(-r_free*(('2_Discount_Factors'!B1705+'2_Discount_Factors'!B1706)/2))</f>
        <v>0.869417782522684</v>
      </c>
      <c r="D1705" s="6">
        <f>'3_Survival_Probs'!D1705</f>
        <v>0.894552128618974</v>
      </c>
      <c r="E1705" s="6">
        <f>'3_Survival_Probs'!D1706</f>
        <v>0.89447720680918</v>
      </c>
      <c r="F1705" s="8">
        <f t="shared" si="63"/>
        <v>7.49218097944038e-5</v>
      </c>
      <c r="G1705" s="29">
        <f>(1-recovery)*notional*C1705*F1705</f>
        <v>390.830122404221</v>
      </c>
      <c r="H1705" s="8">
        <f t="shared" si="62"/>
        <v>1.08861358295241e-5</v>
      </c>
      <c r="I1705" s="30"/>
    </row>
    <row r="1706" spans="1:9">
      <c r="A1706" s="10">
        <v>1704</v>
      </c>
      <c r="B1706" s="12">
        <f>'2_Discount_Factors'!B1707</f>
        <v>4.66849315068493</v>
      </c>
      <c r="C1706" s="12">
        <f>EXP(-r_free*(('2_Discount_Factors'!B1706+'2_Discount_Factors'!B1707)/2))</f>
        <v>0.869346326463451</v>
      </c>
      <c r="D1706" s="12">
        <f>'3_Survival_Probs'!D1706</f>
        <v>0.89447720680918</v>
      </c>
      <c r="E1706" s="12">
        <f>'3_Survival_Probs'!D1707</f>
        <v>0.894402291274344</v>
      </c>
      <c r="F1706" s="14">
        <f t="shared" si="63"/>
        <v>7.4915534835851e-5</v>
      </c>
      <c r="G1706" s="32">
        <f>(1-recovery)*notional*C1706*F1706</f>
        <v>390.765270027551</v>
      </c>
      <c r="H1706" s="14">
        <f t="shared" si="62"/>
        <v>1.10627610692732e-5</v>
      </c>
      <c r="I1706" s="33"/>
    </row>
    <row r="1707" spans="1:9">
      <c r="A1707" s="4">
        <v>1705</v>
      </c>
      <c r="B1707" s="6">
        <f>'2_Discount_Factors'!B1708</f>
        <v>4.67123287671233</v>
      </c>
      <c r="C1707" s="6">
        <f>EXP(-r_free*(('2_Discount_Factors'!B1707+'2_Discount_Factors'!B1708)/2))</f>
        <v>0.869274876277077</v>
      </c>
      <c r="D1707" s="6">
        <f>'3_Survival_Probs'!D1707</f>
        <v>0.894402291274344</v>
      </c>
      <c r="E1707" s="6">
        <f>'3_Survival_Probs'!D1708</f>
        <v>0.894327382013941</v>
      </c>
      <c r="F1707" s="8">
        <f t="shared" si="63"/>
        <v>7.49092604027668e-5</v>
      </c>
      <c r="G1707" s="29">
        <f>(1-recovery)*notional*C1707*F1707</f>
        <v>390.700428411735</v>
      </c>
      <c r="H1707" s="8">
        <f t="shared" si="62"/>
        <v>1.12393273926664e-5</v>
      </c>
      <c r="I1707" s="30"/>
    </row>
    <row r="1708" spans="1:9">
      <c r="A1708" s="10">
        <v>1706</v>
      </c>
      <c r="B1708" s="12">
        <f>'2_Discount_Factors'!B1709</f>
        <v>4.67397260273973</v>
      </c>
      <c r="C1708" s="12">
        <f>EXP(-r_free*(('2_Discount_Factors'!B1708+'2_Discount_Factors'!B1709)/2))</f>
        <v>0.86920343196308</v>
      </c>
      <c r="D1708" s="12">
        <f>'3_Survival_Probs'!D1708</f>
        <v>0.894327382013941</v>
      </c>
      <c r="E1708" s="12">
        <f>'3_Survival_Probs'!D1709</f>
        <v>0.894252479027446</v>
      </c>
      <c r="F1708" s="14">
        <f t="shared" si="63"/>
        <v>7.49029864952622e-5</v>
      </c>
      <c r="G1708" s="32">
        <f>(1-recovery)*notional*C1708*F1708</f>
        <v>390.635597555797</v>
      </c>
      <c r="H1708" s="14">
        <f t="shared" si="62"/>
        <v>1.1415834814416e-5</v>
      </c>
      <c r="I1708" s="33"/>
    </row>
    <row r="1709" spans="1:9">
      <c r="A1709" s="4">
        <v>1707</v>
      </c>
      <c r="B1709" s="6">
        <f>'2_Discount_Factors'!B1710</f>
        <v>4.67671232876712</v>
      </c>
      <c r="C1709" s="6">
        <f>EXP(-r_free*(('2_Discount_Factors'!B1709+'2_Discount_Factors'!B1710)/2))</f>
        <v>0.869131993520977</v>
      </c>
      <c r="D1709" s="6">
        <f>'3_Survival_Probs'!D1709</f>
        <v>0.894252479027446</v>
      </c>
      <c r="E1709" s="6">
        <f>'3_Survival_Probs'!D1710</f>
        <v>0.894177582314333</v>
      </c>
      <c r="F1709" s="8">
        <f t="shared" si="63"/>
        <v>7.48967131131151e-5</v>
      </c>
      <c r="G1709" s="29">
        <f>(1-recovery)*notional*C1709*F1709</f>
        <v>390.570777457022</v>
      </c>
      <c r="H1709" s="8">
        <f t="shared" ref="H1709:H1735" si="64">C1709*(B1709-4.4986301369863)*F1709</f>
        <v>1.15922833491811e-5</v>
      </c>
      <c r="I1709" s="30"/>
    </row>
    <row r="1710" spans="1:9">
      <c r="A1710" s="10">
        <v>1708</v>
      </c>
      <c r="B1710" s="12">
        <f>'2_Discount_Factors'!B1711</f>
        <v>4.67945205479452</v>
      </c>
      <c r="C1710" s="12">
        <f>EXP(-r_free*(('2_Discount_Factors'!B1710+'2_Discount_Factors'!B1711)/2))</f>
        <v>0.869060560950285</v>
      </c>
      <c r="D1710" s="12">
        <f>'3_Survival_Probs'!D1710</f>
        <v>0.894177582314333</v>
      </c>
      <c r="E1710" s="12">
        <f>'3_Survival_Probs'!D1711</f>
        <v>0.894102691874076</v>
      </c>
      <c r="F1710" s="14">
        <f t="shared" si="63"/>
        <v>7.48904402564365e-5</v>
      </c>
      <c r="G1710" s="32">
        <f>(1-recovery)*notional*C1710*F1710</f>
        <v>390.505968114435</v>
      </c>
      <c r="H1710" s="14">
        <f t="shared" si="64"/>
        <v>1.1768673011668e-5</v>
      </c>
      <c r="I1710" s="33"/>
    </row>
    <row r="1711" spans="1:9">
      <c r="A1711" s="4">
        <v>1709</v>
      </c>
      <c r="B1711" s="6">
        <f>'2_Discount_Factors'!B1712</f>
        <v>4.68219178082192</v>
      </c>
      <c r="C1711" s="6">
        <f>EXP(-r_free*(('2_Discount_Factors'!B1711+'2_Discount_Factors'!B1712)/2))</f>
        <v>0.868989134250523</v>
      </c>
      <c r="D1711" s="6">
        <f>'3_Survival_Probs'!D1711</f>
        <v>0.894102691874076</v>
      </c>
      <c r="E1711" s="6">
        <f>'3_Survival_Probs'!D1712</f>
        <v>0.894027807706151</v>
      </c>
      <c r="F1711" s="8">
        <f t="shared" si="63"/>
        <v>7.48841679251155e-5</v>
      </c>
      <c r="G1711" s="29">
        <f>(1-recovery)*notional*C1711*F1711</f>
        <v>390.441169525902</v>
      </c>
      <c r="H1711" s="8">
        <f t="shared" si="64"/>
        <v>1.19450038165459e-5</v>
      </c>
      <c r="I1711" s="30"/>
    </row>
    <row r="1712" spans="1:9">
      <c r="A1712" s="10">
        <v>1710</v>
      </c>
      <c r="B1712" s="12">
        <f>'2_Discount_Factors'!B1713</f>
        <v>4.68493150684932</v>
      </c>
      <c r="C1712" s="12">
        <f>EXP(-r_free*(('2_Discount_Factors'!B1712+'2_Discount_Factors'!B1713)/2))</f>
        <v>0.868917713421207</v>
      </c>
      <c r="D1712" s="12">
        <f>'3_Survival_Probs'!D1712</f>
        <v>0.894027807706151</v>
      </c>
      <c r="E1712" s="12">
        <f>'3_Survival_Probs'!D1713</f>
        <v>0.893952929810032</v>
      </c>
      <c r="F1712" s="14">
        <f t="shared" si="63"/>
        <v>7.48778961191521e-5</v>
      </c>
      <c r="G1712" s="32">
        <f>(1-recovery)*notional*C1712*F1712</f>
        <v>390.376381689866</v>
      </c>
      <c r="H1712" s="14">
        <f t="shared" si="64"/>
        <v>1.21212757784982e-5</v>
      </c>
      <c r="I1712" s="33"/>
    </row>
    <row r="1713" spans="1:9">
      <c r="A1713" s="4">
        <v>1711</v>
      </c>
      <c r="B1713" s="6">
        <f>'2_Discount_Factors'!B1714</f>
        <v>4.68767123287671</v>
      </c>
      <c r="C1713" s="6">
        <f>EXP(-r_free*(('2_Discount_Factors'!B1713+'2_Discount_Factors'!B1714)/2))</f>
        <v>0.868846298461855</v>
      </c>
      <c r="D1713" s="6">
        <f>'3_Survival_Probs'!D1713</f>
        <v>0.893952929810032</v>
      </c>
      <c r="E1713" s="6">
        <f>'3_Survival_Probs'!D1714</f>
        <v>0.893878058185194</v>
      </c>
      <c r="F1713" s="8">
        <f t="shared" si="63"/>
        <v>7.48716248384351e-5</v>
      </c>
      <c r="G1713" s="29">
        <f>(1-recovery)*notional*C1713*F1713</f>
        <v>390.311604604194</v>
      </c>
      <c r="H1713" s="8">
        <f t="shared" si="64"/>
        <v>1.2297488912187e-5</v>
      </c>
      <c r="I1713" s="30"/>
    </row>
    <row r="1714" spans="1:9">
      <c r="A1714" s="10">
        <v>1712</v>
      </c>
      <c r="B1714" s="12">
        <f>'2_Discount_Factors'!B1715</f>
        <v>4.69041095890411</v>
      </c>
      <c r="C1714" s="12">
        <f>EXP(-r_free*(('2_Discount_Factors'!B1714+'2_Discount_Factors'!B1715)/2))</f>
        <v>0.868774889371984</v>
      </c>
      <c r="D1714" s="12">
        <f>'3_Survival_Probs'!D1714</f>
        <v>0.893878058185194</v>
      </c>
      <c r="E1714" s="12">
        <f>'3_Survival_Probs'!D1715</f>
        <v>0.89380319283111</v>
      </c>
      <c r="F1714" s="14">
        <f t="shared" si="63"/>
        <v>7.48653540830757e-5</v>
      </c>
      <c r="G1714" s="32">
        <f>(1-recovery)*notional*C1714*F1714</f>
        <v>390.246838267911</v>
      </c>
      <c r="H1714" s="14">
        <f t="shared" si="64"/>
        <v>1.24736432323078e-5</v>
      </c>
      <c r="I1714" s="33"/>
    </row>
    <row r="1715" spans="1:9">
      <c r="A1715" s="4">
        <v>1713</v>
      </c>
      <c r="B1715" s="6">
        <f>'2_Discount_Factors'!B1716</f>
        <v>4.69315068493151</v>
      </c>
      <c r="C1715" s="6">
        <f>EXP(-r_free*(('2_Discount_Factors'!B1715+'2_Discount_Factors'!B1716)/2))</f>
        <v>0.868703486151112</v>
      </c>
      <c r="D1715" s="6">
        <f>'3_Survival_Probs'!D1715</f>
        <v>0.89380319283111</v>
      </c>
      <c r="E1715" s="6">
        <f>'3_Survival_Probs'!D1716</f>
        <v>0.893728333747258</v>
      </c>
      <c r="F1715" s="8">
        <f t="shared" si="63"/>
        <v>7.48590838527408e-5</v>
      </c>
      <c r="G1715" s="29">
        <f>(1-recovery)*notional*C1715*F1715</f>
        <v>390.182082677726</v>
      </c>
      <c r="H1715" s="8">
        <f t="shared" si="64"/>
        <v>1.26497387534789e-5</v>
      </c>
      <c r="I1715" s="30"/>
    </row>
    <row r="1716" spans="1:9">
      <c r="A1716" s="10">
        <v>1714</v>
      </c>
      <c r="B1716" s="12">
        <f>'2_Discount_Factors'!B1717</f>
        <v>4.6958904109589</v>
      </c>
      <c r="C1716" s="12">
        <f>EXP(-r_free*(('2_Discount_Factors'!B1716+'2_Discount_Factors'!B1717)/2))</f>
        <v>0.868632088798757</v>
      </c>
      <c r="D1716" s="12">
        <f>'3_Survival_Probs'!D1716</f>
        <v>0.893728333747258</v>
      </c>
      <c r="E1716" s="12">
        <f>'3_Survival_Probs'!D1717</f>
        <v>0.89365348093311</v>
      </c>
      <c r="F1716" s="14">
        <f t="shared" si="63"/>
        <v>7.48528141476523e-5</v>
      </c>
      <c r="G1716" s="32">
        <f>(1-recovery)*notional*C1716*F1716</f>
        <v>390.117337833242</v>
      </c>
      <c r="H1716" s="14">
        <f t="shared" si="64"/>
        <v>1.2825775490408e-5</v>
      </c>
      <c r="I1716" s="33"/>
    </row>
    <row r="1717" spans="1:9">
      <c r="A1717" s="4">
        <v>1715</v>
      </c>
      <c r="B1717" s="6">
        <f>'2_Discount_Factors'!B1718</f>
        <v>4.6986301369863</v>
      </c>
      <c r="C1717" s="6">
        <f>EXP(-r_free*(('2_Discount_Factors'!B1717+'2_Discount_Factors'!B1718)/2))</f>
        <v>0.868560697314436</v>
      </c>
      <c r="D1717" s="6">
        <f>'3_Survival_Probs'!D1717</f>
        <v>0.89365348093311</v>
      </c>
      <c r="E1717" s="6">
        <f>'3_Survival_Probs'!D1718</f>
        <v>0.893578634388142</v>
      </c>
      <c r="F1717" s="8">
        <f t="shared" si="63"/>
        <v>7.48465449676994e-5</v>
      </c>
      <c r="G1717" s="29">
        <f>(1-recovery)*notional*C1717*F1717</f>
        <v>390.052603732328</v>
      </c>
      <c r="H1717" s="8">
        <f t="shared" si="64"/>
        <v>1.30017534577443e-5</v>
      </c>
      <c r="I1717" s="30"/>
    </row>
    <row r="1718" spans="1:9">
      <c r="A1718" s="10">
        <v>1716</v>
      </c>
      <c r="B1718" s="12">
        <f>'2_Discount_Factors'!B1719</f>
        <v>4.7013698630137</v>
      </c>
      <c r="C1718" s="12">
        <f>EXP(-r_free*(('2_Discount_Factors'!B1718+'2_Discount_Factors'!B1719)/2))</f>
        <v>0.868489311697668</v>
      </c>
      <c r="D1718" s="12">
        <f>'3_Survival_Probs'!D1718</f>
        <v>0.893578634388142</v>
      </c>
      <c r="E1718" s="12">
        <f>'3_Survival_Probs'!D1719</f>
        <v>0.89350379411183</v>
      </c>
      <c r="F1718" s="14">
        <f t="shared" si="63"/>
        <v>7.48402763127709e-5</v>
      </c>
      <c r="G1718" s="32">
        <f>(1-recovery)*notional*C1718*F1718</f>
        <v>389.98788037285</v>
      </c>
      <c r="H1718" s="14">
        <f t="shared" si="64"/>
        <v>1.31776726701329e-5</v>
      </c>
      <c r="I1718" s="33"/>
    </row>
    <row r="1719" spans="1:9">
      <c r="A1719" s="4">
        <v>1717</v>
      </c>
      <c r="B1719" s="6">
        <f>'2_Discount_Factors'!B1720</f>
        <v>4.7041095890411</v>
      </c>
      <c r="C1719" s="6">
        <f>EXP(-r_free*(('2_Discount_Factors'!B1719+'2_Discount_Factors'!B1720)/2))</f>
        <v>0.868417931947969</v>
      </c>
      <c r="D1719" s="6">
        <f>'3_Survival_Probs'!D1719</f>
        <v>0.89350379411183</v>
      </c>
      <c r="E1719" s="6">
        <f>'3_Survival_Probs'!D1720</f>
        <v>0.893428960103647</v>
      </c>
      <c r="F1719" s="8">
        <f t="shared" si="63"/>
        <v>7.48340081828669e-5</v>
      </c>
      <c r="G1719" s="29">
        <f>(1-recovery)*notional*C1719*F1719</f>
        <v>389.923167753256</v>
      </c>
      <c r="H1719" s="8">
        <f t="shared" si="64"/>
        <v>1.33535331422349e-5</v>
      </c>
      <c r="I1719" s="30"/>
    </row>
    <row r="1720" spans="1:9">
      <c r="A1720" s="10">
        <v>1718</v>
      </c>
      <c r="B1720" s="12">
        <f>'2_Discount_Factors'!B1721</f>
        <v>4.70684931506849</v>
      </c>
      <c r="C1720" s="12">
        <f>EXP(-r_free*(('2_Discount_Factors'!B1720+'2_Discount_Factors'!B1721)/2))</f>
        <v>0.868346558064858</v>
      </c>
      <c r="D1720" s="12">
        <f>'3_Survival_Probs'!D1720</f>
        <v>0.893428960103647</v>
      </c>
      <c r="E1720" s="12">
        <f>'3_Survival_Probs'!D1721</f>
        <v>0.893354132363069</v>
      </c>
      <c r="F1720" s="14">
        <f t="shared" si="63"/>
        <v>7.48277405779874e-5</v>
      </c>
      <c r="G1720" s="32">
        <f>(1-recovery)*notional*C1720*F1720</f>
        <v>389.858465871993</v>
      </c>
      <c r="H1720" s="14">
        <f t="shared" si="64"/>
        <v>1.35293348887085e-5</v>
      </c>
      <c r="I1720" s="33"/>
    </row>
    <row r="1721" spans="1:9">
      <c r="A1721" s="4">
        <v>1719</v>
      </c>
      <c r="B1721" s="6">
        <f>'2_Discount_Factors'!B1722</f>
        <v>4.70958904109589</v>
      </c>
      <c r="C1721" s="6">
        <f>EXP(-r_free*(('2_Discount_Factors'!B1721+'2_Discount_Factors'!B1722)/2))</f>
        <v>0.868275190047853</v>
      </c>
      <c r="D1721" s="6">
        <f>'3_Survival_Probs'!D1721</f>
        <v>0.893354132363069</v>
      </c>
      <c r="E1721" s="6">
        <f>'3_Survival_Probs'!D1722</f>
        <v>0.893279310889571</v>
      </c>
      <c r="F1721" s="8">
        <f t="shared" si="63"/>
        <v>7.48214734979102e-5</v>
      </c>
      <c r="G1721" s="29">
        <f>(1-recovery)*notional*C1721*F1721</f>
        <v>389.79377472635</v>
      </c>
      <c r="H1721" s="8">
        <f t="shared" si="64"/>
        <v>1.37050779241686e-5</v>
      </c>
      <c r="I1721" s="30"/>
    </row>
    <row r="1722" spans="1:9">
      <c r="A1722" s="10">
        <v>1720</v>
      </c>
      <c r="B1722" s="12">
        <f>'2_Discount_Factors'!B1723</f>
        <v>4.71232876712329</v>
      </c>
      <c r="C1722" s="12">
        <f>EXP(-r_free*(('2_Discount_Factors'!B1722+'2_Discount_Factors'!B1723)/2))</f>
        <v>0.86820382789647</v>
      </c>
      <c r="D1722" s="12">
        <f>'3_Survival_Probs'!D1722</f>
        <v>0.893279310889571</v>
      </c>
      <c r="E1722" s="12">
        <f>'3_Survival_Probs'!D1723</f>
        <v>0.893204495682628</v>
      </c>
      <c r="F1722" s="14">
        <f t="shared" si="63"/>
        <v>7.48152069428576e-5</v>
      </c>
      <c r="G1722" s="32">
        <f>(1-recovery)*notional*C1722*F1722</f>
        <v>389.729094315933</v>
      </c>
      <c r="H1722" s="14">
        <f t="shared" si="64"/>
        <v>1.38807622633073e-5</v>
      </c>
      <c r="I1722" s="33"/>
    </row>
    <row r="1723" spans="1:9">
      <c r="A1723" s="4">
        <v>1721</v>
      </c>
      <c r="B1723" s="6">
        <f>'2_Discount_Factors'!B1724</f>
        <v>4.71506849315069</v>
      </c>
      <c r="C1723" s="6">
        <f>EXP(-r_free*(('2_Discount_Factors'!B1723+'2_Discount_Factors'!B1724)/2))</f>
        <v>0.86813247161023</v>
      </c>
      <c r="D1723" s="6">
        <f>'3_Survival_Probs'!D1723</f>
        <v>0.893204495682628</v>
      </c>
      <c r="E1723" s="6">
        <f>'3_Survival_Probs'!D1724</f>
        <v>0.893129686741715</v>
      </c>
      <c r="F1723" s="8">
        <f t="shared" si="63"/>
        <v>7.48089409126074e-5</v>
      </c>
      <c r="G1723" s="29">
        <f>(1-recovery)*notional*C1723*F1723</f>
        <v>389.664424638033</v>
      </c>
      <c r="H1723" s="8">
        <f t="shared" si="64"/>
        <v>1.40563879207328e-5</v>
      </c>
      <c r="I1723" s="30"/>
    </row>
    <row r="1724" spans="1:9">
      <c r="A1724" s="10">
        <v>1722</v>
      </c>
      <c r="B1724" s="12">
        <f>'2_Discount_Factors'!B1725</f>
        <v>4.71780821917808</v>
      </c>
      <c r="C1724" s="12">
        <f>EXP(-r_free*(('2_Discount_Factors'!B1724+'2_Discount_Factors'!B1725)/2))</f>
        <v>0.868061121188648</v>
      </c>
      <c r="D1724" s="12">
        <f>'3_Survival_Probs'!D1724</f>
        <v>0.893129686741715</v>
      </c>
      <c r="E1724" s="12">
        <f>'3_Survival_Probs'!D1725</f>
        <v>0.893054884066308</v>
      </c>
      <c r="F1724" s="14">
        <f t="shared" si="63"/>
        <v>7.48026754071596e-5</v>
      </c>
      <c r="G1724" s="32">
        <f>(1-recovery)*notional*C1724*F1724</f>
        <v>389.599765691097</v>
      </c>
      <c r="H1724" s="14">
        <f t="shared" si="64"/>
        <v>1.42319549110904e-5</v>
      </c>
      <c r="I1724" s="33"/>
    </row>
    <row r="1725" spans="1:9">
      <c r="A1725" s="4">
        <v>1723</v>
      </c>
      <c r="B1725" s="6">
        <f>'2_Discount_Factors'!B1726</f>
        <v>4.72054794520548</v>
      </c>
      <c r="C1725" s="6">
        <f>EXP(-r_free*(('2_Discount_Factors'!B1725+'2_Discount_Factors'!B1726)/2))</f>
        <v>0.867989776631243</v>
      </c>
      <c r="D1725" s="6">
        <f>'3_Survival_Probs'!D1725</f>
        <v>0.893054884066308</v>
      </c>
      <c r="E1725" s="6">
        <f>'3_Survival_Probs'!D1726</f>
        <v>0.892980087655882</v>
      </c>
      <c r="F1725" s="8">
        <f t="shared" si="63"/>
        <v>7.47964104264032e-5</v>
      </c>
      <c r="G1725" s="29">
        <f>(1-recovery)*notional*C1725*F1725</f>
        <v>389.535117472995</v>
      </c>
      <c r="H1725" s="8">
        <f t="shared" si="64"/>
        <v>1.44074632490012e-5</v>
      </c>
      <c r="I1725" s="30"/>
    </row>
    <row r="1726" spans="1:9">
      <c r="A1726" s="10">
        <v>1724</v>
      </c>
      <c r="B1726" s="12">
        <f>'2_Discount_Factors'!B1727</f>
        <v>4.72328767123288</v>
      </c>
      <c r="C1726" s="12">
        <f>EXP(-r_free*(('2_Discount_Factors'!B1726+'2_Discount_Factors'!B1727)/2))</f>
        <v>0.867918437937534</v>
      </c>
      <c r="D1726" s="12">
        <f>'3_Survival_Probs'!D1726</f>
        <v>0.892980087655882</v>
      </c>
      <c r="E1726" s="12">
        <f>'3_Survival_Probs'!D1727</f>
        <v>0.892905297509911</v>
      </c>
      <c r="F1726" s="14">
        <f t="shared" si="63"/>
        <v>7.47901459704492e-5</v>
      </c>
      <c r="G1726" s="32">
        <f>(1-recovery)*notional*C1726*F1726</f>
        <v>389.470479982755</v>
      </c>
      <c r="H1726" s="14">
        <f t="shared" si="64"/>
        <v>1.4582912949126e-5</v>
      </c>
      <c r="I1726" s="33"/>
    </row>
    <row r="1727" spans="1:9">
      <c r="A1727" s="4">
        <v>1725</v>
      </c>
      <c r="B1727" s="6">
        <f>'2_Discount_Factors'!B1728</f>
        <v>4.72602739726027</v>
      </c>
      <c r="C1727" s="6">
        <f>EXP(-r_free*(('2_Discount_Factors'!B1727+'2_Discount_Factors'!B1728)/2))</f>
        <v>0.867847105107038</v>
      </c>
      <c r="D1727" s="6">
        <f>'3_Survival_Probs'!D1727</f>
        <v>0.892905297509911</v>
      </c>
      <c r="E1727" s="6">
        <f>'3_Survival_Probs'!D1728</f>
        <v>0.892830513627872</v>
      </c>
      <c r="F1727" s="8">
        <f t="shared" si="63"/>
        <v>7.47838820391866e-5</v>
      </c>
      <c r="G1727" s="29">
        <f>(1-recovery)*notional*C1727*F1727</f>
        <v>389.405853218246</v>
      </c>
      <c r="H1727" s="8">
        <f t="shared" si="64"/>
        <v>1.47583040260797e-5</v>
      </c>
      <c r="I1727" s="30"/>
    </row>
    <row r="1728" spans="1:9">
      <c r="A1728" s="10">
        <v>1726</v>
      </c>
      <c r="B1728" s="12">
        <f>'2_Discount_Factors'!B1729</f>
        <v>4.72876712328767</v>
      </c>
      <c r="C1728" s="12">
        <f>EXP(-r_free*(('2_Discount_Factors'!B1728+'2_Discount_Factors'!B1729)/2))</f>
        <v>0.867775778139274</v>
      </c>
      <c r="D1728" s="12">
        <f>'3_Survival_Probs'!D1728</f>
        <v>0.892830513627872</v>
      </c>
      <c r="E1728" s="12">
        <f>'3_Survival_Probs'!D1729</f>
        <v>0.89275573600924</v>
      </c>
      <c r="F1728" s="14">
        <f t="shared" si="63"/>
        <v>7.47776186323934e-5</v>
      </c>
      <c r="G1728" s="32">
        <f>(1-recovery)*notional*C1728*F1728</f>
        <v>389.341237176762</v>
      </c>
      <c r="H1728" s="14">
        <f t="shared" si="64"/>
        <v>1.49336364944512e-5</v>
      </c>
      <c r="I1728" s="33"/>
    </row>
    <row r="1729" spans="1:9">
      <c r="A1729" s="4">
        <v>1727</v>
      </c>
      <c r="B1729" s="6">
        <f>'2_Discount_Factors'!B1730</f>
        <v>4.73150684931507</v>
      </c>
      <c r="C1729" s="6">
        <f>EXP(-r_free*(('2_Discount_Factors'!B1729+'2_Discount_Factors'!B1730)/2))</f>
        <v>0.867704457033759</v>
      </c>
      <c r="D1729" s="6">
        <f>'3_Survival_Probs'!D1729</f>
        <v>0.89275573600924</v>
      </c>
      <c r="E1729" s="6">
        <f>'3_Survival_Probs'!D1730</f>
        <v>0.892680964653489</v>
      </c>
      <c r="F1729" s="8">
        <f t="shared" si="63"/>
        <v>7.47713557502916e-5</v>
      </c>
      <c r="G1729" s="29">
        <f>(1-recovery)*notional*C1729*F1729</f>
        <v>389.276631857909</v>
      </c>
      <c r="H1729" s="8">
        <f t="shared" si="64"/>
        <v>1.51089103689144e-5</v>
      </c>
      <c r="I1729" s="30"/>
    </row>
    <row r="1730" spans="1:9">
      <c r="A1730" s="10">
        <v>1728</v>
      </c>
      <c r="B1730" s="12">
        <f>'2_Discount_Factors'!B1731</f>
        <v>4.73424657534247</v>
      </c>
      <c r="C1730" s="12">
        <f>EXP(-r_free*(('2_Discount_Factors'!B1730+'2_Discount_Factors'!B1731)/2))</f>
        <v>0.867633141790012</v>
      </c>
      <c r="D1730" s="12">
        <f>'3_Survival_Probs'!D1730</f>
        <v>0.892680964653489</v>
      </c>
      <c r="E1730" s="12">
        <f>'3_Survival_Probs'!D1731</f>
        <v>0.892606199560097</v>
      </c>
      <c r="F1730" s="14">
        <f t="shared" si="63"/>
        <v>7.47650933927702e-5</v>
      </c>
      <c r="G1730" s="32">
        <f>(1-recovery)*notional*C1730*F1730</f>
        <v>389.212037259557</v>
      </c>
      <c r="H1730" s="14">
        <f t="shared" si="64"/>
        <v>1.5284125664074e-5</v>
      </c>
      <c r="I1730" s="33"/>
    </row>
    <row r="1731" spans="1:9">
      <c r="A1731" s="4">
        <v>1729</v>
      </c>
      <c r="B1731" s="6">
        <f>'2_Discount_Factors'!B1732</f>
        <v>4.73698630136986</v>
      </c>
      <c r="C1731" s="6">
        <f>EXP(-r_free*(('2_Discount_Factors'!B1731+'2_Discount_Factors'!B1732)/2))</f>
        <v>0.86756183240755</v>
      </c>
      <c r="D1731" s="6">
        <f>'3_Survival_Probs'!D1731</f>
        <v>0.892606199560097</v>
      </c>
      <c r="E1731" s="6">
        <f>'3_Survival_Probs'!D1732</f>
        <v>0.892531440728537</v>
      </c>
      <c r="F1731" s="8">
        <f t="shared" ref="F1731:F1794" si="65">D1731-E1731</f>
        <v>7.47588315597181e-5</v>
      </c>
      <c r="G1731" s="29">
        <f>(1-recovery)*notional*C1731*F1731</f>
        <v>389.147453379579</v>
      </c>
      <c r="H1731" s="8">
        <f t="shared" si="64"/>
        <v>1.54592823945313e-5</v>
      </c>
      <c r="I1731" s="30"/>
    </row>
    <row r="1732" spans="1:9">
      <c r="A1732" s="10">
        <v>1730</v>
      </c>
      <c r="B1732" s="12">
        <f>'2_Discount_Factors'!B1733</f>
        <v>4.73972602739726</v>
      </c>
      <c r="C1732" s="12">
        <f>EXP(-r_free*(('2_Discount_Factors'!B1732+'2_Discount_Factors'!B1733)/2))</f>
        <v>0.867490528885894</v>
      </c>
      <c r="D1732" s="12">
        <f>'3_Survival_Probs'!D1732</f>
        <v>0.892531440728537</v>
      </c>
      <c r="E1732" s="12">
        <f>'3_Survival_Probs'!D1733</f>
        <v>0.892456688158286</v>
      </c>
      <c r="F1732" s="14">
        <f t="shared" si="65"/>
        <v>7.47525702510243e-5</v>
      </c>
      <c r="G1732" s="32">
        <f>(1-recovery)*notional*C1732*F1732</f>
        <v>389.082880215846</v>
      </c>
      <c r="H1732" s="14">
        <f t="shared" si="64"/>
        <v>1.56343805748834e-5</v>
      </c>
      <c r="I1732" s="33"/>
    </row>
    <row r="1733" spans="1:9">
      <c r="A1733" s="4">
        <v>1731</v>
      </c>
      <c r="B1733" s="6">
        <f>'2_Discount_Factors'!B1734</f>
        <v>4.74246575342466</v>
      </c>
      <c r="C1733" s="6">
        <f>EXP(-r_free*(('2_Discount_Factors'!B1733+'2_Discount_Factors'!B1734)/2))</f>
        <v>0.867419231224559</v>
      </c>
      <c r="D1733" s="6">
        <f>'3_Survival_Probs'!D1733</f>
        <v>0.892456688158286</v>
      </c>
      <c r="E1733" s="6">
        <f>'3_Survival_Probs'!D1734</f>
        <v>0.892381941848819</v>
      </c>
      <c r="F1733" s="8">
        <f t="shared" si="65"/>
        <v>7.47463094667999e-5</v>
      </c>
      <c r="G1733" s="29">
        <f>(1-recovery)*notional*C1733*F1733</f>
        <v>389.018317767388</v>
      </c>
      <c r="H1733" s="8">
        <f t="shared" si="64"/>
        <v>1.58094202197707e-5</v>
      </c>
      <c r="I1733" s="30"/>
    </row>
    <row r="1734" spans="1:9">
      <c r="A1734" s="10">
        <v>1732</v>
      </c>
      <c r="B1734" s="12">
        <f>'2_Discount_Factors'!B1735</f>
        <v>4.74520547945205</v>
      </c>
      <c r="C1734" s="12">
        <f>EXP(-r_free*(('2_Discount_Factors'!B1734+'2_Discount_Factors'!B1735)/2))</f>
        <v>0.867347939423066</v>
      </c>
      <c r="D1734" s="12">
        <f>'3_Survival_Probs'!D1734</f>
        <v>0.892381941848819</v>
      </c>
      <c r="E1734" s="12">
        <f>'3_Survival_Probs'!D1735</f>
        <v>0.892307201799612</v>
      </c>
      <c r="F1734" s="14">
        <f t="shared" si="65"/>
        <v>7.47400492070449e-5</v>
      </c>
      <c r="G1734" s="32">
        <f>(1-recovery)*notional*C1734*F1734</f>
        <v>388.953766032654</v>
      </c>
      <c r="H1734" s="14">
        <f t="shared" si="64"/>
        <v>1.59844013438078e-5</v>
      </c>
      <c r="I1734" s="33"/>
    </row>
    <row r="1735" spans="1:9">
      <c r="A1735" s="34">
        <v>1733</v>
      </c>
      <c r="B1735" s="35">
        <f>'2_Discount_Factors'!B1736</f>
        <v>4.74794520547945</v>
      </c>
      <c r="C1735" s="35">
        <f>EXP(-r_free*(('2_Discount_Factors'!B1735+'2_Discount_Factors'!B1736)/2))</f>
        <v>0.867276653480932</v>
      </c>
      <c r="D1735" s="35">
        <f>'3_Survival_Probs'!D1735</f>
        <v>0.892307201799612</v>
      </c>
      <c r="E1735" s="35">
        <f>'3_Survival_Probs'!D1736</f>
        <v>0.892232468010141</v>
      </c>
      <c r="F1735" s="36">
        <f t="shared" si="65"/>
        <v>7.47337894714262e-5</v>
      </c>
      <c r="G1735" s="37">
        <f>(1-recovery)*notional*C1735*F1735</f>
        <v>388.889225008362</v>
      </c>
      <c r="H1735" s="36">
        <f t="shared" si="64"/>
        <v>1.61593239615347e-5</v>
      </c>
      <c r="I1735" s="38" t="s">
        <v>71</v>
      </c>
    </row>
    <row r="1736" spans="1:9">
      <c r="A1736" s="10">
        <v>1734</v>
      </c>
      <c r="B1736" s="12">
        <f>'2_Discount_Factors'!B1737</f>
        <v>4.75068493150685</v>
      </c>
      <c r="C1736" s="12">
        <f>EXP(-r_free*(('2_Discount_Factors'!B1736+'2_Discount_Factors'!B1737)/2))</f>
        <v>0.867205373397676</v>
      </c>
      <c r="D1736" s="12">
        <f>'3_Survival_Probs'!D1736</f>
        <v>0.892232468010141</v>
      </c>
      <c r="E1736" s="12">
        <f>'3_Survival_Probs'!D1737</f>
        <v>0.892157740479881</v>
      </c>
      <c r="F1736" s="14">
        <f t="shared" si="65"/>
        <v>7.47275302601658e-5</v>
      </c>
      <c r="G1736" s="32">
        <f>(1-recovery)*notional*C1736*F1736</f>
        <v>388.824694694119</v>
      </c>
      <c r="H1736" s="14">
        <f t="shared" ref="H1736:H1799" si="66">C1736*(B1736-4.74794520547945)*F1736</f>
        <v>1.775455226915e-7</v>
      </c>
      <c r="I1736" s="33"/>
    </row>
    <row r="1737" spans="1:9">
      <c r="A1737" s="4">
        <v>1735</v>
      </c>
      <c r="B1737" s="6">
        <f>'2_Discount_Factors'!B1738</f>
        <v>4.75342465753425</v>
      </c>
      <c r="C1737" s="6">
        <f>EXP(-r_free*(('2_Discount_Factors'!B1737+'2_Discount_Factors'!B1738)/2))</f>
        <v>0.867134099172816</v>
      </c>
      <c r="D1737" s="6">
        <f>'3_Survival_Probs'!D1737</f>
        <v>0.892157740479881</v>
      </c>
      <c r="E1737" s="6">
        <f>'3_Survival_Probs'!D1738</f>
        <v>0.892083019208307</v>
      </c>
      <c r="F1737" s="8">
        <f t="shared" si="65"/>
        <v>7.47212715731527e-5</v>
      </c>
      <c r="G1737" s="29">
        <f>(1-recovery)*notional*C1737*F1737</f>
        <v>388.760175087798</v>
      </c>
      <c r="H1737" s="8">
        <f t="shared" si="66"/>
        <v>3.5503212336798e-7</v>
      </c>
      <c r="I1737" s="30"/>
    </row>
    <row r="1738" spans="1:9">
      <c r="A1738" s="10">
        <v>1736</v>
      </c>
      <c r="B1738" s="12">
        <f>'2_Discount_Factors'!B1739</f>
        <v>4.75616438356164</v>
      </c>
      <c r="C1738" s="12">
        <f>EXP(-r_free*(('2_Discount_Factors'!B1738+'2_Discount_Factors'!B1739)/2))</f>
        <v>0.86706283080587</v>
      </c>
      <c r="D1738" s="12">
        <f>'3_Survival_Probs'!D1738</f>
        <v>0.892083019208307</v>
      </c>
      <c r="E1738" s="12">
        <f>'3_Survival_Probs'!D1739</f>
        <v>0.892008304194897</v>
      </c>
      <c r="F1738" s="14">
        <f t="shared" si="65"/>
        <v>7.47150134102759e-5</v>
      </c>
      <c r="G1738" s="32">
        <f>(1-recovery)*notional*C1738*F1738</f>
        <v>388.695666187274</v>
      </c>
      <c r="H1738" s="14">
        <f t="shared" si="66"/>
        <v>5.32459816695031e-7</v>
      </c>
      <c r="I1738" s="33"/>
    </row>
    <row r="1739" spans="1:9">
      <c r="A1739" s="4">
        <v>1737</v>
      </c>
      <c r="B1739" s="6">
        <f>'2_Discount_Factors'!B1740</f>
        <v>4.75890410958904</v>
      </c>
      <c r="C1739" s="6">
        <f>EXP(-r_free*(('2_Discount_Factors'!B1739+'2_Discount_Factors'!B1740)/2))</f>
        <v>0.866991568296358</v>
      </c>
      <c r="D1739" s="6">
        <f>'3_Survival_Probs'!D1739</f>
        <v>0.892008304194897</v>
      </c>
      <c r="E1739" s="6">
        <f>'3_Survival_Probs'!D1740</f>
        <v>0.891933595439125</v>
      </c>
      <c r="F1739" s="8">
        <f t="shared" si="65"/>
        <v>7.47087557716464e-5</v>
      </c>
      <c r="G1739" s="29">
        <f>(1-recovery)*notional*C1739*F1739</f>
        <v>388.631167991576</v>
      </c>
      <c r="H1739" s="8">
        <f t="shared" si="66"/>
        <v>7.09828617336352e-7</v>
      </c>
      <c r="I1739" s="30"/>
    </row>
    <row r="1740" spans="1:9">
      <c r="A1740" s="10">
        <v>1738</v>
      </c>
      <c r="B1740" s="12">
        <f>'2_Discount_Factors'!B1741</f>
        <v>4.76164383561644</v>
      </c>
      <c r="C1740" s="12">
        <f>EXP(-r_free*(('2_Discount_Factors'!B1740+'2_Discount_Factors'!B1741)/2))</f>
        <v>0.866920311643798</v>
      </c>
      <c r="D1740" s="12">
        <f>'3_Survival_Probs'!D1740</f>
        <v>0.891933595439125</v>
      </c>
      <c r="E1740" s="12">
        <f>'3_Survival_Probs'!D1741</f>
        <v>0.891858892940468</v>
      </c>
      <c r="F1740" s="14">
        <f t="shared" si="65"/>
        <v>7.47024986570421e-5</v>
      </c>
      <c r="G1740" s="32">
        <f>(1-recovery)*notional*C1740*F1740</f>
        <v>388.566680498</v>
      </c>
      <c r="H1740" s="14">
        <f t="shared" si="66"/>
        <v>8.8713853994992e-7</v>
      </c>
      <c r="I1740" s="33"/>
    </row>
    <row r="1741" spans="1:9">
      <c r="A1741" s="4">
        <v>1739</v>
      </c>
      <c r="B1741" s="6">
        <f>'2_Discount_Factors'!B1742</f>
        <v>4.76438356164384</v>
      </c>
      <c r="C1741" s="6">
        <f>EXP(-r_free*(('2_Discount_Factors'!B1741+'2_Discount_Factors'!B1742)/2))</f>
        <v>0.866849060847709</v>
      </c>
      <c r="D1741" s="6">
        <f>'3_Survival_Probs'!D1741</f>
        <v>0.891858892940468</v>
      </c>
      <c r="E1741" s="6">
        <f>'3_Survival_Probs'!D1742</f>
        <v>0.891784196698402</v>
      </c>
      <c r="F1741" s="8">
        <f t="shared" si="65"/>
        <v>7.46962420664632e-5</v>
      </c>
      <c r="G1741" s="29">
        <f>(1-recovery)*notional*C1741*F1741</f>
        <v>388.502203705</v>
      </c>
      <c r="H1741" s="8">
        <f t="shared" si="66"/>
        <v>1.06438959919194e-6</v>
      </c>
      <c r="I1741" s="30"/>
    </row>
    <row r="1742" spans="1:9">
      <c r="A1742" s="10">
        <v>1740</v>
      </c>
      <c r="B1742" s="12">
        <f>'2_Discount_Factors'!B1743</f>
        <v>4.76712328767123</v>
      </c>
      <c r="C1742" s="12">
        <f>EXP(-r_free*(('2_Discount_Factors'!B1742+'2_Discount_Factors'!B1743)/2))</f>
        <v>0.866777815907608</v>
      </c>
      <c r="D1742" s="12">
        <f>'3_Survival_Probs'!D1742</f>
        <v>0.891784196698402</v>
      </c>
      <c r="E1742" s="12">
        <f>'3_Survival_Probs'!D1743</f>
        <v>0.891709506712402</v>
      </c>
      <c r="F1742" s="14">
        <f t="shared" si="65"/>
        <v>7.46899859999095e-5</v>
      </c>
      <c r="G1742" s="32">
        <f>(1-recovery)*notional*C1742*F1742</f>
        <v>388.437737611028</v>
      </c>
      <c r="H1742" s="14">
        <f t="shared" si="66"/>
        <v>1.24158180971578e-6</v>
      </c>
      <c r="I1742" s="33"/>
    </row>
    <row r="1743" spans="1:9">
      <c r="A1743" s="4">
        <v>1741</v>
      </c>
      <c r="B1743" s="6">
        <f>'2_Discount_Factors'!B1744</f>
        <v>4.76986301369863</v>
      </c>
      <c r="C1743" s="6">
        <f>EXP(-r_free*(('2_Discount_Factors'!B1743+'2_Discount_Factors'!B1744)/2))</f>
        <v>0.866706576823015</v>
      </c>
      <c r="D1743" s="6">
        <f>'3_Survival_Probs'!D1743</f>
        <v>0.891709506712402</v>
      </c>
      <c r="E1743" s="6">
        <f>'3_Survival_Probs'!D1744</f>
        <v>0.891634822981945</v>
      </c>
      <c r="F1743" s="8">
        <f t="shared" si="65"/>
        <v>7.46837304573811e-5</v>
      </c>
      <c r="G1743" s="29">
        <f>(1-recovery)*notional*C1743*F1743</f>
        <v>388.373282214537</v>
      </c>
      <c r="H1743" s="8">
        <f t="shared" si="66"/>
        <v>1.41871518617193e-6</v>
      </c>
      <c r="I1743" s="30"/>
    </row>
    <row r="1744" spans="1:9">
      <c r="A1744" s="10">
        <v>1742</v>
      </c>
      <c r="B1744" s="12">
        <f>'2_Discount_Factors'!B1745</f>
        <v>4.77260273972603</v>
      </c>
      <c r="C1744" s="12">
        <f>EXP(-r_free*(('2_Discount_Factors'!B1744+'2_Discount_Factors'!B1745)/2))</f>
        <v>0.866635343593449</v>
      </c>
      <c r="D1744" s="12">
        <f>'3_Survival_Probs'!D1744</f>
        <v>0.891634822981945</v>
      </c>
      <c r="E1744" s="12">
        <f>'3_Survival_Probs'!D1745</f>
        <v>0.891560145506506</v>
      </c>
      <c r="F1744" s="14">
        <f t="shared" si="65"/>
        <v>7.46774754386559e-5</v>
      </c>
      <c r="G1744" s="32">
        <f>(1-recovery)*notional*C1744*F1744</f>
        <v>388.308837512826</v>
      </c>
      <c r="H1744" s="14">
        <f t="shared" si="66"/>
        <v>1.59578974320351e-6</v>
      </c>
      <c r="I1744" s="33"/>
    </row>
    <row r="1745" spans="1:9">
      <c r="A1745" s="4">
        <v>1743</v>
      </c>
      <c r="B1745" s="6">
        <f>'2_Discount_Factors'!B1746</f>
        <v>4.77534246575342</v>
      </c>
      <c r="C1745" s="6">
        <f>EXP(-r_free*(('2_Discount_Factors'!B1745+'2_Discount_Factors'!B1746)/2))</f>
        <v>0.866564116218429</v>
      </c>
      <c r="D1745" s="6">
        <f>'3_Survival_Probs'!D1745</f>
        <v>0.891560145506506</v>
      </c>
      <c r="E1745" s="6">
        <f>'3_Survival_Probs'!D1746</f>
        <v>0.891485474285562</v>
      </c>
      <c r="F1745" s="8">
        <f t="shared" si="65"/>
        <v>7.4671220943956e-5</v>
      </c>
      <c r="G1745" s="29">
        <f>(1-recovery)*notional*C1745*F1745</f>
        <v>388.244403505501</v>
      </c>
      <c r="H1745" s="8">
        <f t="shared" si="66"/>
        <v>1.77280549545903e-6</v>
      </c>
      <c r="I1745" s="30"/>
    </row>
    <row r="1746" spans="1:9">
      <c r="A1746" s="10">
        <v>1744</v>
      </c>
      <c r="B1746" s="12">
        <f>'2_Discount_Factors'!B1747</f>
        <v>4.77808219178082</v>
      </c>
      <c r="C1746" s="12">
        <f>EXP(-r_free*(('2_Discount_Factors'!B1746+'2_Discount_Factors'!B1747)/2))</f>
        <v>0.866492894697472</v>
      </c>
      <c r="D1746" s="12">
        <f>'3_Survival_Probs'!D1746</f>
        <v>0.891485474285562</v>
      </c>
      <c r="E1746" s="12">
        <f>'3_Survival_Probs'!D1747</f>
        <v>0.891410809318589</v>
      </c>
      <c r="F1746" s="14">
        <f t="shared" si="65"/>
        <v>7.46649669729482e-5</v>
      </c>
      <c r="G1746" s="32">
        <f>(1-recovery)*notional*C1746*F1746</f>
        <v>388.179980189286</v>
      </c>
      <c r="H1746" s="14">
        <f t="shared" si="66"/>
        <v>1.94976245757189e-6</v>
      </c>
      <c r="I1746" s="33"/>
    </row>
    <row r="1747" spans="1:9">
      <c r="A1747" s="4">
        <v>1745</v>
      </c>
      <c r="B1747" s="6">
        <f>'2_Discount_Factors'!B1748</f>
        <v>4.78082191780822</v>
      </c>
      <c r="C1747" s="6">
        <f>EXP(-r_free*(('2_Discount_Factors'!B1747+'2_Discount_Factors'!B1748)/2))</f>
        <v>0.866421679030099</v>
      </c>
      <c r="D1747" s="6">
        <f>'3_Survival_Probs'!D1747</f>
        <v>0.891410809318589</v>
      </c>
      <c r="E1747" s="6">
        <f>'3_Survival_Probs'!D1748</f>
        <v>0.891336150605063</v>
      </c>
      <c r="F1747" s="8">
        <f t="shared" si="65"/>
        <v>7.46587135258547e-5</v>
      </c>
      <c r="G1747" s="29">
        <f>(1-recovery)*notional*C1747*F1747</f>
        <v>388.115567563789</v>
      </c>
      <c r="H1747" s="8">
        <f t="shared" si="66"/>
        <v>2.12666064418528e-6</v>
      </c>
      <c r="I1747" s="30"/>
    </row>
    <row r="1748" spans="1:9">
      <c r="A1748" s="10">
        <v>1746</v>
      </c>
      <c r="B1748" s="12">
        <f>'2_Discount_Factors'!B1749</f>
        <v>4.78356164383562</v>
      </c>
      <c r="C1748" s="12">
        <f>EXP(-r_free*(('2_Discount_Factors'!B1748+'2_Discount_Factors'!B1749)/2))</f>
        <v>0.866350469215827</v>
      </c>
      <c r="D1748" s="12">
        <f>'3_Survival_Probs'!D1748</f>
        <v>0.891336150605063</v>
      </c>
      <c r="E1748" s="12">
        <f>'3_Survival_Probs'!D1749</f>
        <v>0.891261498144461</v>
      </c>
      <c r="F1748" s="14">
        <f t="shared" si="65"/>
        <v>7.46524606024535e-5</v>
      </c>
      <c r="G1748" s="32">
        <f>(1-recovery)*notional*C1748*F1748</f>
        <v>388.05116562631</v>
      </c>
      <c r="H1748" s="14">
        <f t="shared" si="66"/>
        <v>2.30350006992801e-6</v>
      </c>
      <c r="I1748" s="33"/>
    </row>
    <row r="1749" spans="1:9">
      <c r="A1749" s="4">
        <v>1747</v>
      </c>
      <c r="B1749" s="6">
        <f>'2_Discount_Factors'!B1750</f>
        <v>4.78630136986301</v>
      </c>
      <c r="C1749" s="6">
        <f>EXP(-r_free*(('2_Discount_Factors'!B1749+'2_Discount_Factors'!B1750)/2))</f>
        <v>0.866279265254177</v>
      </c>
      <c r="D1749" s="6">
        <f>'3_Survival_Probs'!D1749</f>
        <v>0.891261498144461</v>
      </c>
      <c r="E1749" s="6">
        <f>'3_Survival_Probs'!D1750</f>
        <v>0.891186851936258</v>
      </c>
      <c r="F1749" s="8">
        <f t="shared" si="65"/>
        <v>7.46462082027444e-5</v>
      </c>
      <c r="G1749" s="29">
        <f>(1-recovery)*notional*C1749*F1749</f>
        <v>387.986774375302</v>
      </c>
      <c r="H1749" s="8">
        <f t="shared" si="66"/>
        <v>2.4802807494313e-6</v>
      </c>
      <c r="I1749" s="30"/>
    </row>
    <row r="1750" spans="1:9">
      <c r="A1750" s="10">
        <v>1748</v>
      </c>
      <c r="B1750" s="12">
        <f>'2_Discount_Factors'!B1751</f>
        <v>4.78904109589041</v>
      </c>
      <c r="C1750" s="12">
        <f>EXP(-r_free*(('2_Discount_Factors'!B1750+'2_Discount_Factors'!B1751)/2))</f>
        <v>0.866208067144666</v>
      </c>
      <c r="D1750" s="12">
        <f>'3_Survival_Probs'!D1750</f>
        <v>0.891186851936258</v>
      </c>
      <c r="E1750" s="12">
        <f>'3_Survival_Probs'!D1751</f>
        <v>0.891112211979931</v>
      </c>
      <c r="F1750" s="14">
        <f t="shared" si="65"/>
        <v>7.46399563267275e-5</v>
      </c>
      <c r="G1750" s="32">
        <f>(1-recovery)*notional*C1750*F1750</f>
        <v>387.922393809222</v>
      </c>
      <c r="H1750" s="14">
        <f t="shared" si="66"/>
        <v>2.65700269732359e-6</v>
      </c>
      <c r="I1750" s="33"/>
    </row>
    <row r="1751" spans="1:9">
      <c r="A1751" s="4">
        <v>1749</v>
      </c>
      <c r="B1751" s="6">
        <f>'2_Discount_Factors'!B1752</f>
        <v>4.79178082191781</v>
      </c>
      <c r="C1751" s="6">
        <f>EXP(-r_free*(('2_Discount_Factors'!B1751+'2_Discount_Factors'!B1752)/2))</f>
        <v>0.866136874886815</v>
      </c>
      <c r="D1751" s="6">
        <f>'3_Survival_Probs'!D1751</f>
        <v>0.891112211979931</v>
      </c>
      <c r="E1751" s="6">
        <f>'3_Survival_Probs'!D1752</f>
        <v>0.891037578274957</v>
      </c>
      <c r="F1751" s="8">
        <f t="shared" si="65"/>
        <v>7.46337049742918e-5</v>
      </c>
      <c r="G1751" s="29">
        <f>(1-recovery)*notional*C1751*F1751</f>
        <v>387.858023925946</v>
      </c>
      <c r="H1751" s="8">
        <f t="shared" si="66"/>
        <v>2.83366592822625e-6</v>
      </c>
      <c r="I1751" s="30"/>
    </row>
    <row r="1752" spans="1:9">
      <c r="A1752" s="10">
        <v>1750</v>
      </c>
      <c r="B1752" s="12">
        <f>'2_Discount_Factors'!B1753</f>
        <v>4.79452054794521</v>
      </c>
      <c r="C1752" s="12">
        <f>EXP(-r_free*(('2_Discount_Factors'!B1752+'2_Discount_Factors'!B1753)/2))</f>
        <v>0.866065688480141</v>
      </c>
      <c r="D1752" s="12">
        <f>'3_Survival_Probs'!D1752</f>
        <v>0.891037578274957</v>
      </c>
      <c r="E1752" s="12">
        <f>'3_Survival_Probs'!D1753</f>
        <v>0.890962950820812</v>
      </c>
      <c r="F1752" s="14">
        <f t="shared" si="65"/>
        <v>7.46274541454373e-5</v>
      </c>
      <c r="G1752" s="32">
        <f>(1-recovery)*notional*C1752*F1752</f>
        <v>387.79366472393</v>
      </c>
      <c r="H1752" s="14">
        <f t="shared" si="66"/>
        <v>3.01027045676121e-6</v>
      </c>
      <c r="I1752" s="33"/>
    </row>
    <row r="1753" spans="1:9">
      <c r="A1753" s="4">
        <v>1751</v>
      </c>
      <c r="B1753" s="6">
        <f>'2_Discount_Factors'!B1754</f>
        <v>4.7972602739726</v>
      </c>
      <c r="C1753" s="6">
        <f>EXP(-r_free*(('2_Discount_Factors'!B1753+'2_Discount_Factors'!B1754)/2))</f>
        <v>0.865994507924165</v>
      </c>
      <c r="D1753" s="6">
        <f>'3_Survival_Probs'!D1753</f>
        <v>0.890962950820812</v>
      </c>
      <c r="E1753" s="6">
        <f>'3_Survival_Probs'!D1754</f>
        <v>0.890888329616971</v>
      </c>
      <c r="F1753" s="8">
        <f t="shared" si="65"/>
        <v>7.46212038401639e-5</v>
      </c>
      <c r="G1753" s="29">
        <f>(1-recovery)*notional*C1753*F1753</f>
        <v>387.729316201629</v>
      </c>
      <c r="H1753" s="8">
        <f t="shared" si="66"/>
        <v>3.18681629754775e-6</v>
      </c>
      <c r="I1753" s="30"/>
    </row>
    <row r="1754" spans="1:9">
      <c r="A1754" s="10">
        <v>1752</v>
      </c>
      <c r="B1754" s="12">
        <f>'2_Discount_Factors'!B1755</f>
        <v>4.8</v>
      </c>
      <c r="C1754" s="12">
        <f>EXP(-r_free*(('2_Discount_Factors'!B1754+'2_Discount_Factors'!B1755)/2))</f>
        <v>0.865923333218404</v>
      </c>
      <c r="D1754" s="12">
        <f>'3_Survival_Probs'!D1754</f>
        <v>0.890888329616971</v>
      </c>
      <c r="E1754" s="12">
        <f>'3_Survival_Probs'!D1755</f>
        <v>0.890813714662913</v>
      </c>
      <c r="F1754" s="14">
        <f t="shared" si="65"/>
        <v>7.46149540582497e-5</v>
      </c>
      <c r="G1754" s="32">
        <f>(1-recovery)*notional*C1754*F1754</f>
        <v>387.664978356346</v>
      </c>
      <c r="H1754" s="14">
        <f t="shared" si="66"/>
        <v>3.36330346519217e-6</v>
      </c>
      <c r="I1754" s="33"/>
    </row>
    <row r="1755" spans="1:9">
      <c r="A1755" s="4">
        <v>1753</v>
      </c>
      <c r="B1755" s="6">
        <f>'2_Discount_Factors'!B1756</f>
        <v>4.8027397260274</v>
      </c>
      <c r="C1755" s="6">
        <f>EXP(-r_free*(('2_Discount_Factors'!B1755+'2_Discount_Factors'!B1756)/2))</f>
        <v>0.865852164362379</v>
      </c>
      <c r="D1755" s="6">
        <f>'3_Survival_Probs'!D1755</f>
        <v>0.890813714662913</v>
      </c>
      <c r="E1755" s="6">
        <f>'3_Survival_Probs'!D1756</f>
        <v>0.890739105958113</v>
      </c>
      <c r="F1755" s="8">
        <f t="shared" si="65"/>
        <v>7.46087047999167e-5</v>
      </c>
      <c r="G1755" s="29">
        <f>(1-recovery)*notional*C1755*F1755</f>
        <v>387.60065118769</v>
      </c>
      <c r="H1755" s="8">
        <f t="shared" si="66"/>
        <v>3.53973197431693e-6</v>
      </c>
      <c r="I1755" s="30"/>
    </row>
    <row r="1756" spans="1:9">
      <c r="A1756" s="10">
        <v>1754</v>
      </c>
      <c r="B1756" s="12">
        <f>'2_Discount_Factors'!B1757</f>
        <v>4.80547945205479</v>
      </c>
      <c r="C1756" s="12">
        <f>EXP(-r_free*(('2_Discount_Factors'!B1756+'2_Discount_Factors'!B1757)/2))</f>
        <v>0.865781001355609</v>
      </c>
      <c r="D1756" s="12">
        <f>'3_Survival_Probs'!D1756</f>
        <v>0.890739105958113</v>
      </c>
      <c r="E1756" s="12">
        <f>'3_Survival_Probs'!D1757</f>
        <v>0.890664503502048</v>
      </c>
      <c r="F1756" s="14">
        <f t="shared" si="65"/>
        <v>7.46024560649428e-5</v>
      </c>
      <c r="G1756" s="32">
        <f>(1-recovery)*notional*C1756*F1756</f>
        <v>387.536334692964</v>
      </c>
      <c r="H1756" s="14">
        <f t="shared" si="66"/>
        <v>3.71610183952171e-6</v>
      </c>
      <c r="I1756" s="33"/>
    </row>
    <row r="1757" spans="1:9">
      <c r="A1757" s="4">
        <v>1755</v>
      </c>
      <c r="B1757" s="6">
        <f>'2_Discount_Factors'!B1758</f>
        <v>4.80821917808219</v>
      </c>
      <c r="C1757" s="6">
        <f>EXP(-r_free*(('2_Discount_Factors'!B1757+'2_Discount_Factors'!B1758)/2))</f>
        <v>0.865709844197613</v>
      </c>
      <c r="D1757" s="6">
        <f>'3_Survival_Probs'!D1757</f>
        <v>0.890664503502048</v>
      </c>
      <c r="E1757" s="6">
        <f>'3_Survival_Probs'!D1758</f>
        <v>0.890589907294195</v>
      </c>
      <c r="F1757" s="8">
        <f t="shared" si="65"/>
        <v>7.4596207853328e-5</v>
      </c>
      <c r="G1757" s="29">
        <f>(1-recovery)*notional*C1757*F1757</f>
        <v>387.472028870624</v>
      </c>
      <c r="H1757" s="8">
        <f t="shared" si="66"/>
        <v>3.8924130754128e-6</v>
      </c>
      <c r="I1757" s="30"/>
    </row>
    <row r="1758" spans="1:9">
      <c r="A1758" s="10">
        <v>1756</v>
      </c>
      <c r="B1758" s="12">
        <f>'2_Discount_Factors'!B1759</f>
        <v>4.81095890410959</v>
      </c>
      <c r="C1758" s="12">
        <f>EXP(-r_free*(('2_Discount_Factors'!B1758+'2_Discount_Factors'!B1759)/2))</f>
        <v>0.86563869288791</v>
      </c>
      <c r="D1758" s="12">
        <f>'3_Survival_Probs'!D1758</f>
        <v>0.890589907294195</v>
      </c>
      <c r="E1758" s="12">
        <f>'3_Survival_Probs'!D1759</f>
        <v>0.89051531733403</v>
      </c>
      <c r="F1758" s="14">
        <f t="shared" si="65"/>
        <v>7.45899601649613e-5</v>
      </c>
      <c r="G1758" s="32">
        <f>(1-recovery)*notional*C1758*F1758</f>
        <v>387.40773371855</v>
      </c>
      <c r="H1758" s="14">
        <f t="shared" si="66"/>
        <v>4.06866569658766e-6</v>
      </c>
      <c r="I1758" s="33"/>
    </row>
    <row r="1759" spans="1:9">
      <c r="A1759" s="4">
        <v>1757</v>
      </c>
      <c r="B1759" s="6">
        <f>'2_Discount_Factors'!B1760</f>
        <v>4.81369863013699</v>
      </c>
      <c r="C1759" s="6">
        <f>EXP(-r_free*(('2_Discount_Factors'!B1759+'2_Discount_Factors'!B1760)/2))</f>
        <v>0.865567547426019</v>
      </c>
      <c r="D1759" s="6">
        <f>'3_Survival_Probs'!D1759</f>
        <v>0.89051531733403</v>
      </c>
      <c r="E1759" s="6">
        <f>'3_Survival_Probs'!D1760</f>
        <v>0.89044073362103</v>
      </c>
      <c r="F1759" s="8">
        <f t="shared" si="65"/>
        <v>7.45837129998428e-5</v>
      </c>
      <c r="G1759" s="29">
        <f>(1-recovery)*notional*C1759*F1759</f>
        <v>387.3434492352</v>
      </c>
      <c r="H1759" s="8">
        <f t="shared" si="66"/>
        <v>4.24485971764618e-6</v>
      </c>
      <c r="I1759" s="30"/>
    </row>
    <row r="1760" spans="1:9">
      <c r="A1760" s="10">
        <v>1758</v>
      </c>
      <c r="B1760" s="12">
        <f>'2_Discount_Factors'!B1761</f>
        <v>4.81643835616438</v>
      </c>
      <c r="C1760" s="12">
        <f>EXP(-r_free*(('2_Discount_Factors'!B1760+'2_Discount_Factors'!B1761)/2))</f>
        <v>0.86549640781146</v>
      </c>
      <c r="D1760" s="12">
        <f>'3_Survival_Probs'!D1760</f>
        <v>0.89044073362103</v>
      </c>
      <c r="E1760" s="12">
        <f>'3_Survival_Probs'!D1761</f>
        <v>0.890366156154672</v>
      </c>
      <c r="F1760" s="14">
        <f t="shared" si="65"/>
        <v>7.45774663580834e-5</v>
      </c>
      <c r="G1760" s="32">
        <f>(1-recovery)*notional*C1760*F1760</f>
        <v>387.279175419607</v>
      </c>
      <c r="H1760" s="14">
        <f t="shared" si="66"/>
        <v>4.42099515319202e-6</v>
      </c>
      <c r="I1760" s="33"/>
    </row>
    <row r="1761" spans="1:9">
      <c r="A1761" s="4">
        <v>1759</v>
      </c>
      <c r="B1761" s="6">
        <f>'2_Discount_Factors'!B1762</f>
        <v>4.81917808219178</v>
      </c>
      <c r="C1761" s="6">
        <f>EXP(-r_free*(('2_Discount_Factors'!B1761+'2_Discount_Factors'!B1762)/2))</f>
        <v>0.865425274043753</v>
      </c>
      <c r="D1761" s="6">
        <f>'3_Survival_Probs'!D1761</f>
        <v>0.890366156154672</v>
      </c>
      <c r="E1761" s="6">
        <f>'3_Survival_Probs'!D1762</f>
        <v>0.890291584934433</v>
      </c>
      <c r="F1761" s="8">
        <f t="shared" si="65"/>
        <v>7.457122023935e-5</v>
      </c>
      <c r="G1761" s="29">
        <f>(1-recovery)*notional*C1761*F1761</f>
        <v>387.214912268499</v>
      </c>
      <c r="H1761" s="8">
        <f t="shared" si="66"/>
        <v>4.59707201779964e-6</v>
      </c>
      <c r="I1761" s="30"/>
    </row>
    <row r="1762" spans="1:9">
      <c r="A1762" s="10">
        <v>1760</v>
      </c>
      <c r="B1762" s="12">
        <f>'2_Discount_Factors'!B1763</f>
        <v>4.82191780821918</v>
      </c>
      <c r="C1762" s="12">
        <f>EXP(-r_free*(('2_Discount_Factors'!B1762+'2_Discount_Factors'!B1763)/2))</f>
        <v>0.865354146122416</v>
      </c>
      <c r="D1762" s="12">
        <f>'3_Survival_Probs'!D1762</f>
        <v>0.890291584934433</v>
      </c>
      <c r="E1762" s="12">
        <f>'3_Survival_Probs'!D1763</f>
        <v>0.890217019959789</v>
      </c>
      <c r="F1762" s="14">
        <f t="shared" si="65"/>
        <v>7.45649746438648e-5</v>
      </c>
      <c r="G1762" s="32">
        <f>(1-recovery)*notional*C1762*F1762</f>
        <v>387.150659781487</v>
      </c>
      <c r="H1762" s="14">
        <f t="shared" si="66"/>
        <v>4.77309032607325e-6</v>
      </c>
      <c r="I1762" s="33"/>
    </row>
    <row r="1763" spans="1:9">
      <c r="A1763" s="4">
        <v>1761</v>
      </c>
      <c r="B1763" s="6">
        <f>'2_Discount_Factors'!B1764</f>
        <v>4.82465753424658</v>
      </c>
      <c r="C1763" s="6">
        <f>EXP(-r_free*(('2_Discount_Factors'!B1763+'2_Discount_Factors'!B1764)/2))</f>
        <v>0.86528302404697</v>
      </c>
      <c r="D1763" s="6">
        <f>'3_Survival_Probs'!D1763</f>
        <v>0.890217019959789</v>
      </c>
      <c r="E1763" s="6">
        <f>'3_Survival_Probs'!D1764</f>
        <v>0.890142461230217</v>
      </c>
      <c r="F1763" s="8">
        <f t="shared" si="65"/>
        <v>7.45587295714056e-5</v>
      </c>
      <c r="G1763" s="29">
        <f>(1-recovery)*notional*C1763*F1763</f>
        <v>387.086417955877</v>
      </c>
      <c r="H1763" s="8">
        <f t="shared" si="66"/>
        <v>4.94905009258667e-6</v>
      </c>
      <c r="I1763" s="30"/>
    </row>
    <row r="1764" spans="1:9">
      <c r="A1764" s="10">
        <v>1762</v>
      </c>
      <c r="B1764" s="12">
        <f>'2_Discount_Factors'!B1765</f>
        <v>4.82739726027397</v>
      </c>
      <c r="C1764" s="12">
        <f>EXP(-r_free*(('2_Discount_Factors'!B1764+'2_Discount_Factors'!B1765)/2))</f>
        <v>0.865211907816933</v>
      </c>
      <c r="D1764" s="12">
        <f>'3_Survival_Probs'!D1764</f>
        <v>0.890142461230217</v>
      </c>
      <c r="E1764" s="12">
        <f>'3_Survival_Probs'!D1765</f>
        <v>0.890067908745195</v>
      </c>
      <c r="F1764" s="14">
        <f t="shared" si="65"/>
        <v>7.45524850219725e-5</v>
      </c>
      <c r="G1764" s="32">
        <f>(1-recovery)*notional*C1764*F1764</f>
        <v>387.022186790125</v>
      </c>
      <c r="H1764" s="14">
        <f t="shared" si="66"/>
        <v>5.12495133192416e-6</v>
      </c>
      <c r="I1764" s="33"/>
    </row>
    <row r="1765" spans="1:9">
      <c r="A1765" s="4">
        <v>1763</v>
      </c>
      <c r="B1765" s="6">
        <f>'2_Discount_Factors'!B1766</f>
        <v>4.83013698630137</v>
      </c>
      <c r="C1765" s="6">
        <f>EXP(-r_free*(('2_Discount_Factors'!B1765+'2_Discount_Factors'!B1766)/2))</f>
        <v>0.865140797431826</v>
      </c>
      <c r="D1765" s="6">
        <f>'3_Survival_Probs'!D1765</f>
        <v>0.890067908745195</v>
      </c>
      <c r="E1765" s="6">
        <f>'3_Survival_Probs'!D1766</f>
        <v>0.8899933625042</v>
      </c>
      <c r="F1765" s="8">
        <f t="shared" si="65"/>
        <v>7.45462409955655e-5</v>
      </c>
      <c r="G1765" s="29">
        <f>(1-recovery)*notional*C1765*F1765</f>
        <v>386.957966282692</v>
      </c>
      <c r="H1765" s="8">
        <f t="shared" si="66"/>
        <v>5.30079405866715e-6</v>
      </c>
      <c r="I1765" s="30"/>
    </row>
    <row r="1766" spans="1:9">
      <c r="A1766" s="10">
        <v>1764</v>
      </c>
      <c r="B1766" s="12">
        <f>'2_Discount_Factors'!B1767</f>
        <v>4.83287671232877</v>
      </c>
      <c r="C1766" s="12">
        <f>EXP(-r_free*(('2_Discount_Factors'!B1766+'2_Discount_Factors'!B1767)/2))</f>
        <v>0.865069692891168</v>
      </c>
      <c r="D1766" s="12">
        <f>'3_Survival_Probs'!D1766</f>
        <v>0.8899933625042</v>
      </c>
      <c r="E1766" s="12">
        <f>'3_Survival_Probs'!D1767</f>
        <v>0.889918822506708</v>
      </c>
      <c r="F1766" s="14">
        <f t="shared" si="65"/>
        <v>7.45399974921845e-5</v>
      </c>
      <c r="G1766" s="32">
        <f>(1-recovery)*notional*C1766*F1766</f>
        <v>386.893756432035</v>
      </c>
      <c r="H1766" s="14">
        <f t="shared" si="66"/>
        <v>5.47657828739424e-6</v>
      </c>
      <c r="I1766" s="33"/>
    </row>
    <row r="1767" spans="1:9">
      <c r="A1767" s="4">
        <v>1765</v>
      </c>
      <c r="B1767" s="6">
        <f>'2_Discount_Factors'!B1768</f>
        <v>4.83561643835616</v>
      </c>
      <c r="C1767" s="6">
        <f>EXP(-r_free*(('2_Discount_Factors'!B1767+'2_Discount_Factors'!B1768)/2))</f>
        <v>0.864998594194478</v>
      </c>
      <c r="D1767" s="6">
        <f>'3_Survival_Probs'!D1767</f>
        <v>0.889918822506708</v>
      </c>
      <c r="E1767" s="6">
        <f>'3_Survival_Probs'!D1768</f>
        <v>0.889844288752196</v>
      </c>
      <c r="F1767" s="8">
        <f t="shared" si="65"/>
        <v>7.45337545116076e-5</v>
      </c>
      <c r="G1767" s="29">
        <f>(1-recovery)*notional*C1767*F1767</f>
        <v>386.829557235462</v>
      </c>
      <c r="H1767" s="8">
        <f t="shared" si="66"/>
        <v>5.65230403266443e-6</v>
      </c>
      <c r="I1767" s="30"/>
    </row>
    <row r="1768" spans="1:9">
      <c r="A1768" s="10">
        <v>1766</v>
      </c>
      <c r="B1768" s="12">
        <f>'2_Discount_Factors'!B1769</f>
        <v>4.83835616438356</v>
      </c>
      <c r="C1768" s="12">
        <f>EXP(-r_free*(('2_Discount_Factors'!B1768+'2_Discount_Factors'!B1769)/2))</f>
        <v>0.864927501341277</v>
      </c>
      <c r="D1768" s="12">
        <f>'3_Survival_Probs'!D1768</f>
        <v>0.889844288752196</v>
      </c>
      <c r="E1768" s="12">
        <f>'3_Survival_Probs'!D1769</f>
        <v>0.889769761240142</v>
      </c>
      <c r="F1768" s="14">
        <f t="shared" si="65"/>
        <v>7.45275120539457e-5</v>
      </c>
      <c r="G1768" s="32">
        <f>(1-recovery)*notional*C1768*F1768</f>
        <v>386.765368692007</v>
      </c>
      <c r="H1768" s="14">
        <f t="shared" si="66"/>
        <v>5.8279713090578e-6</v>
      </c>
      <c r="I1768" s="33"/>
    </row>
    <row r="1769" spans="1:9">
      <c r="A1769" s="4">
        <v>1767</v>
      </c>
      <c r="B1769" s="6">
        <f>'2_Discount_Factors'!B1770</f>
        <v>4.84109589041096</v>
      </c>
      <c r="C1769" s="6">
        <f>EXP(-r_free*(('2_Discount_Factors'!B1769+'2_Discount_Factors'!B1770)/2))</f>
        <v>0.864856414331084</v>
      </c>
      <c r="D1769" s="6">
        <f>'3_Survival_Probs'!D1769</f>
        <v>0.889769761240142</v>
      </c>
      <c r="E1769" s="6">
        <f>'3_Survival_Probs'!D1770</f>
        <v>0.889695239970023</v>
      </c>
      <c r="F1769" s="8">
        <f t="shared" si="65"/>
        <v>7.45212701191988e-5</v>
      </c>
      <c r="G1769" s="29">
        <f>(1-recovery)*notional*C1769*F1769</f>
        <v>386.701190800131</v>
      </c>
      <c r="H1769" s="8">
        <f t="shared" si="66"/>
        <v>6.00358013114374e-6</v>
      </c>
      <c r="I1769" s="30"/>
    </row>
    <row r="1770" spans="1:9">
      <c r="A1770" s="10">
        <v>1768</v>
      </c>
      <c r="B1770" s="12">
        <f>'2_Discount_Factors'!B1771</f>
        <v>4.84383561643836</v>
      </c>
      <c r="C1770" s="12">
        <f>EXP(-r_free*(('2_Discount_Factors'!B1770+'2_Discount_Factors'!B1771)/2))</f>
        <v>0.864785333163419</v>
      </c>
      <c r="D1770" s="12">
        <f>'3_Survival_Probs'!D1770</f>
        <v>0.889695239970023</v>
      </c>
      <c r="E1770" s="12">
        <f>'3_Survival_Probs'!D1771</f>
        <v>0.889620724941316</v>
      </c>
      <c r="F1770" s="14">
        <f t="shared" si="65"/>
        <v>7.4515028707145e-5</v>
      </c>
      <c r="G1770" s="32">
        <f>(1-recovery)*notional*C1770*F1770</f>
        <v>386.637023557141</v>
      </c>
      <c r="H1770" s="14">
        <f t="shared" si="66"/>
        <v>6.17913051347039e-6</v>
      </c>
      <c r="I1770" s="33"/>
    </row>
    <row r="1771" spans="1:9">
      <c r="A1771" s="4">
        <v>1769</v>
      </c>
      <c r="B1771" s="6">
        <f>'2_Discount_Factors'!B1772</f>
        <v>4.84657534246575</v>
      </c>
      <c r="C1771" s="6">
        <f>EXP(-r_free*(('2_Discount_Factors'!B1771+'2_Discount_Factors'!B1772)/2))</f>
        <v>0.864714257837801</v>
      </c>
      <c r="D1771" s="6">
        <f>'3_Survival_Probs'!D1771</f>
        <v>0.889620724941316</v>
      </c>
      <c r="E1771" s="6">
        <f>'3_Survival_Probs'!D1772</f>
        <v>0.889546216153498</v>
      </c>
      <c r="F1771" s="8">
        <f t="shared" si="65"/>
        <v>7.45087878177841e-5</v>
      </c>
      <c r="G1771" s="29">
        <f>(1-recovery)*notional*C1771*F1771</f>
        <v>386.572866961497</v>
      </c>
      <c r="H1771" s="8">
        <f t="shared" si="66"/>
        <v>6.35462247060006e-6</v>
      </c>
      <c r="I1771" s="30"/>
    </row>
    <row r="1772" spans="1:9">
      <c r="A1772" s="10">
        <v>1770</v>
      </c>
      <c r="B1772" s="12">
        <f>'2_Discount_Factors'!B1773</f>
        <v>4.84931506849315</v>
      </c>
      <c r="C1772" s="12">
        <f>EXP(-r_free*(('2_Discount_Factors'!B1772+'2_Discount_Factors'!B1773)/2))</f>
        <v>0.864643188353751</v>
      </c>
      <c r="D1772" s="12">
        <f>'3_Survival_Probs'!D1772</f>
        <v>0.889546216153498</v>
      </c>
      <c r="E1772" s="12">
        <f>'3_Survival_Probs'!D1773</f>
        <v>0.889471713606047</v>
      </c>
      <c r="F1772" s="14">
        <f t="shared" si="65"/>
        <v>7.45025474512273e-5</v>
      </c>
      <c r="G1772" s="32">
        <f>(1-recovery)*notional*C1772*F1772</f>
        <v>386.508721012235</v>
      </c>
      <c r="H1772" s="14">
        <f t="shared" si="66"/>
        <v>6.53005601710181e-6</v>
      </c>
      <c r="I1772" s="33"/>
    </row>
    <row r="1773" spans="1:9">
      <c r="A1773" s="4">
        <v>1771</v>
      </c>
      <c r="B1773" s="6">
        <f>'2_Discount_Factors'!B1774</f>
        <v>4.85205479452055</v>
      </c>
      <c r="C1773" s="6">
        <f>EXP(-r_free*(('2_Discount_Factors'!B1773+'2_Discount_Factors'!B1774)/2))</f>
        <v>0.864572124710788</v>
      </c>
      <c r="D1773" s="6">
        <f>'3_Survival_Probs'!D1773</f>
        <v>0.889471713606047</v>
      </c>
      <c r="E1773" s="6">
        <f>'3_Survival_Probs'!D1774</f>
        <v>0.88939721729844</v>
      </c>
      <c r="F1773" s="8">
        <f t="shared" si="65"/>
        <v>7.44963076072525e-5</v>
      </c>
      <c r="G1773" s="29">
        <f>(1-recovery)*notional*C1773*F1773</f>
        <v>386.444585706664</v>
      </c>
      <c r="H1773" s="8">
        <f t="shared" si="66"/>
        <v>6.70543116751303e-6</v>
      </c>
      <c r="I1773" s="30"/>
    </row>
    <row r="1774" spans="1:9">
      <c r="A1774" s="10">
        <v>1772</v>
      </c>
      <c r="B1774" s="12">
        <f>'2_Discount_Factors'!B1775</f>
        <v>4.85479452054795</v>
      </c>
      <c r="C1774" s="12">
        <f>EXP(-r_free*(('2_Discount_Factors'!B1774+'2_Discount_Factors'!B1775)/2))</f>
        <v>0.864501066908433</v>
      </c>
      <c r="D1774" s="12">
        <f>'3_Survival_Probs'!D1774</f>
        <v>0.88939721729844</v>
      </c>
      <c r="E1774" s="12">
        <f>'3_Survival_Probs'!D1775</f>
        <v>0.889322727230154</v>
      </c>
      <c r="F1774" s="14">
        <f t="shared" si="65"/>
        <v>7.44900682859706e-5</v>
      </c>
      <c r="G1774" s="32">
        <f>(1-recovery)*notional*C1774*F1774</f>
        <v>386.380461043822</v>
      </c>
      <c r="H1774" s="14">
        <f t="shared" si="66"/>
        <v>6.88074793639696e-6</v>
      </c>
      <c r="I1774" s="33"/>
    </row>
    <row r="1775" spans="1:9">
      <c r="A1775" s="4">
        <v>1773</v>
      </c>
      <c r="B1775" s="6">
        <f>'2_Discount_Factors'!B1776</f>
        <v>4.85753424657534</v>
      </c>
      <c r="C1775" s="6">
        <f>EXP(-r_free*(('2_Discount_Factors'!B1775+'2_Discount_Factors'!B1776)/2))</f>
        <v>0.864430014946205</v>
      </c>
      <c r="D1775" s="6">
        <f>'3_Survival_Probs'!D1775</f>
        <v>0.889322727230154</v>
      </c>
      <c r="E1775" s="6">
        <f>'3_Survival_Probs'!D1776</f>
        <v>0.889248243400666</v>
      </c>
      <c r="F1775" s="8">
        <f t="shared" si="65"/>
        <v>7.44838294871597e-5</v>
      </c>
      <c r="G1775" s="29">
        <f>(1-recovery)*notional*C1775*F1775</f>
        <v>386.316347021016</v>
      </c>
      <c r="H1775" s="8">
        <f t="shared" si="66"/>
        <v>7.05600633828355e-6</v>
      </c>
      <c r="I1775" s="30"/>
    </row>
    <row r="1776" spans="1:9">
      <c r="A1776" s="10">
        <v>1774</v>
      </c>
      <c r="B1776" s="12">
        <f>'2_Discount_Factors'!B1777</f>
        <v>4.86027397260274</v>
      </c>
      <c r="C1776" s="12">
        <f>EXP(-r_free*(('2_Discount_Factors'!B1776+'2_Discount_Factors'!B1777)/2))</f>
        <v>0.864358968823625</v>
      </c>
      <c r="D1776" s="12">
        <f>'3_Survival_Probs'!D1776</f>
        <v>0.889248243400666</v>
      </c>
      <c r="E1776" s="12">
        <f>'3_Survival_Probs'!D1777</f>
        <v>0.889173765809456</v>
      </c>
      <c r="F1776" s="14">
        <f t="shared" si="65"/>
        <v>7.44775912109308e-5</v>
      </c>
      <c r="G1776" s="32">
        <f>(1-recovery)*notional*C1776*F1776</f>
        <v>386.252243637285</v>
      </c>
      <c r="H1776" s="14">
        <f t="shared" si="66"/>
        <v>7.23120638773015e-6</v>
      </c>
      <c r="I1776" s="33"/>
    </row>
    <row r="1777" spans="1:9">
      <c r="A1777" s="4">
        <v>1775</v>
      </c>
      <c r="B1777" s="6">
        <f>'2_Discount_Factors'!B1778</f>
        <v>4.86301369863014</v>
      </c>
      <c r="C1777" s="6">
        <f>EXP(-r_free*(('2_Discount_Factors'!B1777+'2_Discount_Factors'!B1778)/2))</f>
        <v>0.864287928540211</v>
      </c>
      <c r="D1777" s="6">
        <f>'3_Survival_Probs'!D1777</f>
        <v>0.889173765809456</v>
      </c>
      <c r="E1777" s="6">
        <f>'3_Survival_Probs'!D1778</f>
        <v>0.889099294455998</v>
      </c>
      <c r="F1777" s="8">
        <f t="shared" si="65"/>
        <v>7.44713534570618e-5</v>
      </c>
      <c r="G1777" s="29">
        <f>(1-recovery)*notional*C1777*F1777</f>
        <v>386.188150889939</v>
      </c>
      <c r="H1777" s="8">
        <f t="shared" si="66"/>
        <v>7.40634809925926e-6</v>
      </c>
      <c r="I1777" s="30"/>
    </row>
    <row r="1778" spans="1:9">
      <c r="A1778" s="10">
        <v>1776</v>
      </c>
      <c r="B1778" s="12">
        <f>'2_Discount_Factors'!B1779</f>
        <v>4.86575342465753</v>
      </c>
      <c r="C1778" s="12">
        <f>EXP(-r_free*(('2_Discount_Factors'!B1778+'2_Discount_Factors'!B1779)/2))</f>
        <v>0.864216894095485</v>
      </c>
      <c r="D1778" s="12">
        <f>'3_Survival_Probs'!D1778</f>
        <v>0.889099294455998</v>
      </c>
      <c r="E1778" s="12">
        <f>'3_Survival_Probs'!D1779</f>
        <v>0.889024829339773</v>
      </c>
      <c r="F1778" s="14">
        <f t="shared" si="65"/>
        <v>7.44651162257748e-5</v>
      </c>
      <c r="G1778" s="32">
        <f>(1-recovery)*notional*C1778*F1778</f>
        <v>386.124068778591</v>
      </c>
      <c r="H1778" s="14">
        <f t="shared" si="66"/>
        <v>7.58143148743367e-6</v>
      </c>
      <c r="I1778" s="33"/>
    </row>
    <row r="1779" spans="1:9">
      <c r="A1779" s="4">
        <v>1777</v>
      </c>
      <c r="B1779" s="6">
        <f>'2_Discount_Factors'!B1780</f>
        <v>4.86849315068493</v>
      </c>
      <c r="C1779" s="6">
        <f>EXP(-r_free*(('2_Discount_Factors'!B1779+'2_Discount_Factors'!B1780)/2))</f>
        <v>0.864145865488967</v>
      </c>
      <c r="D1779" s="6">
        <f>'3_Survival_Probs'!D1779</f>
        <v>0.889024829339773</v>
      </c>
      <c r="E1779" s="6">
        <f>'3_Survival_Probs'!D1780</f>
        <v>0.888950370460256</v>
      </c>
      <c r="F1779" s="8">
        <f t="shared" si="65"/>
        <v>7.44588795168477e-5</v>
      </c>
      <c r="G1779" s="29">
        <f>(1-recovery)*notional*C1779*F1779</f>
        <v>386.05999730055</v>
      </c>
      <c r="H1779" s="8">
        <f t="shared" si="66"/>
        <v>7.75645656676916e-6</v>
      </c>
      <c r="I1779" s="30"/>
    </row>
    <row r="1780" spans="1:9">
      <c r="A1780" s="10">
        <v>1778</v>
      </c>
      <c r="B1780" s="12">
        <f>'2_Discount_Factors'!B1781</f>
        <v>4.87123287671233</v>
      </c>
      <c r="C1780" s="12">
        <f>EXP(-r_free*(('2_Discount_Factors'!B1780+'2_Discount_Factors'!B1781)/2))</f>
        <v>0.864074842720177</v>
      </c>
      <c r="D1780" s="12">
        <f>'3_Survival_Probs'!D1780</f>
        <v>0.888950370460256</v>
      </c>
      <c r="E1780" s="12">
        <f>'3_Survival_Probs'!D1781</f>
        <v>0.888875917816926</v>
      </c>
      <c r="F1780" s="14">
        <f t="shared" si="65"/>
        <v>7.44526433301695e-5</v>
      </c>
      <c r="G1780" s="32">
        <f>(1-recovery)*notional*C1780*F1780</f>
        <v>385.995936453706</v>
      </c>
      <c r="H1780" s="14">
        <f t="shared" si="66"/>
        <v>7.93142335178859e-6</v>
      </c>
      <c r="I1780" s="33"/>
    </row>
    <row r="1781" spans="1:9">
      <c r="A1781" s="4">
        <v>1779</v>
      </c>
      <c r="B1781" s="6">
        <f>'2_Discount_Factors'!B1782</f>
        <v>4.87397260273973</v>
      </c>
      <c r="C1781" s="6">
        <f>EXP(-r_free*(('2_Discount_Factors'!B1781+'2_Discount_Factors'!B1782)/2))</f>
        <v>0.864003825788634</v>
      </c>
      <c r="D1781" s="6">
        <f>'3_Survival_Probs'!D1781</f>
        <v>0.888875917816926</v>
      </c>
      <c r="E1781" s="6">
        <f>'3_Survival_Probs'!D1782</f>
        <v>0.88880147140926</v>
      </c>
      <c r="F1781" s="8">
        <f t="shared" si="65"/>
        <v>7.44464076658513e-5</v>
      </c>
      <c r="G1781" s="29">
        <f>(1-recovery)*notional*C1781*F1781</f>
        <v>385.931886237095</v>
      </c>
      <c r="H1781" s="8">
        <f t="shared" si="66"/>
        <v>8.10633185703499e-6</v>
      </c>
      <c r="I1781" s="30"/>
    </row>
    <row r="1782" spans="1:9">
      <c r="A1782" s="10">
        <v>1780</v>
      </c>
      <c r="B1782" s="12">
        <f>'2_Discount_Factors'!B1783</f>
        <v>4.87671232876712</v>
      </c>
      <c r="C1782" s="12">
        <f>EXP(-r_free*(('2_Discount_Factors'!B1782+'2_Discount_Factors'!B1783)/2))</f>
        <v>0.86393281469386</v>
      </c>
      <c r="D1782" s="12">
        <f>'3_Survival_Probs'!D1782</f>
        <v>0.88880147140926</v>
      </c>
      <c r="E1782" s="12">
        <f>'3_Survival_Probs'!D1783</f>
        <v>0.888727031236736</v>
      </c>
      <c r="F1782" s="14">
        <f t="shared" si="65"/>
        <v>7.4440172523782e-5</v>
      </c>
      <c r="G1782" s="32">
        <f>(1-recovery)*notional*C1782*F1782</f>
        <v>385.867846648605</v>
      </c>
      <c r="H1782" s="14">
        <f t="shared" si="66"/>
        <v>8.28118209702499e-6</v>
      </c>
      <c r="I1782" s="33"/>
    </row>
    <row r="1783" spans="1:9">
      <c r="A1783" s="4">
        <v>1781</v>
      </c>
      <c r="B1783" s="6">
        <f>'2_Discount_Factors'!B1784</f>
        <v>4.87945205479452</v>
      </c>
      <c r="C1783" s="6">
        <f>EXP(-r_free*(('2_Discount_Factors'!B1783+'2_Discount_Factors'!B1784)/2))</f>
        <v>0.863861809435374</v>
      </c>
      <c r="D1783" s="6">
        <f>'3_Survival_Probs'!D1783</f>
        <v>0.888727031236736</v>
      </c>
      <c r="E1783" s="6">
        <f>'3_Survival_Probs'!D1784</f>
        <v>0.888652597298832</v>
      </c>
      <c r="F1783" s="8">
        <f t="shared" si="65"/>
        <v>7.44339379039616e-5</v>
      </c>
      <c r="G1783" s="29">
        <f>(1-recovery)*notional*C1783*F1783</f>
        <v>385.803817686699</v>
      </c>
      <c r="H1783" s="8">
        <f t="shared" si="66"/>
        <v>8.45597408628395e-6</v>
      </c>
      <c r="I1783" s="30"/>
    </row>
    <row r="1784" spans="1:9">
      <c r="A1784" s="10">
        <v>1782</v>
      </c>
      <c r="B1784" s="12">
        <f>'2_Discount_Factors'!B1785</f>
        <v>4.88219178082192</v>
      </c>
      <c r="C1784" s="12">
        <f>EXP(-r_free*(('2_Discount_Factors'!B1784+'2_Discount_Factors'!B1785)/2))</f>
        <v>0.863790810012697</v>
      </c>
      <c r="D1784" s="12">
        <f>'3_Survival_Probs'!D1784</f>
        <v>0.888652597298832</v>
      </c>
      <c r="E1784" s="12">
        <f>'3_Survival_Probs'!D1785</f>
        <v>0.888578169595026</v>
      </c>
      <c r="F1784" s="14">
        <f t="shared" si="65"/>
        <v>7.44277038062791e-5</v>
      </c>
      <c r="G1784" s="32">
        <f>(1-recovery)*notional*C1784*F1784</f>
        <v>385.739799349265</v>
      </c>
      <c r="H1784" s="14">
        <f t="shared" si="66"/>
        <v>8.6307078393216e-6</v>
      </c>
      <c r="I1784" s="33"/>
    </row>
    <row r="1785" spans="1:9">
      <c r="A1785" s="4">
        <v>1783</v>
      </c>
      <c r="B1785" s="6">
        <f>'2_Discount_Factors'!B1786</f>
        <v>4.88493150684932</v>
      </c>
      <c r="C1785" s="6">
        <f>EXP(-r_free*(('2_Discount_Factors'!B1785+'2_Discount_Factors'!B1786)/2))</f>
        <v>0.863719816425349</v>
      </c>
      <c r="D1785" s="6">
        <f>'3_Survival_Probs'!D1785</f>
        <v>0.888578169595026</v>
      </c>
      <c r="E1785" s="6">
        <f>'3_Survival_Probs'!D1786</f>
        <v>0.888503748124795</v>
      </c>
      <c r="F1785" s="8">
        <f t="shared" si="65"/>
        <v>7.44214702307344e-5</v>
      </c>
      <c r="G1785" s="29">
        <f>(1-recovery)*notional*C1785*F1785</f>
        <v>385.675791634767</v>
      </c>
      <c r="H1785" s="8">
        <f t="shared" si="66"/>
        <v>8.80538337065693e-6</v>
      </c>
      <c r="I1785" s="30"/>
    </row>
    <row r="1786" spans="1:9">
      <c r="A1786" s="10">
        <v>1784</v>
      </c>
      <c r="B1786" s="12">
        <f>'2_Discount_Factors'!B1787</f>
        <v>4.88767123287671</v>
      </c>
      <c r="C1786" s="12">
        <f>EXP(-r_free*(('2_Discount_Factors'!B1786+'2_Discount_Factors'!B1787)/2))</f>
        <v>0.86364882867285</v>
      </c>
      <c r="D1786" s="12">
        <f>'3_Survival_Probs'!D1786</f>
        <v>0.888503748124795</v>
      </c>
      <c r="E1786" s="12">
        <f>'3_Survival_Probs'!D1787</f>
        <v>0.888429332887618</v>
      </c>
      <c r="F1786" s="14">
        <f t="shared" si="65"/>
        <v>7.44152371773277e-5</v>
      </c>
      <c r="G1786" s="32">
        <f>(1-recovery)*notional*C1786*F1786</f>
        <v>385.611794541668</v>
      </c>
      <c r="H1786" s="14">
        <f t="shared" si="66"/>
        <v>8.98000069480613e-6</v>
      </c>
      <c r="I1786" s="33"/>
    </row>
    <row r="1787" spans="1:9">
      <c r="A1787" s="4">
        <v>1785</v>
      </c>
      <c r="B1787" s="6">
        <f>'2_Discount_Factors'!B1788</f>
        <v>4.89041095890411</v>
      </c>
      <c r="C1787" s="6">
        <f>EXP(-r_free*(('2_Discount_Factors'!B1787+'2_Discount_Factors'!B1788)/2))</f>
        <v>0.863577846754722</v>
      </c>
      <c r="D1787" s="6">
        <f>'3_Survival_Probs'!D1787</f>
        <v>0.888429332887618</v>
      </c>
      <c r="E1787" s="6">
        <f>'3_Survival_Probs'!D1788</f>
        <v>0.888354923882972</v>
      </c>
      <c r="F1787" s="8">
        <f t="shared" si="65"/>
        <v>7.44090046459478e-5</v>
      </c>
      <c r="G1787" s="29">
        <f>(1-recovery)*notional*C1787*F1787</f>
        <v>385.547808067858</v>
      </c>
      <c r="H1787" s="8">
        <f t="shared" si="66"/>
        <v>9.15455982626889e-6</v>
      </c>
      <c r="I1787" s="30"/>
    </row>
    <row r="1788" spans="1:9">
      <c r="A1788" s="10">
        <v>1786</v>
      </c>
      <c r="B1788" s="12">
        <f>'2_Discount_Factors'!B1789</f>
        <v>4.89315068493151</v>
      </c>
      <c r="C1788" s="12">
        <f>EXP(-r_free*(('2_Discount_Factors'!B1788+'2_Discount_Factors'!B1789)/2))</f>
        <v>0.863506870670484</v>
      </c>
      <c r="D1788" s="12">
        <f>'3_Survival_Probs'!D1788</f>
        <v>0.888354923882972</v>
      </c>
      <c r="E1788" s="12">
        <f>'3_Survival_Probs'!D1789</f>
        <v>0.888280521110335</v>
      </c>
      <c r="F1788" s="14">
        <f t="shared" si="65"/>
        <v>7.44027726364838e-5</v>
      </c>
      <c r="G1788" s="32">
        <f>(1-recovery)*notional*C1788*F1788</f>
        <v>385.483832211226</v>
      </c>
      <c r="H1788" s="14">
        <f t="shared" si="66"/>
        <v>9.32906077954119e-6</v>
      </c>
      <c r="I1788" s="33"/>
    </row>
    <row r="1789" spans="1:9">
      <c r="A1789" s="4">
        <v>1787</v>
      </c>
      <c r="B1789" s="6">
        <f>'2_Discount_Factors'!B1790</f>
        <v>4.8958904109589</v>
      </c>
      <c r="C1789" s="6">
        <f>EXP(-r_free*(('2_Discount_Factors'!B1789+'2_Discount_Factors'!B1790)/2))</f>
        <v>0.863435900419658</v>
      </c>
      <c r="D1789" s="6">
        <f>'3_Survival_Probs'!D1789</f>
        <v>0.888280521110335</v>
      </c>
      <c r="E1789" s="6">
        <f>'3_Survival_Probs'!D1790</f>
        <v>0.888206124569186</v>
      </c>
      <c r="F1789" s="8">
        <f t="shared" si="65"/>
        <v>7.43965411490466e-5</v>
      </c>
      <c r="G1789" s="29">
        <f>(1-recovery)*notional*C1789*F1789</f>
        <v>385.419866970811</v>
      </c>
      <c r="H1789" s="8">
        <f t="shared" si="66"/>
        <v>9.5035035691434e-6</v>
      </c>
      <c r="I1789" s="30"/>
    </row>
    <row r="1790" spans="1:9">
      <c r="A1790" s="10">
        <v>1788</v>
      </c>
      <c r="B1790" s="12">
        <f>'2_Discount_Factors'!B1791</f>
        <v>4.8986301369863</v>
      </c>
      <c r="C1790" s="12">
        <f>EXP(-r_free*(('2_Discount_Factors'!B1790+'2_Discount_Factors'!B1791)/2))</f>
        <v>0.863364936001762</v>
      </c>
      <c r="D1790" s="12">
        <f>'3_Survival_Probs'!D1790</f>
        <v>0.888206124569186</v>
      </c>
      <c r="E1790" s="12">
        <f>'3_Survival_Probs'!D1791</f>
        <v>0.888131734259003</v>
      </c>
      <c r="F1790" s="14">
        <f t="shared" si="65"/>
        <v>7.43903101834142e-5</v>
      </c>
      <c r="G1790" s="32">
        <f>(1-recovery)*notional*C1790*F1790</f>
        <v>385.355912343928</v>
      </c>
      <c r="H1790" s="14">
        <f t="shared" si="66"/>
        <v>9.67788820955083e-6</v>
      </c>
      <c r="I1790" s="33"/>
    </row>
    <row r="1791" spans="1:9">
      <c r="A1791" s="4">
        <v>1789</v>
      </c>
      <c r="B1791" s="6">
        <f>'2_Discount_Factors'!B1792</f>
        <v>4.9013698630137</v>
      </c>
      <c r="C1791" s="6">
        <f>EXP(-r_free*(('2_Discount_Factors'!B1791+'2_Discount_Factors'!B1792)/2))</f>
        <v>0.863293977416319</v>
      </c>
      <c r="D1791" s="6">
        <f>'3_Survival_Probs'!D1791</f>
        <v>0.888131734259003</v>
      </c>
      <c r="E1791" s="6">
        <f>'3_Survival_Probs'!D1792</f>
        <v>0.888057350179263</v>
      </c>
      <c r="F1791" s="8">
        <f t="shared" si="65"/>
        <v>7.43840797398088e-5</v>
      </c>
      <c r="G1791" s="29">
        <f>(1-recovery)*notional*C1791*F1791</f>
        <v>385.291968330193</v>
      </c>
      <c r="H1791" s="8">
        <f t="shared" si="66"/>
        <v>9.85221471529274e-6</v>
      </c>
      <c r="I1791" s="30"/>
    </row>
    <row r="1792" spans="1:9">
      <c r="A1792" s="10">
        <v>1790</v>
      </c>
      <c r="B1792" s="12">
        <f>'2_Discount_Factors'!B1793</f>
        <v>4.9041095890411</v>
      </c>
      <c r="C1792" s="12">
        <f>EXP(-r_free*(('2_Discount_Factors'!B1792+'2_Discount_Factors'!B1793)/2))</f>
        <v>0.863223024662849</v>
      </c>
      <c r="D1792" s="12">
        <f>'3_Survival_Probs'!D1792</f>
        <v>0.888057350179263</v>
      </c>
      <c r="E1792" s="12">
        <f>'3_Survival_Probs'!D1793</f>
        <v>0.887982972329445</v>
      </c>
      <c r="F1792" s="14">
        <f t="shared" si="65"/>
        <v>7.43778498178971e-5</v>
      </c>
      <c r="G1792" s="32">
        <f>(1-recovery)*notional*C1792*F1792</f>
        <v>385.228034926346</v>
      </c>
      <c r="H1792" s="14">
        <f t="shared" si="66"/>
        <v>1.00264831008228e-5</v>
      </c>
      <c r="I1792" s="33"/>
    </row>
    <row r="1793" spans="1:9">
      <c r="A1793" s="4">
        <v>1791</v>
      </c>
      <c r="B1793" s="6">
        <f>'2_Discount_Factors'!B1794</f>
        <v>4.90684931506849</v>
      </c>
      <c r="C1793" s="6">
        <f>EXP(-r_free*(('2_Discount_Factors'!B1793+'2_Discount_Factors'!B1794)/2))</f>
        <v>0.863152077740873</v>
      </c>
      <c r="D1793" s="6">
        <f>'3_Survival_Probs'!D1793</f>
        <v>0.887982972329445</v>
      </c>
      <c r="E1793" s="6">
        <f>'3_Survival_Probs'!D1794</f>
        <v>0.887908600709027</v>
      </c>
      <c r="F1793" s="8">
        <f t="shared" si="65"/>
        <v>7.43716204177902e-5</v>
      </c>
      <c r="G1793" s="29">
        <f>(1-recovery)*notional*C1793*F1793</f>
        <v>385.164112131427</v>
      </c>
      <c r="H1793" s="8">
        <f t="shared" si="66"/>
        <v>1.02006933806498e-5</v>
      </c>
      <c r="I1793" s="30"/>
    </row>
    <row r="1794" spans="1:9">
      <c r="A1794" s="10">
        <v>1792</v>
      </c>
      <c r="B1794" s="12">
        <f>'2_Discount_Factors'!B1795</f>
        <v>4.90958904109589</v>
      </c>
      <c r="C1794" s="12">
        <f>EXP(-r_free*(('2_Discount_Factors'!B1794+'2_Discount_Factors'!B1795)/2))</f>
        <v>0.86308113664991</v>
      </c>
      <c r="D1794" s="12">
        <f>'3_Survival_Probs'!D1794</f>
        <v>0.887908600709027</v>
      </c>
      <c r="E1794" s="12">
        <f>'3_Survival_Probs'!D1795</f>
        <v>0.887834235317488</v>
      </c>
      <c r="F1794" s="14">
        <f t="shared" si="65"/>
        <v>7.43653915393772e-5</v>
      </c>
      <c r="G1794" s="32">
        <f>(1-recovery)*notional*C1794*F1794</f>
        <v>385.100199943328</v>
      </c>
      <c r="H1794" s="14">
        <f t="shared" si="66"/>
        <v>1.03748455692496e-5</v>
      </c>
      <c r="I1794" s="33"/>
    </row>
    <row r="1795" spans="1:9">
      <c r="A1795" s="4">
        <v>1793</v>
      </c>
      <c r="B1795" s="6">
        <f>'2_Discount_Factors'!B1796</f>
        <v>4.91232876712329</v>
      </c>
      <c r="C1795" s="6">
        <f>EXP(-r_free*(('2_Discount_Factors'!B1795+'2_Discount_Factors'!B1796)/2))</f>
        <v>0.863010201389483</v>
      </c>
      <c r="D1795" s="6">
        <f>'3_Survival_Probs'!D1795</f>
        <v>0.887834235317488</v>
      </c>
      <c r="E1795" s="6">
        <f>'3_Survival_Probs'!D1796</f>
        <v>0.887759876154305</v>
      </c>
      <c r="F1795" s="8">
        <f t="shared" ref="F1795:F1827" si="67">D1795-E1795</f>
        <v>7.43591631827689e-5</v>
      </c>
      <c r="G1795" s="29">
        <f>(1-recovery)*notional*C1795*F1795</f>
        <v>385.036298361089</v>
      </c>
      <c r="H1795" s="8">
        <f t="shared" si="66"/>
        <v>1.05489396811259e-5</v>
      </c>
      <c r="I1795" s="30"/>
    </row>
    <row r="1796" spans="1:9">
      <c r="A1796" s="10">
        <v>1794</v>
      </c>
      <c r="B1796" s="12">
        <f>'2_Discount_Factors'!B1797</f>
        <v>4.91506849315068</v>
      </c>
      <c r="C1796" s="12">
        <f>EXP(-r_free*(('2_Discount_Factors'!B1796+'2_Discount_Factors'!B1797)/2))</f>
        <v>0.862939271959111</v>
      </c>
      <c r="D1796" s="12">
        <f>'3_Survival_Probs'!D1796</f>
        <v>0.887759876154305</v>
      </c>
      <c r="E1796" s="12">
        <f>'3_Survival_Probs'!D1797</f>
        <v>0.887685523218957</v>
      </c>
      <c r="F1796" s="14">
        <f t="shared" si="67"/>
        <v>7.43529353477435e-5</v>
      </c>
      <c r="G1796" s="32">
        <f>(1-recovery)*notional*C1796*F1796</f>
        <v>384.972407382028</v>
      </c>
      <c r="H1796" s="14">
        <f t="shared" si="66"/>
        <v>1.07229757307324e-5</v>
      </c>
      <c r="I1796" s="33"/>
    </row>
    <row r="1797" spans="1:9">
      <c r="A1797" s="4">
        <v>1795</v>
      </c>
      <c r="B1797" s="6">
        <f>'2_Discount_Factors'!B1798</f>
        <v>4.91780821917808</v>
      </c>
      <c r="C1797" s="6">
        <f>EXP(-r_free*(('2_Discount_Factors'!B1797+'2_Discount_Factors'!B1798)/2))</f>
        <v>0.862868348358316</v>
      </c>
      <c r="D1797" s="6">
        <f>'3_Survival_Probs'!D1797</f>
        <v>0.887685523218957</v>
      </c>
      <c r="E1797" s="6">
        <f>'3_Survival_Probs'!D1798</f>
        <v>0.887611176510923</v>
      </c>
      <c r="F1797" s="8">
        <f t="shared" si="67"/>
        <v>7.43467080343008e-5</v>
      </c>
      <c r="G1797" s="29">
        <f>(1-recovery)*notional*C1797*F1797</f>
        <v>384.90852700461</v>
      </c>
      <c r="H1797" s="8">
        <f t="shared" si="66"/>
        <v>1.08969537325507e-5</v>
      </c>
      <c r="I1797" s="30"/>
    </row>
    <row r="1798" spans="1:9">
      <c r="A1798" s="10">
        <v>1796</v>
      </c>
      <c r="B1798" s="12">
        <f>'2_Discount_Factors'!B1799</f>
        <v>4.92054794520548</v>
      </c>
      <c r="C1798" s="12">
        <f>EXP(-r_free*(('2_Discount_Factors'!B1798+'2_Discount_Factors'!B1799)/2))</f>
        <v>0.862797430586619</v>
      </c>
      <c r="D1798" s="12">
        <f>'3_Survival_Probs'!D1798</f>
        <v>0.887611176510923</v>
      </c>
      <c r="E1798" s="12">
        <f>'3_Survival_Probs'!D1799</f>
        <v>0.887536836029681</v>
      </c>
      <c r="F1798" s="14">
        <f t="shared" si="67"/>
        <v>7.43404812424409e-5</v>
      </c>
      <c r="G1798" s="32">
        <f>(1-recovery)*notional*C1798*F1798</f>
        <v>384.844657227304</v>
      </c>
      <c r="H1798" s="14">
        <f t="shared" si="66"/>
        <v>1.10708737010596e-5</v>
      </c>
      <c r="I1798" s="33"/>
    </row>
    <row r="1799" spans="1:9">
      <c r="A1799" s="4">
        <v>1797</v>
      </c>
      <c r="B1799" s="6">
        <f>'2_Discount_Factors'!B1800</f>
        <v>4.92328767123288</v>
      </c>
      <c r="C1799" s="6">
        <f>EXP(-r_free*(('2_Discount_Factors'!B1799+'2_Discount_Factors'!B1800)/2))</f>
        <v>0.862726518643539</v>
      </c>
      <c r="D1799" s="6">
        <f>'3_Survival_Probs'!D1799</f>
        <v>0.887536836029681</v>
      </c>
      <c r="E1799" s="6">
        <f>'3_Survival_Probs'!D1800</f>
        <v>0.887462501774709</v>
      </c>
      <c r="F1799" s="8">
        <f t="shared" si="67"/>
        <v>7.43342549720527e-5</v>
      </c>
      <c r="G1799" s="29">
        <f>(1-recovery)*notional*C1799*F1799</f>
        <v>384.780798048001</v>
      </c>
      <c r="H1799" s="8">
        <f t="shared" si="66"/>
        <v>1.1244735650718e-5</v>
      </c>
      <c r="I1799" s="30"/>
    </row>
    <row r="1800" spans="1:9">
      <c r="A1800" s="10">
        <v>1798</v>
      </c>
      <c r="B1800" s="12">
        <f>'2_Discount_Factors'!B1801</f>
        <v>4.92602739726027</v>
      </c>
      <c r="C1800" s="12">
        <f>EXP(-r_free*(('2_Discount_Factors'!B1800+'2_Discount_Factors'!B1801)/2))</f>
        <v>0.8626556125286</v>
      </c>
      <c r="D1800" s="12">
        <f>'3_Survival_Probs'!D1800</f>
        <v>0.887462501774709</v>
      </c>
      <c r="E1800" s="12">
        <f>'3_Survival_Probs'!D1801</f>
        <v>0.887388173745485</v>
      </c>
      <c r="F1800" s="14">
        <f t="shared" si="67"/>
        <v>7.43280292232473e-5</v>
      </c>
      <c r="G1800" s="32">
        <f>(1-recovery)*notional*C1800*F1800</f>
        <v>384.716949465744</v>
      </c>
      <c r="H1800" s="14">
        <f t="shared" ref="H1800:H1827" si="68">C1800*(B1800-4.74794520547945)*F1800</f>
        <v>1.14185395960154e-5</v>
      </c>
      <c r="I1800" s="33"/>
    </row>
    <row r="1801" spans="1:9">
      <c r="A1801" s="4">
        <v>1799</v>
      </c>
      <c r="B1801" s="6">
        <f>'2_Discount_Factors'!B1802</f>
        <v>4.92876712328767</v>
      </c>
      <c r="C1801" s="6">
        <f>EXP(-r_free*(('2_Discount_Factors'!B1801+'2_Discount_Factors'!B1802)/2))</f>
        <v>0.86258471224132</v>
      </c>
      <c r="D1801" s="6">
        <f>'3_Survival_Probs'!D1801</f>
        <v>0.887388173745485</v>
      </c>
      <c r="E1801" s="6">
        <f>'3_Survival_Probs'!D1802</f>
        <v>0.88731385194149</v>
      </c>
      <c r="F1801" s="8">
        <f t="shared" si="67"/>
        <v>7.43218039958027e-5</v>
      </c>
      <c r="G1801" s="29">
        <f>(1-recovery)*notional*C1801*F1801</f>
        <v>384.653111477852</v>
      </c>
      <c r="H1801" s="8">
        <f t="shared" si="68"/>
        <v>1.15922855513874e-5</v>
      </c>
      <c r="I1801" s="30"/>
    </row>
    <row r="1802" spans="1:9">
      <c r="A1802" s="10">
        <v>1800</v>
      </c>
      <c r="B1802" s="12">
        <f>'2_Discount_Factors'!B1803</f>
        <v>4.93150684931507</v>
      </c>
      <c r="C1802" s="12">
        <f>EXP(-r_free*(('2_Discount_Factors'!B1802+'2_Discount_Factors'!B1803)/2))</f>
        <v>0.862513817781222</v>
      </c>
      <c r="D1802" s="12">
        <f>'3_Survival_Probs'!D1802</f>
        <v>0.88731385194149</v>
      </c>
      <c r="E1802" s="12">
        <f>'3_Survival_Probs'!D1803</f>
        <v>0.8872395363622</v>
      </c>
      <c r="F1802" s="14">
        <f t="shared" si="67"/>
        <v>7.43155792897188e-5</v>
      </c>
      <c r="G1802" s="32">
        <f>(1-recovery)*notional*C1802*F1802</f>
        <v>384.589284082791</v>
      </c>
      <c r="H1802" s="14">
        <f t="shared" si="68"/>
        <v>1.17659735313001e-5</v>
      </c>
      <c r="I1802" s="33"/>
    </row>
    <row r="1803" spans="1:9">
      <c r="A1803" s="4">
        <v>1801</v>
      </c>
      <c r="B1803" s="6">
        <f>'2_Discount_Factors'!B1804</f>
        <v>4.93424657534247</v>
      </c>
      <c r="C1803" s="6">
        <f>EXP(-r_free*(('2_Discount_Factors'!B1803+'2_Discount_Factors'!B1804)/2))</f>
        <v>0.862442929147827</v>
      </c>
      <c r="D1803" s="6">
        <f>'3_Survival_Probs'!D1803</f>
        <v>0.8872395363622</v>
      </c>
      <c r="E1803" s="6">
        <f>'3_Survival_Probs'!D1804</f>
        <v>0.887165227007095</v>
      </c>
      <c r="F1803" s="8">
        <f t="shared" si="67"/>
        <v>7.43093551049956e-5</v>
      </c>
      <c r="G1803" s="29">
        <f>(1-recovery)*notional*C1803*F1803</f>
        <v>384.52546727903</v>
      </c>
      <c r="H1803" s="8">
        <f t="shared" si="68"/>
        <v>1.19396035502166e-5</v>
      </c>
      <c r="I1803" s="30"/>
    </row>
    <row r="1804" spans="1:9">
      <c r="A1804" s="10">
        <v>1802</v>
      </c>
      <c r="B1804" s="12">
        <f>'2_Discount_Factors'!B1805</f>
        <v>4.93698630136986</v>
      </c>
      <c r="C1804" s="12">
        <f>EXP(-r_free*(('2_Discount_Factors'!B1804+'2_Discount_Factors'!B1805)/2))</f>
        <v>0.862372046340655</v>
      </c>
      <c r="D1804" s="12">
        <f>'3_Survival_Probs'!D1804</f>
        <v>0.887165227007095</v>
      </c>
      <c r="E1804" s="12">
        <f>'3_Survival_Probs'!D1805</f>
        <v>0.887090923875653</v>
      </c>
      <c r="F1804" s="14">
        <f t="shared" si="67"/>
        <v>7.43031314415221e-5</v>
      </c>
      <c r="G1804" s="32">
        <f>(1-recovery)*notional*C1804*F1804</f>
        <v>384.461661064464</v>
      </c>
      <c r="H1804" s="14">
        <f t="shared" si="68"/>
        <v>1.21131756225792e-5</v>
      </c>
      <c r="I1804" s="33"/>
    </row>
    <row r="1805" spans="1:9">
      <c r="A1805" s="4">
        <v>1803</v>
      </c>
      <c r="B1805" s="6">
        <f>'2_Discount_Factors'!B1806</f>
        <v>4.93972602739726</v>
      </c>
      <c r="C1805" s="6">
        <f>EXP(-r_free*(('2_Discount_Factors'!B1805+'2_Discount_Factors'!B1806)/2))</f>
        <v>0.862301169359228</v>
      </c>
      <c r="D1805" s="6">
        <f>'3_Survival_Probs'!D1805</f>
        <v>0.887090923875653</v>
      </c>
      <c r="E1805" s="6">
        <f>'3_Survival_Probs'!D1806</f>
        <v>0.887016626967354</v>
      </c>
      <c r="F1805" s="8">
        <f t="shared" si="67"/>
        <v>7.42969082994094e-5</v>
      </c>
      <c r="G1805" s="29">
        <f>(1-recovery)*notional*C1805*F1805</f>
        <v>384.397865438136</v>
      </c>
      <c r="H1805" s="8">
        <f t="shared" si="68"/>
        <v>1.22866897628629e-5</v>
      </c>
      <c r="I1805" s="30"/>
    </row>
    <row r="1806" spans="1:9">
      <c r="A1806" s="10">
        <v>1804</v>
      </c>
      <c r="B1806" s="12">
        <f>'2_Discount_Factors'!B1807</f>
        <v>4.94246575342466</v>
      </c>
      <c r="C1806" s="12">
        <f>EXP(-r_free*(('2_Discount_Factors'!B1806+'2_Discount_Factors'!B1807)/2))</f>
        <v>0.862230298203066</v>
      </c>
      <c r="D1806" s="12">
        <f>'3_Survival_Probs'!D1806</f>
        <v>0.887016626967354</v>
      </c>
      <c r="E1806" s="12">
        <f>'3_Survival_Probs'!D1807</f>
        <v>0.886942336281676</v>
      </c>
      <c r="F1806" s="14">
        <f t="shared" si="67"/>
        <v>7.42906856784353e-5</v>
      </c>
      <c r="G1806" s="32">
        <f>(1-recovery)*notional*C1806*F1806</f>
        <v>384.334080397365</v>
      </c>
      <c r="H1806" s="14">
        <f t="shared" si="68"/>
        <v>1.24601459854855e-5</v>
      </c>
      <c r="I1806" s="33"/>
    </row>
    <row r="1807" spans="1:9">
      <c r="A1807" s="4">
        <v>1805</v>
      </c>
      <c r="B1807" s="6">
        <f>'2_Discount_Factors'!B1808</f>
        <v>4.94520547945205</v>
      </c>
      <c r="C1807" s="6">
        <f>EXP(-r_free*(('2_Discount_Factors'!B1807+'2_Discount_Factors'!B1808)/2))</f>
        <v>0.862159432871692</v>
      </c>
      <c r="D1807" s="6">
        <f>'3_Survival_Probs'!D1807</f>
        <v>0.886942336281676</v>
      </c>
      <c r="E1807" s="6">
        <f>'3_Survival_Probs'!D1808</f>
        <v>0.886868051818097</v>
      </c>
      <c r="F1807" s="8">
        <f t="shared" si="67"/>
        <v>7.42844635786e-5</v>
      </c>
      <c r="G1807" s="29">
        <f>(1-recovery)*notional*C1807*F1807</f>
        <v>384.270305940622</v>
      </c>
      <c r="H1807" s="8">
        <f t="shared" si="68"/>
        <v>1.26335443048973e-5</v>
      </c>
      <c r="I1807" s="30"/>
    </row>
    <row r="1808" spans="1:9">
      <c r="A1808" s="10">
        <v>1806</v>
      </c>
      <c r="B1808" s="12">
        <f>'2_Discount_Factors'!B1809</f>
        <v>4.94794520547945</v>
      </c>
      <c r="C1808" s="12">
        <f>EXP(-r_free*(('2_Discount_Factors'!B1808+'2_Discount_Factors'!B1809)/2))</f>
        <v>0.862088573364626</v>
      </c>
      <c r="D1808" s="12">
        <f>'3_Survival_Probs'!D1808</f>
        <v>0.886868051818097</v>
      </c>
      <c r="E1808" s="12">
        <f>'3_Survival_Probs'!D1809</f>
        <v>0.886793773576097</v>
      </c>
      <c r="F1808" s="14">
        <f t="shared" si="67"/>
        <v>7.42782419999033e-5</v>
      </c>
      <c r="G1808" s="32">
        <f>(1-recovery)*notional*C1808*F1808</f>
        <v>384.206542066375</v>
      </c>
      <c r="H1808" s="14">
        <f t="shared" si="68"/>
        <v>1.28068847355459e-5</v>
      </c>
      <c r="I1808" s="33"/>
    </row>
    <row r="1809" spans="1:9">
      <c r="A1809" s="4">
        <v>1807</v>
      </c>
      <c r="B1809" s="6">
        <f>'2_Discount_Factors'!B1810</f>
        <v>4.95068493150685</v>
      </c>
      <c r="C1809" s="6">
        <f>EXP(-r_free*(('2_Discount_Factors'!B1809+'2_Discount_Factors'!B1810)/2))</f>
        <v>0.86201771968139</v>
      </c>
      <c r="D1809" s="6">
        <f>'3_Survival_Probs'!D1809</f>
        <v>0.886793773576097</v>
      </c>
      <c r="E1809" s="6">
        <f>'3_Survival_Probs'!D1810</f>
        <v>0.886719501555155</v>
      </c>
      <c r="F1809" s="8">
        <f t="shared" si="67"/>
        <v>7.42720209423453e-5</v>
      </c>
      <c r="G1809" s="29">
        <f>(1-recovery)*notional*C1809*F1809</f>
        <v>384.142788773094</v>
      </c>
      <c r="H1809" s="8">
        <f t="shared" si="68"/>
        <v>1.29801672918764e-5</v>
      </c>
      <c r="I1809" s="30"/>
    </row>
    <row r="1810" spans="1:9">
      <c r="A1810" s="10">
        <v>1808</v>
      </c>
      <c r="B1810" s="12">
        <f>'2_Discount_Factors'!B1811</f>
        <v>4.95342465753425</v>
      </c>
      <c r="C1810" s="12">
        <f>EXP(-r_free*(('2_Discount_Factors'!B1810+'2_Discount_Factors'!B1811)/2))</f>
        <v>0.861946871821506</v>
      </c>
      <c r="D1810" s="12">
        <f>'3_Survival_Probs'!D1810</f>
        <v>0.886719501555155</v>
      </c>
      <c r="E1810" s="12">
        <f>'3_Survival_Probs'!D1811</f>
        <v>0.886645235754749</v>
      </c>
      <c r="F1810" s="14">
        <f t="shared" si="67"/>
        <v>7.4265800405704e-5</v>
      </c>
      <c r="G1810" s="32">
        <f>(1-recovery)*notional*C1810*F1810</f>
        <v>384.079046058101</v>
      </c>
      <c r="H1810" s="14">
        <f t="shared" si="68"/>
        <v>1.31533919882913e-5</v>
      </c>
      <c r="I1810" s="33"/>
    </row>
    <row r="1811" spans="1:9">
      <c r="A1811" s="4">
        <v>1809</v>
      </c>
      <c r="B1811" s="6">
        <f>'2_Discount_Factors'!B1812</f>
        <v>4.95616438356164</v>
      </c>
      <c r="C1811" s="6">
        <f>EXP(-r_free*(('2_Discount_Factors'!B1811+'2_Discount_Factors'!B1812)/2))</f>
        <v>0.861876029784493</v>
      </c>
      <c r="D1811" s="6">
        <f>'3_Survival_Probs'!D1811</f>
        <v>0.886645235754749</v>
      </c>
      <c r="E1811" s="6">
        <f>'3_Survival_Probs'!D1812</f>
        <v>0.886570976174359</v>
      </c>
      <c r="F1811" s="8">
        <f t="shared" si="67"/>
        <v>7.42595803902013e-5</v>
      </c>
      <c r="G1811" s="29">
        <f>(1-recovery)*notional*C1811*F1811</f>
        <v>384.015313921015</v>
      </c>
      <c r="H1811" s="8">
        <f t="shared" si="68"/>
        <v>1.33265588392682e-5</v>
      </c>
      <c r="I1811" s="30"/>
    </row>
    <row r="1812" spans="1:9">
      <c r="A1812" s="10">
        <v>1810</v>
      </c>
      <c r="B1812" s="12">
        <f>'2_Discount_Factors'!B1813</f>
        <v>4.95890410958904</v>
      </c>
      <c r="C1812" s="12">
        <f>EXP(-r_free*(('2_Discount_Factors'!B1812+'2_Discount_Factors'!B1813)/2))</f>
        <v>0.861805193569875</v>
      </c>
      <c r="D1812" s="12">
        <f>'3_Survival_Probs'!D1812</f>
        <v>0.886570976174359</v>
      </c>
      <c r="E1812" s="12">
        <f>'3_Survival_Probs'!D1813</f>
        <v>0.886496722813463</v>
      </c>
      <c r="F1812" s="14">
        <f t="shared" si="67"/>
        <v>7.42533608955043e-5</v>
      </c>
      <c r="G1812" s="32">
        <f>(1-recovery)*notional*C1812*F1812</f>
        <v>383.951592358583</v>
      </c>
      <c r="H1812" s="14">
        <f t="shared" si="68"/>
        <v>1.34996678591832e-5</v>
      </c>
      <c r="I1812" s="33"/>
    </row>
    <row r="1813" spans="1:9">
      <c r="A1813" s="4">
        <v>1811</v>
      </c>
      <c r="B1813" s="6">
        <f>'2_Discount_Factors'!B1814</f>
        <v>4.96164383561644</v>
      </c>
      <c r="C1813" s="6">
        <f>EXP(-r_free*(('2_Discount_Factors'!B1813+'2_Discount_Factors'!B1814)/2))</f>
        <v>0.861734363177171</v>
      </c>
      <c r="D1813" s="6">
        <f>'3_Survival_Probs'!D1813</f>
        <v>0.886496722813463</v>
      </c>
      <c r="E1813" s="6">
        <f>'3_Survival_Probs'!D1814</f>
        <v>0.886422475671541</v>
      </c>
      <c r="F1813" s="8">
        <f t="shared" si="67"/>
        <v>7.42471419218349e-5</v>
      </c>
      <c r="G1813" s="29">
        <f>(1-recovery)*notional*C1813*F1813</f>
        <v>383.887881370425</v>
      </c>
      <c r="H1813" s="8">
        <f t="shared" si="68"/>
        <v>1.36727190625084e-5</v>
      </c>
      <c r="I1813" s="30"/>
    </row>
    <row r="1814" spans="1:9">
      <c r="A1814" s="10">
        <v>1812</v>
      </c>
      <c r="B1814" s="12">
        <f>'2_Discount_Factors'!B1815</f>
        <v>4.96438356164384</v>
      </c>
      <c r="C1814" s="12">
        <f>EXP(-r_free*(('2_Discount_Factors'!B1814+'2_Discount_Factors'!B1815)/2))</f>
        <v>0.861663538605905</v>
      </c>
      <c r="D1814" s="12">
        <f>'3_Survival_Probs'!D1814</f>
        <v>0.886422475671541</v>
      </c>
      <c r="E1814" s="12">
        <f>'3_Survival_Probs'!D1815</f>
        <v>0.886348234748072</v>
      </c>
      <c r="F1814" s="14">
        <f t="shared" si="67"/>
        <v>7.42409234689712e-5</v>
      </c>
      <c r="G1814" s="32">
        <f>(1-recovery)*notional*C1814*F1814</f>
        <v>383.824180953863</v>
      </c>
      <c r="H1814" s="14">
        <f t="shared" si="68"/>
        <v>1.38457124636326e-5</v>
      </c>
      <c r="I1814" s="33"/>
    </row>
    <row r="1815" spans="1:9">
      <c r="A1815" s="4">
        <v>1813</v>
      </c>
      <c r="B1815" s="6">
        <f>'2_Discount_Factors'!B1816</f>
        <v>4.96712328767123</v>
      </c>
      <c r="C1815" s="6">
        <f>EXP(-r_free*(('2_Discount_Factors'!B1815+'2_Discount_Factors'!B1816)/2))</f>
        <v>0.861592719855597</v>
      </c>
      <c r="D1815" s="6">
        <f>'3_Survival_Probs'!D1815</f>
        <v>0.886348234748072</v>
      </c>
      <c r="E1815" s="6">
        <f>'3_Survival_Probs'!D1816</f>
        <v>0.886274000042536</v>
      </c>
      <c r="F1815" s="8">
        <f t="shared" si="67"/>
        <v>7.4234705536913e-5</v>
      </c>
      <c r="G1815" s="29">
        <f>(1-recovery)*notional*C1815*F1815</f>
        <v>383.76049110737</v>
      </c>
      <c r="H1815" s="8">
        <f t="shared" si="68"/>
        <v>1.40186480769817e-5</v>
      </c>
      <c r="I1815" s="30"/>
    </row>
    <row r="1816" spans="1:9">
      <c r="A1816" s="10">
        <v>1814</v>
      </c>
      <c r="B1816" s="12">
        <f>'2_Discount_Factors'!B1817</f>
        <v>4.96986301369863</v>
      </c>
      <c r="C1816" s="12">
        <f>EXP(-r_free*(('2_Discount_Factors'!B1816+'2_Discount_Factors'!B1817)/2))</f>
        <v>0.861521906925769</v>
      </c>
      <c r="D1816" s="12">
        <f>'3_Survival_Probs'!D1816</f>
        <v>0.886274000042536</v>
      </c>
      <c r="E1816" s="12">
        <f>'3_Survival_Probs'!D1817</f>
        <v>0.88619977155441</v>
      </c>
      <c r="F1816" s="14">
        <f t="shared" si="67"/>
        <v>7.42284881256605e-5</v>
      </c>
      <c r="G1816" s="32">
        <f>(1-recovery)*notional*C1816*F1816</f>
        <v>383.696811829415</v>
      </c>
      <c r="H1816" s="14">
        <f t="shared" si="68"/>
        <v>1.41915259169785e-5</v>
      </c>
      <c r="I1816" s="33"/>
    </row>
    <row r="1817" spans="1:9">
      <c r="A1817" s="4">
        <v>1815</v>
      </c>
      <c r="B1817" s="6">
        <f>'2_Discount_Factors'!B1818</f>
        <v>4.97260273972603</v>
      </c>
      <c r="C1817" s="6">
        <f>EXP(-r_free*(('2_Discount_Factors'!B1817+'2_Discount_Factors'!B1818)/2))</f>
        <v>0.861451099815943</v>
      </c>
      <c r="D1817" s="6">
        <f>'3_Survival_Probs'!D1817</f>
        <v>0.88619977155441</v>
      </c>
      <c r="E1817" s="6">
        <f>'3_Survival_Probs'!D1818</f>
        <v>0.886125549283175</v>
      </c>
      <c r="F1817" s="8">
        <f t="shared" si="67"/>
        <v>7.42222712351026e-5</v>
      </c>
      <c r="G1817" s="29">
        <f>(1-recovery)*notional*C1817*F1817</f>
        <v>383.633143117898</v>
      </c>
      <c r="H1817" s="8">
        <f t="shared" si="68"/>
        <v>1.43643459980219e-5</v>
      </c>
      <c r="I1817" s="30"/>
    </row>
    <row r="1818" spans="1:9">
      <c r="A1818" s="10">
        <v>1816</v>
      </c>
      <c r="B1818" s="12">
        <f>'2_Discount_Factors'!B1819</f>
        <v>4.97534246575342</v>
      </c>
      <c r="C1818" s="12">
        <f>EXP(-r_free*(('2_Discount_Factors'!B1818+'2_Discount_Factors'!B1819)/2))</f>
        <v>0.86138029852564</v>
      </c>
      <c r="D1818" s="12">
        <f>'3_Survival_Probs'!D1818</f>
        <v>0.886125549283175</v>
      </c>
      <c r="E1818" s="12">
        <f>'3_Survival_Probs'!D1819</f>
        <v>0.88605133322831</v>
      </c>
      <c r="F1818" s="14">
        <f t="shared" si="67"/>
        <v>7.42160548652393e-5</v>
      </c>
      <c r="G1818" s="32">
        <f>(1-recovery)*notional*C1818*F1818</f>
        <v>383.569484971291</v>
      </c>
      <c r="H1818" s="14">
        <f t="shared" si="68"/>
        <v>1.45371083345285e-5</v>
      </c>
      <c r="I1818" s="33"/>
    </row>
    <row r="1819" spans="1:9">
      <c r="A1819" s="4">
        <v>1817</v>
      </c>
      <c r="B1819" s="6">
        <f>'2_Discount_Factors'!B1820</f>
        <v>4.97808219178082</v>
      </c>
      <c r="C1819" s="6">
        <f>EXP(-r_free*(('2_Discount_Factors'!B1819+'2_Discount_Factors'!B1820)/2))</f>
        <v>0.861309503054382</v>
      </c>
      <c r="D1819" s="6">
        <f>'3_Survival_Probs'!D1819</f>
        <v>0.88605133322831</v>
      </c>
      <c r="E1819" s="6">
        <f>'3_Survival_Probs'!D1820</f>
        <v>0.885977123389293</v>
      </c>
      <c r="F1819" s="8">
        <f t="shared" si="67"/>
        <v>7.42098390160706e-5</v>
      </c>
      <c r="G1819" s="29">
        <f>(1-recovery)*notional*C1819*F1819</f>
        <v>383.505837388065</v>
      </c>
      <c r="H1819" s="8">
        <f t="shared" si="68"/>
        <v>1.47098129409122e-5</v>
      </c>
      <c r="I1819" s="30"/>
    </row>
    <row r="1820" spans="1:9">
      <c r="A1820" s="10">
        <v>1818</v>
      </c>
      <c r="B1820" s="12">
        <f>'2_Discount_Factors'!B1821</f>
        <v>4.98082191780822</v>
      </c>
      <c r="C1820" s="12">
        <f>EXP(-r_free*(('2_Discount_Factors'!B1820+'2_Discount_Factors'!B1821)/2))</f>
        <v>0.861238713401691</v>
      </c>
      <c r="D1820" s="12">
        <f>'3_Survival_Probs'!D1820</f>
        <v>0.885977123389293</v>
      </c>
      <c r="E1820" s="12">
        <f>'3_Survival_Probs'!D1821</f>
        <v>0.885902919765606</v>
      </c>
      <c r="F1820" s="14">
        <f t="shared" si="67"/>
        <v>7.42036236873744e-5</v>
      </c>
      <c r="G1820" s="32">
        <f>(1-recovery)*notional*C1820*F1820</f>
        <v>383.442200365546</v>
      </c>
      <c r="H1820" s="14">
        <f t="shared" si="68"/>
        <v>1.48824598315396e-5</v>
      </c>
      <c r="I1820" s="33"/>
    </row>
    <row r="1821" spans="1:9">
      <c r="A1821" s="4">
        <v>1819</v>
      </c>
      <c r="B1821" s="6">
        <f>'2_Discount_Factors'!B1822</f>
        <v>4.98356164383562</v>
      </c>
      <c r="C1821" s="6">
        <f>EXP(-r_free*(('2_Discount_Factors'!B1821+'2_Discount_Factors'!B1822)/2))</f>
        <v>0.861167929567088</v>
      </c>
      <c r="D1821" s="6">
        <f>'3_Survival_Probs'!D1821</f>
        <v>0.885902919765606</v>
      </c>
      <c r="E1821" s="6">
        <f>'3_Survival_Probs'!D1822</f>
        <v>0.885828722356727</v>
      </c>
      <c r="F1821" s="8">
        <f t="shared" si="67"/>
        <v>7.41974088793729e-5</v>
      </c>
      <c r="G1821" s="29">
        <f>(1-recovery)*notional*C1821*F1821</f>
        <v>383.378573903353</v>
      </c>
      <c r="H1821" s="8">
        <f t="shared" si="68"/>
        <v>1.50550490208624e-5</v>
      </c>
      <c r="I1821" s="30"/>
    </row>
    <row r="1822" spans="1:9">
      <c r="A1822" s="10">
        <v>1820</v>
      </c>
      <c r="B1822" s="12">
        <f>'2_Discount_Factors'!B1823</f>
        <v>4.98630136986301</v>
      </c>
      <c r="C1822" s="12">
        <f>EXP(-r_free*(('2_Discount_Factors'!B1822+'2_Discount_Factors'!B1823)/2))</f>
        <v>0.861097151550096</v>
      </c>
      <c r="D1822" s="12">
        <f>'3_Survival_Probs'!D1822</f>
        <v>0.885828722356727</v>
      </c>
      <c r="E1822" s="12">
        <f>'3_Survival_Probs'!D1823</f>
        <v>0.885754531162135</v>
      </c>
      <c r="F1822" s="14">
        <f t="shared" si="67"/>
        <v>7.41911945918439e-5</v>
      </c>
      <c r="G1822" s="32">
        <f>(1-recovery)*notional*C1822*F1822</f>
        <v>383.314957998814</v>
      </c>
      <c r="H1822" s="14">
        <f t="shared" si="68"/>
        <v>1.52275805232407e-5</v>
      </c>
      <c r="I1822" s="33"/>
    </row>
    <row r="1823" spans="1:9">
      <c r="A1823" s="4">
        <v>1821</v>
      </c>
      <c r="B1823" s="6">
        <f>'2_Discount_Factors'!B1824</f>
        <v>4.98904109589041</v>
      </c>
      <c r="C1823" s="6">
        <f>EXP(-r_free*(('2_Discount_Factors'!B1823+'2_Discount_Factors'!B1824)/2))</f>
        <v>0.861026379350236</v>
      </c>
      <c r="D1823" s="6">
        <f>'3_Survival_Probs'!D1823</f>
        <v>0.885754531162135</v>
      </c>
      <c r="E1823" s="6">
        <f>'3_Survival_Probs'!D1824</f>
        <v>0.88568034618131</v>
      </c>
      <c r="F1823" s="8">
        <f t="shared" si="67"/>
        <v>7.41849808246764e-5</v>
      </c>
      <c r="G1823" s="29">
        <f>(1-recovery)*notional*C1823*F1823</f>
        <v>383.251352649827</v>
      </c>
      <c r="H1823" s="8">
        <f t="shared" si="68"/>
        <v>1.54000543530525e-5</v>
      </c>
      <c r="I1823" s="30"/>
    </row>
    <row r="1824" spans="1:9">
      <c r="A1824" s="10">
        <v>1822</v>
      </c>
      <c r="B1824" s="12">
        <f>'2_Discount_Factors'!B1825</f>
        <v>4.99178082191781</v>
      </c>
      <c r="C1824" s="12">
        <f>EXP(-r_free*(('2_Discount_Factors'!B1824+'2_Discount_Factors'!B1825)/2))</f>
        <v>0.86095561296703</v>
      </c>
      <c r="D1824" s="12">
        <f>'3_Survival_Probs'!D1824</f>
        <v>0.88568034618131</v>
      </c>
      <c r="E1824" s="12">
        <f>'3_Survival_Probs'!D1825</f>
        <v>0.885606167413732</v>
      </c>
      <c r="F1824" s="14">
        <f t="shared" si="67"/>
        <v>7.41787675780925e-5</v>
      </c>
      <c r="G1824" s="32">
        <f>(1-recovery)*notional*C1824*F1824</f>
        <v>383.187757856013</v>
      </c>
      <c r="H1824" s="14">
        <f t="shared" si="68"/>
        <v>1.55724705247422e-5</v>
      </c>
      <c r="I1824" s="33"/>
    </row>
    <row r="1825" spans="1:9">
      <c r="A1825" s="4">
        <v>1823</v>
      </c>
      <c r="B1825" s="6">
        <f>'2_Discount_Factors'!B1826</f>
        <v>4.99452054794521</v>
      </c>
      <c r="C1825" s="6">
        <f>EXP(-r_free*(('2_Discount_Factors'!B1825+'2_Discount_Factors'!B1826)/2))</f>
        <v>0.8608848524</v>
      </c>
      <c r="D1825" s="6">
        <f>'3_Survival_Probs'!D1825</f>
        <v>0.885606167413732</v>
      </c>
      <c r="E1825" s="6">
        <f>'3_Survival_Probs'!D1826</f>
        <v>0.88553199485888</v>
      </c>
      <c r="F1825" s="8">
        <f t="shared" si="67"/>
        <v>7.41725548517591e-5</v>
      </c>
      <c r="G1825" s="29">
        <f>(1-recovery)*notional*C1825*F1825</f>
        <v>383.124173614125</v>
      </c>
      <c r="H1825" s="8">
        <f t="shared" si="68"/>
        <v>1.57448290526354e-5</v>
      </c>
      <c r="I1825" s="30"/>
    </row>
    <row r="1826" spans="1:9">
      <c r="A1826" s="10">
        <v>1824</v>
      </c>
      <c r="B1826" s="12">
        <f>'2_Discount_Factors'!B1827</f>
        <v>4.9972602739726</v>
      </c>
      <c r="C1826" s="12">
        <f>EXP(-r_free*(('2_Discount_Factors'!B1826+'2_Discount_Factors'!B1827)/2))</f>
        <v>0.860814097648668</v>
      </c>
      <c r="D1826" s="12">
        <f>'3_Survival_Probs'!D1826</f>
        <v>0.88553199485888</v>
      </c>
      <c r="E1826" s="12">
        <f>'3_Survival_Probs'!D1827</f>
        <v>0.885457828516235</v>
      </c>
      <c r="F1826" s="14">
        <f t="shared" si="67"/>
        <v>7.41663426457873e-5</v>
      </c>
      <c r="G1826" s="32">
        <f>(1-recovery)*notional*C1826*F1826</f>
        <v>383.060599923211</v>
      </c>
      <c r="H1826" s="14">
        <f t="shared" si="68"/>
        <v>1.59171299511473e-5</v>
      </c>
      <c r="I1826" s="33"/>
    </row>
    <row r="1827" spans="1:9">
      <c r="A1827" s="34">
        <v>1825</v>
      </c>
      <c r="B1827" s="35">
        <f>'2_Discount_Factors'!B1828</f>
        <v>5</v>
      </c>
      <c r="C1827" s="35">
        <f>EXP(-r_free*(('2_Discount_Factors'!B1827+'2_Discount_Factors'!B1828)/2))</f>
        <v>0.860743348712556</v>
      </c>
      <c r="D1827" s="35">
        <f>'3_Survival_Probs'!D1827</f>
        <v>0.885457828516235</v>
      </c>
      <c r="E1827" s="35">
        <f>'3_Survival_Probs'!D1828</f>
        <v>0.885383668385274</v>
      </c>
      <c r="F1827" s="36">
        <f t="shared" si="67"/>
        <v>7.41601309601769e-5</v>
      </c>
      <c r="G1827" s="37">
        <f>(1-recovery)*notional*C1827*F1827</f>
        <v>382.997036781746</v>
      </c>
      <c r="H1827" s="36">
        <f t="shared" si="68"/>
        <v>1.60893732346671e-5</v>
      </c>
      <c r="I1827" s="38" t="s">
        <v>71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2" topLeftCell="A3" activePane="bottomLeft" state="frozen"/>
      <selection/>
      <selection pane="bottomLeft" activeCell="A9" sqref="A9:H9"/>
    </sheetView>
  </sheetViews>
  <sheetFormatPr defaultColWidth="8.6796875" defaultRowHeight="16.8" outlineLevelCol="7"/>
  <cols>
    <col min="1" max="1" width="14" customWidth="1"/>
    <col min="2" max="2" width="18" customWidth="1"/>
    <col min="3" max="8" width="16" customWidth="1"/>
    <col min="9" max="9" width="11.625"/>
  </cols>
  <sheetData>
    <row r="1" ht="24" customHeight="1" spans="1:8">
      <c r="A1" s="20" t="s">
        <v>72</v>
      </c>
      <c r="B1" s="20"/>
      <c r="C1" s="20"/>
      <c r="D1" s="20"/>
      <c r="E1" s="20"/>
      <c r="F1" s="20"/>
      <c r="G1" s="20"/>
      <c r="H1" s="20"/>
    </row>
    <row r="2" spans="1:8">
      <c r="A2" s="2" t="s">
        <v>2</v>
      </c>
      <c r="B2" s="2" t="s">
        <v>73</v>
      </c>
      <c r="C2" s="2" t="s">
        <v>7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</row>
    <row r="3" spans="1:8">
      <c r="A3" s="3" t="s">
        <v>10</v>
      </c>
      <c r="B3" s="21">
        <f>SUM('4_Daily_Contributions'!G3:G185)</f>
        <v>34498.9356385527</v>
      </c>
      <c r="C3" s="22">
        <f>B3/(F3*notional)*10000</f>
        <v>69.9999134350343</v>
      </c>
      <c r="D3" s="23">
        <f>'1_Inputs'!E3</f>
        <v>70</v>
      </c>
      <c r="E3" s="24">
        <f>C3-D3</f>
        <v>-8.65649656560663e-5</v>
      </c>
      <c r="F3" s="24">
        <f>(0.25*'3_Survival_Probs'!D97*'2_Discount_Factors'!C97+0.25*'3_Survival_Probs'!D188*'2_Discount_Factors'!C188)+SUM('4_Daily_Contributions'!H3:H185)</f>
        <v>0.492842547163584</v>
      </c>
      <c r="G3" s="21">
        <f>F3*notional/10000</f>
        <v>492.842547163584</v>
      </c>
      <c r="H3" s="6">
        <f>'3_Survival_Probs'!D186</f>
        <v>0.994206869361369</v>
      </c>
    </row>
    <row r="4" spans="1:8">
      <c r="A4" s="9" t="s">
        <v>13</v>
      </c>
      <c r="B4" s="25">
        <f>SUM('4_Daily_Contributions'!G3:G367)</f>
        <v>66222.9507442176</v>
      </c>
      <c r="C4" s="22">
        <f>B4/(F4*notional)*10000</f>
        <v>89.9993830823316</v>
      </c>
      <c r="D4" s="23">
        <f>'1_Inputs'!E4</f>
        <v>90</v>
      </c>
      <c r="E4" s="26">
        <f>C4-D4</f>
        <v>-0.000616917668409656</v>
      </c>
      <c r="F4" s="26">
        <f>(0.25*'3_Survival_Probs'!D97*'2_Discount_Factors'!C97+0.25*'3_Survival_Probs'!D188*'2_Discount_Factors'!C188+0.25*'3_Survival_Probs'!D279*'2_Discount_Factors'!C279)+SUM('4_Daily_Contributions'!H3:H367)</f>
        <v>0.735815607576295</v>
      </c>
      <c r="G4" s="25">
        <f>F4*notional/10000</f>
        <v>735.815607576295</v>
      </c>
      <c r="H4" s="12">
        <f>'3_Survival_Probs'!D368</f>
        <v>0.988799196068552</v>
      </c>
    </row>
    <row r="5" spans="1:8">
      <c r="A5" s="3" t="s">
        <v>16</v>
      </c>
      <c r="B5" s="21">
        <f>SUM('4_Daily_Contributions'!G3:G732)</f>
        <v>184735.495588273</v>
      </c>
      <c r="C5" s="22">
        <f>B5/(F5*notional)*10000</f>
        <v>109.99999842952</v>
      </c>
      <c r="D5" s="23">
        <f>'1_Inputs'!E5</f>
        <v>110</v>
      </c>
      <c r="E5" s="24">
        <f>C5-D5</f>
        <v>-1.57048043547547e-6</v>
      </c>
      <c r="F5" s="24">
        <f>(0.25*'3_Survival_Probs'!D97*'2_Discount_Factors'!C97+0.25*'3_Survival_Probs'!D188*'2_Discount_Factors'!C188+0.25*'3_Survival_Probs'!D279*'2_Discount_Factors'!C279+0.25*'3_Survival_Probs'!D371*'2_Discount_Factors'!C371+0.25*'3_Survival_Probs'!D462*'2_Discount_Factors'!C462+0.25*'3_Survival_Probs'!D553*'2_Discount_Factors'!C553+0.25*'3_Survival_Probs'!D644*'2_Discount_Factors'!C644)+SUM('4_Daily_Contributions'!H3:H732)</f>
        <v>1.67941362023418</v>
      </c>
      <c r="G5" s="21">
        <f>F5*notional/10000</f>
        <v>1679.41362023418</v>
      </c>
      <c r="H5" s="6">
        <f>'3_Survival_Probs'!D733</f>
        <v>0.968139824085445</v>
      </c>
    </row>
    <row r="6" spans="1:8">
      <c r="A6" s="9" t="s">
        <v>18</v>
      </c>
      <c r="B6" s="25">
        <f>SUM('4_Daily_Contributions'!G3:G1097)</f>
        <v>334669.346481175</v>
      </c>
      <c r="C6" s="22">
        <f>B6/(F6*notional)*10000</f>
        <v>129.999997039682</v>
      </c>
      <c r="D6" s="23">
        <f>'1_Inputs'!E6</f>
        <v>130</v>
      </c>
      <c r="E6" s="26">
        <f>C6-D6</f>
        <v>-2.96031777224925e-6</v>
      </c>
      <c r="F6" s="26">
        <f>(0.25*'3_Survival_Probs'!D97*'2_Discount_Factors'!C97+0.25*'3_Survival_Probs'!D188*'2_Discount_Factors'!C188+0.25*'3_Survival_Probs'!D279*'2_Discount_Factors'!C279+0.25*'3_Survival_Probs'!D371*'2_Discount_Factors'!C371+0.25*'3_Survival_Probs'!D462*'2_Discount_Factors'!C462+0.25*'3_Survival_Probs'!D553*'2_Discount_Factors'!C553+0.25*'3_Survival_Probs'!D644*'2_Discount_Factors'!C644+0.25*'3_Survival_Probs'!D736*'2_Discount_Factors'!C736+0.25*'3_Survival_Probs'!D827*'2_Discount_Factors'!C827+0.25*'3_Survival_Probs'!D918*'2_Discount_Factors'!C918+0.25*'3_Survival_Probs'!D1009*'2_Discount_Factors'!C1009)+SUM('4_Daily_Contributions'!H3:H1097)</f>
        <v>2.57437964693967</v>
      </c>
      <c r="G6" s="25">
        <f>F6*notional/10000</f>
        <v>2574.37964693967</v>
      </c>
      <c r="H6" s="12">
        <f>'3_Survival_Probs'!D1098</f>
        <v>0.941207513416557</v>
      </c>
    </row>
    <row r="7" spans="1:8">
      <c r="A7" s="3" t="s">
        <v>20</v>
      </c>
      <c r="B7" s="21">
        <f>SUM('4_Daily_Contributions'!G3:G1827)</f>
        <v>631872.588017572</v>
      </c>
      <c r="C7" s="22">
        <f>B7/(F7*notional)*10000</f>
        <v>149.999981859022</v>
      </c>
      <c r="D7" s="23">
        <f>'1_Inputs'!E7</f>
        <v>150</v>
      </c>
      <c r="E7" s="24">
        <f>C7-D7</f>
        <v>-1.81409776587316e-5</v>
      </c>
      <c r="F7" s="24">
        <f>(0.25*'3_Survival_Probs'!D97*'2_Discount_Factors'!C97+0.25*'3_Survival_Probs'!D188*'2_Discount_Factors'!C188+0.25*'3_Survival_Probs'!D279*'2_Discount_Factors'!C279+0.25*'3_Survival_Probs'!D371*'2_Discount_Factors'!C371+0.25*'3_Survival_Probs'!D462*'2_Discount_Factors'!C462+0.25*'3_Survival_Probs'!D553*'2_Discount_Factors'!C553+0.25*'3_Survival_Probs'!D644*'2_Discount_Factors'!C644+0.25*'3_Survival_Probs'!D736*'2_Discount_Factors'!C736+0.25*'3_Survival_Probs'!D827*'2_Discount_Factors'!C827+0.25*'3_Survival_Probs'!D918*'2_Discount_Factors'!C918+0.25*'3_Survival_Probs'!D1009*'2_Discount_Factors'!C1009+0.25*'3_Survival_Probs'!D1101*'2_Discount_Factors'!C1101+0.25*'3_Survival_Probs'!D1192*'2_Discount_Factors'!C1192+0.25*'3_Survival_Probs'!D1283*'2_Discount_Factors'!C1283+0.25*'3_Survival_Probs'!D1374*'2_Discount_Factors'!C1374+0.25*'3_Survival_Probs'!D1466*'2_Discount_Factors'!C1466+0.25*'3_Survival_Probs'!D1557*'2_Discount_Factors'!C1557+0.25*'3_Survival_Probs'!D1648*'2_Discount_Factors'!C1648+0.25*'3_Survival_Probs'!D1739*'2_Discount_Factors'!C1739)+SUM('4_Daily_Contributions'!H3:H1827)</f>
        <v>4.21248442957438</v>
      </c>
      <c r="G7" s="21">
        <f>F7*notional/10000</f>
        <v>4212.48442957438</v>
      </c>
      <c r="H7" s="6">
        <f>'3_Survival_Probs'!D1828</f>
        <v>0.885383668385274</v>
      </c>
    </row>
    <row r="9" ht="45" customHeight="1" spans="1:8">
      <c r="A9" s="27" t="s">
        <v>79</v>
      </c>
      <c r="B9" s="27"/>
      <c r="C9" s="27"/>
      <c r="D9" s="27"/>
      <c r="E9" s="27"/>
      <c r="F9" s="27"/>
      <c r="G9" s="27"/>
      <c r="H9" s="27"/>
    </row>
  </sheetData>
  <mergeCells count="2">
    <mergeCell ref="A1:H1"/>
    <mergeCell ref="A9:H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0" zoomScaleNormal="80" workbookViewId="0">
      <pane ySplit="2" topLeftCell="A3" activePane="bottomLeft" state="frozen"/>
      <selection/>
      <selection pane="bottomLeft" activeCell="D32" sqref="D32"/>
    </sheetView>
  </sheetViews>
  <sheetFormatPr defaultColWidth="8.6796875" defaultRowHeight="16.8" outlineLevelCol="6"/>
  <cols>
    <col min="1" max="1" width="10" customWidth="1"/>
    <col min="2" max="5" width="14" customWidth="1"/>
    <col min="6" max="6" width="18" customWidth="1"/>
    <col min="7" max="7" width="12.75"/>
  </cols>
  <sheetData>
    <row r="1" spans="1:7">
      <c r="A1" s="1" t="s">
        <v>80</v>
      </c>
      <c r="B1" s="1"/>
      <c r="C1" s="1"/>
      <c r="D1" s="1"/>
      <c r="E1" s="1"/>
      <c r="F1" s="1"/>
    </row>
    <row r="2" spans="1:7">
      <c r="A2" s="2" t="s">
        <v>2</v>
      </c>
      <c r="B2" s="2" t="s">
        <v>81</v>
      </c>
      <c r="C2" s="2" t="s">
        <v>31</v>
      </c>
      <c r="D2" s="2" t="s">
        <v>57</v>
      </c>
      <c r="E2" s="2" t="s">
        <v>82</v>
      </c>
      <c r="F2" s="2" t="s">
        <v>56</v>
      </c>
    </row>
    <row r="3" spans="1:7">
      <c r="A3" s="3" t="s">
        <v>83</v>
      </c>
      <c r="B3" s="4">
        <v>91</v>
      </c>
      <c r="C3" s="5">
        <f>'3_Survival_Probs'!B94</f>
        <v>0.249315068493151</v>
      </c>
      <c r="D3" s="6">
        <f>'3_Survival_Probs'!D94</f>
        <v>0.997115055769119</v>
      </c>
      <c r="E3" s="7">
        <f t="shared" ref="E3:E11" si="0">1-D3</f>
        <v>0.0028849442308807</v>
      </c>
      <c r="F3" s="8">
        <f>'3_Survival_Probs'!C94</f>
        <v>0.0115882033164433</v>
      </c>
    </row>
    <row r="4" spans="1:7">
      <c r="A4" s="9" t="s">
        <v>10</v>
      </c>
      <c r="B4" s="10">
        <v>182</v>
      </c>
      <c r="C4" s="11">
        <f>'3_Survival_Probs'!B185</f>
        <v>0.498630136986301</v>
      </c>
      <c r="D4" s="12">
        <f>'3_Survival_Probs'!D185</f>
        <v>0.994238434441454</v>
      </c>
      <c r="E4" s="13">
        <f t="shared" si="0"/>
        <v>0.0057615655585459</v>
      </c>
      <c r="F4" s="14">
        <f>'3_Survival_Probs'!C185</f>
        <v>0.0115882033164433</v>
      </c>
    </row>
    <row r="5" spans="1:7">
      <c r="A5" s="3" t="s">
        <v>84</v>
      </c>
      <c r="B5" s="4">
        <v>273</v>
      </c>
      <c r="C5" s="5">
        <f>'3_Survival_Probs'!B276</f>
        <v>0.747945205479452</v>
      </c>
      <c r="D5" s="6">
        <f>'3_Survival_Probs'!D276</f>
        <v>0.991529058915097</v>
      </c>
      <c r="E5" s="7">
        <f t="shared" si="0"/>
        <v>0.00847094108490309</v>
      </c>
      <c r="F5" s="8">
        <f>'3_Survival_Probs'!C276</f>
        <v>0.0109380260089013</v>
      </c>
    </row>
    <row r="6" spans="1:7">
      <c r="A6" s="9" t="s">
        <v>13</v>
      </c>
      <c r="B6" s="10">
        <v>365</v>
      </c>
      <c r="C6" s="11">
        <f>'3_Survival_Probs'!B368</f>
        <v>1</v>
      </c>
      <c r="D6" s="12">
        <f>'3_Survival_Probs'!D368</f>
        <v>0.988799196068552</v>
      </c>
      <c r="E6" s="13">
        <f t="shared" si="0"/>
        <v>0.0112008039314482</v>
      </c>
      <c r="F6" s="14">
        <f>'3_Survival_Probs'!C368</f>
        <v>0.0109380260089013</v>
      </c>
    </row>
    <row r="7" spans="1:7">
      <c r="A7" s="3" t="s">
        <v>85</v>
      </c>
      <c r="B7" s="4">
        <v>547</v>
      </c>
      <c r="C7" s="5">
        <f>'3_Survival_Probs'!B550</f>
        <v>1.4986301369863</v>
      </c>
      <c r="D7" s="6">
        <f>'3_Survival_Probs'!D550</f>
        <v>0.978443283791098</v>
      </c>
      <c r="E7" s="7">
        <f t="shared" si="0"/>
        <v>0.0215567162089018</v>
      </c>
      <c r="F7" s="8">
        <f>'3_Survival_Probs'!C550</f>
        <v>0.021114750451147</v>
      </c>
    </row>
    <row r="8" spans="1:7">
      <c r="A8" s="9" t="s">
        <v>16</v>
      </c>
      <c r="B8" s="10">
        <v>730</v>
      </c>
      <c r="C8" s="11">
        <f>'3_Survival_Probs'!B733</f>
        <v>2</v>
      </c>
      <c r="D8" s="12">
        <f>'3_Survival_Probs'!D733</f>
        <v>0.968139824085445</v>
      </c>
      <c r="E8" s="13">
        <f t="shared" si="0"/>
        <v>0.0318601759145554</v>
      </c>
      <c r="F8" s="14">
        <f>'3_Survival_Probs'!C733</f>
        <v>0.021114750451147</v>
      </c>
    </row>
    <row r="9" spans="1:7">
      <c r="A9" s="3" t="s">
        <v>18</v>
      </c>
      <c r="B9" s="4">
        <v>1095</v>
      </c>
      <c r="C9" s="5">
        <f>'3_Survival_Probs'!B1098</f>
        <v>3</v>
      </c>
      <c r="D9" s="6">
        <f>'3_Survival_Probs'!D1098</f>
        <v>0.941207513416557</v>
      </c>
      <c r="E9" s="7">
        <f t="shared" si="0"/>
        <v>0.058792486583443</v>
      </c>
      <c r="F9" s="8">
        <f>'3_Survival_Probs'!C1098</f>
        <v>0.028212883587601</v>
      </c>
    </row>
    <row r="10" spans="1:7">
      <c r="A10" s="9" t="s">
        <v>86</v>
      </c>
      <c r="B10" s="10">
        <v>1460</v>
      </c>
      <c r="C10" s="11">
        <f>'3_Survival_Probs'!B1463</f>
        <v>4</v>
      </c>
      <c r="D10" s="12">
        <f>'3_Survival_Probs'!D1463</f>
        <v>0.912868972493059</v>
      </c>
      <c r="E10" s="13">
        <f t="shared" si="0"/>
        <v>0.0871310275069406</v>
      </c>
      <c r="F10" s="14">
        <f>'3_Survival_Probs'!C1463</f>
        <v>0.0305712824819807</v>
      </c>
    </row>
    <row r="11" spans="1:7">
      <c r="A11" s="3" t="s">
        <v>20</v>
      </c>
      <c r="B11" s="4">
        <v>1825</v>
      </c>
      <c r="C11" s="5">
        <f>'3_Survival_Probs'!B1828</f>
        <v>5</v>
      </c>
      <c r="D11" s="6">
        <f>'3_Survival_Probs'!D1828</f>
        <v>0.885383668385274</v>
      </c>
      <c r="E11" s="7">
        <f t="shared" si="0"/>
        <v>0.114616331614726</v>
      </c>
      <c r="F11" s="8">
        <f>'3_Survival_Probs'!C1828</f>
        <v>0.0305712824819807</v>
      </c>
    </row>
    <row r="14" spans="1:7">
      <c r="A14" s="15" t="s">
        <v>87</v>
      </c>
      <c r="B14" s="15"/>
      <c r="C14" s="15"/>
      <c r="D14" s="15"/>
      <c r="E14" s="15"/>
      <c r="F14" s="15"/>
    </row>
    <row r="15" spans="1:7">
      <c r="A15" s="2" t="s">
        <v>4</v>
      </c>
      <c r="B15" s="2" t="s">
        <v>88</v>
      </c>
      <c r="C15" s="2" t="s">
        <v>6</v>
      </c>
      <c r="D15" s="2" t="s">
        <v>74</v>
      </c>
      <c r="E15" s="2" t="s">
        <v>89</v>
      </c>
      <c r="F15" s="2" t="s">
        <v>90</v>
      </c>
    </row>
    <row r="16" spans="1:7">
      <c r="A16" s="3" t="s">
        <v>11</v>
      </c>
      <c r="B16" s="8">
        <f>'1_Inputs'!H3</f>
        <v>0.0115882033164433</v>
      </c>
      <c r="C16" s="16">
        <f>B16*10000</f>
        <v>115.882033164433</v>
      </c>
      <c r="D16" s="17">
        <f>'1_Inputs'!E3</f>
        <v>70</v>
      </c>
      <c r="E16" s="16">
        <f>B16*(1-recovery)*10000</f>
        <v>69.5292198986597</v>
      </c>
      <c r="F16" s="6">
        <f>'3_Survival_Probs'!D186</f>
        <v>0.994206869361369</v>
      </c>
      <c r="G16" s="18"/>
    </row>
    <row r="17" spans="1:7">
      <c r="A17" s="9" t="s">
        <v>14</v>
      </c>
      <c r="B17" s="14">
        <f>'1_Inputs'!H4</f>
        <v>0.0109380260089013</v>
      </c>
      <c r="C17" s="19">
        <f>B17*10000</f>
        <v>109.380260089013</v>
      </c>
      <c r="D17" s="17">
        <f>'1_Inputs'!E4</f>
        <v>90</v>
      </c>
      <c r="E17" s="19">
        <f>B17*(1-recovery)*10000</f>
        <v>65.628156053408</v>
      </c>
      <c r="F17" s="12">
        <f>'3_Survival_Probs'!D368</f>
        <v>0.988799196068552</v>
      </c>
      <c r="G17" s="18"/>
    </row>
    <row r="18" spans="1:7">
      <c r="A18" s="3" t="s">
        <v>17</v>
      </c>
      <c r="B18" s="8">
        <f>'1_Inputs'!H5</f>
        <v>0.021114750451147</v>
      </c>
      <c r="C18" s="16">
        <f>B18*10000</f>
        <v>211.14750451147</v>
      </c>
      <c r="D18" s="17">
        <f>'1_Inputs'!E5</f>
        <v>110</v>
      </c>
      <c r="E18" s="16">
        <f>B18*(1-recovery)*10000</f>
        <v>126.688502706882</v>
      </c>
      <c r="F18" s="6">
        <f>'3_Survival_Probs'!D733</f>
        <v>0.968139824085445</v>
      </c>
      <c r="G18" s="18"/>
    </row>
    <row r="19" spans="1:7">
      <c r="A19" s="9" t="s">
        <v>19</v>
      </c>
      <c r="B19" s="14">
        <f>'1_Inputs'!H6</f>
        <v>0.028212883587601</v>
      </c>
      <c r="C19" s="19">
        <f>B19*10000</f>
        <v>282.12883587601</v>
      </c>
      <c r="D19" s="17">
        <f>'1_Inputs'!E6</f>
        <v>130</v>
      </c>
      <c r="E19" s="19">
        <f>B19*(1-recovery)*10000</f>
        <v>169.277301525606</v>
      </c>
      <c r="F19" s="12">
        <f>'3_Survival_Probs'!D1098</f>
        <v>0.941207513416557</v>
      </c>
      <c r="G19" s="18"/>
    </row>
    <row r="20" spans="1:7">
      <c r="A20" s="3" t="s">
        <v>21</v>
      </c>
      <c r="B20" s="8">
        <f>'1_Inputs'!H7</f>
        <v>0.0305712824819807</v>
      </c>
      <c r="C20" s="16">
        <f>B20*10000</f>
        <v>305.712824819807</v>
      </c>
      <c r="D20" s="17">
        <f>'1_Inputs'!E7</f>
        <v>150</v>
      </c>
      <c r="E20" s="16">
        <f>B20*(1-recovery)*10000</f>
        <v>183.427694891884</v>
      </c>
      <c r="F20" s="6">
        <f>'3_Survival_Probs'!D1828</f>
        <v>0.885383668385274</v>
      </c>
      <c r="G20" s="18"/>
    </row>
    <row r="22" spans="1:7">
      <c r="A22" s="15" t="s">
        <v>91</v>
      </c>
      <c r="B22" s="15"/>
      <c r="C22" s="15"/>
      <c r="D22" s="15"/>
      <c r="E22" s="15"/>
      <c r="F22" s="15"/>
    </row>
    <row r="23" spans="1:7">
      <c r="A23" s="2" t="s">
        <v>2</v>
      </c>
      <c r="B23" s="2" t="s">
        <v>57</v>
      </c>
      <c r="C23" s="2" t="s">
        <v>92</v>
      </c>
    </row>
    <row r="24" spans="1:7">
      <c r="A24" s="3" t="s">
        <v>93</v>
      </c>
      <c r="B24" s="6">
        <v>1</v>
      </c>
      <c r="C24" s="7">
        <v>0</v>
      </c>
    </row>
    <row r="25" spans="1:7">
      <c r="A25" s="9" t="s">
        <v>83</v>
      </c>
      <c r="B25" s="12">
        <f>'3_Survival_Probs'!D94</f>
        <v>0.997115055769119</v>
      </c>
      <c r="C25" s="11">
        <f t="shared" ref="C25:C31" si="1">(1-B25)*100</f>
        <v>0.28849442308807</v>
      </c>
    </row>
    <row r="26" spans="1:7">
      <c r="A26" s="3" t="s">
        <v>10</v>
      </c>
      <c r="B26" s="6">
        <f>'3_Survival_Probs'!D185</f>
        <v>0.994238434441454</v>
      </c>
      <c r="C26" s="5">
        <f t="shared" si="1"/>
        <v>0.57615655585459</v>
      </c>
    </row>
    <row r="27" spans="1:7">
      <c r="A27" s="9" t="s">
        <v>13</v>
      </c>
      <c r="B27" s="12">
        <f>'3_Survival_Probs'!D368</f>
        <v>0.988799196068552</v>
      </c>
      <c r="C27" s="11">
        <f t="shared" si="1"/>
        <v>1.12008039314482</v>
      </c>
    </row>
    <row r="28" spans="1:7">
      <c r="A28" s="3" t="s">
        <v>16</v>
      </c>
      <c r="B28" s="6">
        <f>'3_Survival_Probs'!D733</f>
        <v>0.968139824085445</v>
      </c>
      <c r="C28" s="5">
        <f t="shared" si="1"/>
        <v>3.18601759145554</v>
      </c>
    </row>
    <row r="29" spans="1:7">
      <c r="A29" s="9" t="s">
        <v>18</v>
      </c>
      <c r="B29" s="12">
        <f>'3_Survival_Probs'!D1098</f>
        <v>0.941207513416557</v>
      </c>
      <c r="C29" s="11">
        <f t="shared" si="1"/>
        <v>5.8792486583443</v>
      </c>
    </row>
    <row r="30" spans="1:7">
      <c r="A30" s="3" t="s">
        <v>86</v>
      </c>
      <c r="B30" s="6">
        <f>'3_Survival_Probs'!D1463</f>
        <v>0.912868972493059</v>
      </c>
      <c r="C30" s="5">
        <f t="shared" si="1"/>
        <v>8.71310275069406</v>
      </c>
    </row>
    <row r="31" spans="1:7">
      <c r="A31" s="9" t="s">
        <v>20</v>
      </c>
      <c r="B31" s="12">
        <f>'3_Survival_Probs'!D1828</f>
        <v>0.885383668385274</v>
      </c>
      <c r="C31" s="11">
        <f t="shared" si="1"/>
        <v>11.4616331614726</v>
      </c>
    </row>
  </sheetData>
  <mergeCells count="3">
    <mergeCell ref="A1:F1"/>
    <mergeCell ref="A14:F14"/>
    <mergeCell ref="A22:F2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1_Inputs</vt:lpstr>
      <vt:lpstr>2_Discount_Factors</vt:lpstr>
      <vt:lpstr>3_Survival_Probs</vt:lpstr>
      <vt:lpstr>4_Daily_Contributions</vt:lpstr>
      <vt:lpstr>5_Pricing_Summary</vt:lpstr>
      <vt:lpstr>6_Curve_Summary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Kumar</cp:lastModifiedBy>
  <cp:revision>1</cp:revision>
  <dcterms:created xsi:type="dcterms:W3CDTF">2026-06-06T15:38:00Z</dcterms:created>
  <dcterms:modified xsi:type="dcterms:W3CDTF">2026-06-26T17:21:48Z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386BFD0DFB2A259623F8226A1517B413_42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