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540" tabRatio="875" firstSheet="4" activeTab="10"/>
  </bookViews>
  <sheets>
    <sheet name="1_Overview" sheetId="1" r:id="rId1"/>
    <sheet name="2_Input_Sanity" sheetId="2" r:id="rId2"/>
    <sheet name="3_Input_Prices" sheetId="3" r:id="rId3"/>
    <sheet name="4_Market_IVs_bps" sheetId="4" r:id="rId4"/>
    <sheet name="5_Vega_Weights" sheetId="5" r:id="rId5"/>
    <sheet name="6_Calibrated_Params" sheetId="6" r:id="rId6"/>
    <sheet name="7_Calib_Quality" sheetId="7" r:id="rId7"/>
    <sheet name="8_Model_IVs_bps" sheetId="8" r:id="rId8"/>
    <sheet name="9_IV_Fit_Error_bps" sheetId="9" r:id="rId9"/>
    <sheet name="10_Price_RoundTrip" sheetId="10" r:id="rId10"/>
    <sheet name="11_IV_Smile_AllDay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<sst xmlns="http://schemas.openxmlformats.org/spreadsheetml/2006/main" count="2635" uniqueCount="681">
  <si>
    <t>SABR Vol Surface Calibration — USD Swaptions (β=0, Bachelier World)</t>
  </si>
  <si>
    <t>── MODEL ──</t>
  </si>
  <si>
    <t>Model</t>
  </si>
  <si>
    <t>SABR Hagan 2002, β=0 → Normal (Bachelier) vol backbone</t>
  </si>
  <si>
    <t>Why β=0</t>
  </si>
  <si>
    <t>Handles negative rates. β=1 (lognormal) breaks at K≤0.</t>
  </si>
  <si>
    <t>Vol units</t>
  </si>
  <si>
    <t>Normal vol σ_N in bps. Market standard for USD swaptions post-2008.</t>
  </si>
  <si>
    <t>Prices</t>
  </si>
  <si>
    <t>Totem prices as fraction of notional (annuity A=1). No discount curve needed.</t>
  </si>
  <si>
    <t>── BACHELIER FORMULA ──</t>
  </si>
  <si>
    <t>Payer</t>
  </si>
  <si>
    <t>P=(F−K)·N(d)+σ_N·√T·φ(d)   d=(F−K)/(σ_N·√T)</t>
  </si>
  <si>
    <t>Receiver</t>
  </si>
  <si>
    <t>P=(K−F)·N(−d)+σ_N·√T·φ(d)</t>
  </si>
  <si>
    <t>ATM Straddle</t>
  </si>
  <si>
    <t>Straddle=2·σ_N·√T·φ(0)   [d=0 at K=F, payer+receiver]</t>
  </si>
  <si>
    <t>φ(0)</t>
  </si>
  <si>
    <t>φ(0)=1/√(2π)≈0.3989. Height of standard normal PDF at peak.</t>
  </si>
  <si>
    <t>IV constraint</t>
  </si>
  <si>
    <t>σ_N&gt;0. No singularity. Handles negative rates.</t>
  </si>
  <si>
    <t>── CALIBRATION FLOW ──</t>
  </si>
  <si>
    <t>Step 1</t>
  </si>
  <si>
    <t>σ_mkt_ATM=Straddle/(2·√T·φ(0)). Direct, no iteration.</t>
  </si>
  <si>
    <t>Step 2</t>
  </si>
  <si>
    <t>Brent root-finding on Bachelier → σ_mkt(Kᵢ) for non-ATM strikes.</t>
  </si>
  <si>
    <t>Step 3 each L-M iter</t>
  </si>
  <si>
    <t>σ₀(ρ,ν)=σ_mkt_ATM/[1+(2−3ρ²)·ν²·T/24] → ATM error=0 by construction.</t>
  </si>
  <si>
    <t>Step 4</t>
  </si>
  <si>
    <t>L-M minimises J(ρ,ν). σ₀ derived each iter. Warm-start from prev day.</t>
  </si>
  <si>
    <t>── COST FUNCTION ──</t>
  </si>
  <si>
    <t>J(ρ,ν)</t>
  </si>
  <si>
    <t>J=Σᵢ vegaᵢ·[σ_SABR(Kᵢ)−σ_mkt(Kᵢ)]²   (vega-weighted IV SSE)</t>
  </si>
  <si>
    <t>⚠ IV not price</t>
  </si>
  <si>
    <t>vega×(IV diff)², NOT vega×(price diff)². Gives wings enough weight to identify ρ,ν.</t>
  </si>
  <si>
    <t>Vega</t>
  </si>
  <si>
    <t>vegaᵢ=√T·φ(dᵢ) at MARKET IV. Fixed throughout — no circular dependency.</t>
  </si>
  <si>
    <t>── STOPPING CRITERIA ──</t>
  </si>
  <si>
    <t>Code 1</t>
  </si>
  <si>
    <t>ftol: relative change in cost J &lt; 1e-12 → CONVERGED</t>
  </si>
  <si>
    <t>Code 2</t>
  </si>
  <si>
    <t>xtol: relative change in {ρ,ν} &lt; 1e-12 → CONVERGED</t>
  </si>
  <si>
    <t>Code 3</t>
  </si>
  <si>
    <t>gtol: gradient of J &lt; 1e-12 → CONVERGED</t>
  </si>
  <si>
    <t>Code 4</t>
  </si>
  <si>
    <t>max_nfev=5000 reached without convergence → INVESTIGATE</t>
  </si>
  <si>
    <t>── SABR FORMULA β=0 ──</t>
  </si>
  <si>
    <t>ATM</t>
  </si>
  <si>
    <t>σ_SABR(ATM)=σ₀·[1+(2−3ρ²)·ν²·T/24]  ← set=σ_mkt_ATM each iteration</t>
  </si>
  <si>
    <t>Away</t>
  </si>
  <si>
    <t>σ_SABR(K)=σ₀·(z/χ(z))·[1+(2−3ρ²)·ν²·T/24]</t>
  </si>
  <si>
    <t>z / χ(z)</t>
  </si>
  <si>
    <t>z=ν/σ₀·(F−K)   χ(z)=ln[(√(1−2ρz+z²)+z−ρ)/(1−ρ)]</t>
  </si>
  <si>
    <t>── PARAMETERS ──</t>
  </si>
  <si>
    <t>σ_mkt_ATM</t>
  </si>
  <si>
    <t>Market ATM vol from straddle. Tracks market — expected to drift daily.</t>
  </si>
  <si>
    <t>σ₀</t>
  </si>
  <si>
    <t>SABR backbone=σ_mkt_ATM/correction. Slightly below σ_mkt_ATM.</t>
  </si>
  <si>
    <t>ρ</t>
  </si>
  <si>
    <t>Skew. ρ&lt;0→lower strikes higher vol. Typical USD: −0.30 to −0.10. Should be STABLE.</t>
  </si>
  <si>
    <t>ν</t>
  </si>
  <si>
    <t>Curvature. ν&gt;0. Wing height. Typical USD: 0.25−0.50. Should be STABLE.</t>
  </si>
  <si>
    <t>⚠ Independence</t>
  </si>
  <si>
    <t>Each tenor calibrated independently. Parameters do NOT affect other tenors.</t>
  </si>
  <si>
    <t>── PRICE ROUND-TRIP ──</t>
  </si>
  <si>
    <t>N/M threshold</t>
  </si>
  <si>
    <t>% error shown as N/M when input price &lt; 0.5bps of notional (option nearly worthless).</t>
  </si>
  <si>
    <t>Good fit</t>
  </si>
  <si>
    <t>Near-ATM |bps err|&lt;0.1 or |%err|&lt;0.5%. Wings: larger errors acceptable (vega≈0).</t>
  </si>
  <si>
    <t>── USER SETTINGS ──</t>
  </si>
  <si>
    <t>Initial ρ/ν</t>
  </si>
  <si>
    <t>ρ=0.0, ν=0.3   (edit at top of script)</t>
  </si>
  <si>
    <t>Bounds</t>
  </si>
  <si>
    <t>ρ∈[-0.999,0.999]  ν∈[0.0001,2.0]</t>
  </si>
  <si>
    <t>Stability</t>
  </si>
  <si>
    <t>ρ PASS if range&lt;{RHO_STAB_THRESH}. ν PASS if range&lt;{NU_STAB_THRESH}.</t>
  </si>
  <si>
    <t>INPUT SANITY CHECKS — Run before calibration on raw Totem prices</t>
  </si>
  <si>
    <t>Check Description</t>
  </si>
  <si>
    <t>Result</t>
  </si>
  <si>
    <t>Failures (Day | Tenor | Detail)</t>
  </si>
  <si>
    <t>All swaption prices &gt; 0</t>
  </si>
  <si>
    <t>FAIL</t>
  </si>
  <si>
    <t>D2 1y1y +400bps price=0.000000 | D2 1y10y +400bps price=0.000000 | D3 1y5y +400bps price=0.000000 | D3 1y10y +400bps price=0.000000 | D4 1y1y +400bps price=0.000000 | D4 1y5y +400bps price=0.000000 | D5 1y1y -300bps price=0.000000 | D5 1y1y +400bps price=0.000000</t>
  </si>
  <si>
    <t>ATM straddle price &gt; 0</t>
  </si>
  <si>
    <t>PASS</t>
  </si>
  <si>
    <t>—</t>
  </si>
  <si>
    <t>Payer prices decrease as strike increases</t>
  </si>
  <si>
    <t>Receiver prices increase as strike increases</t>
  </si>
  <si>
    <t>ATM forward rates in [-5%, 20%]</t>
  </si>
  <si>
    <t>ATM straddle &gt; first payer price (+50bps) [arbitrage check]</t>
  </si>
  <si>
    <t>ATM straddle &gt; first receiver price (-50bps) [arbitrage check]</t>
  </si>
  <si>
    <t>Checks run on raw Totem input prices before calibration. FAIL = investigate input data before trusting calibration results. Payer prices should decrease left→right (higher strike=more OTM). Receiver prices should increase left→right (higher strike=more ITM).</t>
  </si>
  <si>
    <t>INPUT: Totem Swaption Prices (fraction of notional, A=1) — 5 Days</t>
  </si>
  <si>
    <t>DAY 1</t>
  </si>
  <si>
    <t>COLOUR LEGEND</t>
  </si>
  <si>
    <t>Tenor</t>
  </si>
  <si>
    <t>-300</t>
  </si>
  <si>
    <t>-200</t>
  </si>
  <si>
    <t>-150</t>
  </si>
  <si>
    <t>-100</t>
  </si>
  <si>
    <t>-50</t>
  </si>
  <si>
    <t>+50</t>
  </si>
  <si>
    <t>+100</t>
  </si>
  <si>
    <t>+200</t>
  </si>
  <si>
    <t>+300</t>
  </si>
  <si>
    <t>+400</t>
  </si>
  <si>
    <t>Amber</t>
  </si>
  <si>
    <t>ATM straddle price (K=F, payer+receiver combined). Fraction of notional, A=1. Inverted directly: σ_mkt_ATM=Straddle/(2·√T·φ(0)).</t>
  </si>
  <si>
    <t>1y1y</t>
  </si>
  <si>
    <t>Blue</t>
  </si>
  <si>
    <t>Non-ATM payer (K&gt;F) or receiver (K&lt;F) prices. Same convention: fraction of notional, A=1. Inverted via Brent method on Bachelier formula.</t>
  </si>
  <si>
    <t>1y5y</t>
  </si>
  <si>
    <t>1y10y</t>
  </si>
  <si>
    <t>5y1y</t>
  </si>
  <si>
    <t>5y5y</t>
  </si>
  <si>
    <t>5y10y</t>
  </si>
  <si>
    <t>10y1y</t>
  </si>
  <si>
    <t>10y5y</t>
  </si>
  <si>
    <t>10y10y</t>
  </si>
  <si>
    <t/>
  </si>
  <si>
    <t>DAY 2</t>
  </si>
  <si>
    <t>DAY 3</t>
  </si>
  <si>
    <t>DAY 4</t>
  </si>
  <si>
    <t>DAY 5</t>
  </si>
  <si>
    <t>ATM Forward Swap Rates</t>
  </si>
  <si>
    <t>Day 1</t>
  </si>
  <si>
    <t>Day 2</t>
  </si>
  <si>
    <t>Day 3</t>
  </si>
  <si>
    <t>Day 4</t>
  </si>
  <si>
    <t>Day 5</t>
  </si>
  <si>
    <t>DERIVED: Market Implied Normal Vols (bps). ATM=σ_mkt_ATM=Straddle/(2·√T·φ(0)) direct inversion. Non-ATM=Brent inversion of Bachelier formula on input prices. These are the calibration targets.</t>
  </si>
  <si>
    <t>ATM strike (K=F). IV implied directly from straddle: σ_mkt_ATM=Straddle/(2·√T·φ(0)). Zero error by construction in model.</t>
  </si>
  <si>
    <t>Blue alt</t>
  </si>
  <si>
    <t>Non-ATM market IVs from Brent inversion of Bachelier formula. These are the calibration targets for L-M optimisation.</t>
  </si>
  <si>
    <t>DERIVED: Bachelier Vega=√T·φ(d) at Market IV. Cost function weight per strike. Computed at market IV and held fixed throughout L-M. ATM has highest vega=φ(0)·√T. Deep OTM→vega≈0→near-zero weight in calibration.</t>
  </si>
  <si>
    <t>Green</t>
  </si>
  <si>
    <t>High vega &gt; 0.30. Near-ATM strikes. These carry the most weight in the L-M cost function. SABR fits these strikes most precisely.</t>
  </si>
  <si>
    <t>ATM strike (always highest vega = φ(0)·√T ≈ 0.399·√T). Also used for mid-range vega 0.05–0.30.</t>
  </si>
  <si>
    <t>White</t>
  </si>
  <si>
    <t>Near-zero vega &lt; 0.05. Deep OTM/ITM strikes. Effectively ignored by the optimiser. Large IV errors here have minimal price impact.</t>
  </si>
  <si>
    <t>Calibrated SABR Parameters — 9 Tenors × 5 Days</t>
  </si>
  <si>
    <t>D1 σ_mkt_ATM(bps)</t>
  </si>
  <si>
    <t>D1 σ₀(bps)</t>
  </si>
  <si>
    <t>D1 ρ</t>
  </si>
  <si>
    <t>D1 ν</t>
  </si>
  <si>
    <t>D1 Cost J</t>
  </si>
  <si>
    <t>D2 σ_mkt_ATM(bps)</t>
  </si>
  <si>
    <t>D2 σ₀(bps)</t>
  </si>
  <si>
    <t>D2 ρ</t>
  </si>
  <si>
    <t>D2 ν</t>
  </si>
  <si>
    <t>D2 Cost J</t>
  </si>
  <si>
    <t>D3 σ_mkt_ATM(bps)</t>
  </si>
  <si>
    <t>D3 σ₀(bps)</t>
  </si>
  <si>
    <t>D3 ρ</t>
  </si>
  <si>
    <t>D3 ν</t>
  </si>
  <si>
    <t>D3 Cost J</t>
  </si>
  <si>
    <t>D4 σ_mkt_ATM(bps)</t>
  </si>
  <si>
    <t>D4 σ₀(bps)</t>
  </si>
  <si>
    <t>D4 ρ</t>
  </si>
  <si>
    <t>D4 ν</t>
  </si>
  <si>
    <t>D4 Cost J</t>
  </si>
  <si>
    <t>D5 σ_mkt_ATM(bps)</t>
  </si>
  <si>
    <t>D5 σ₀(bps)</t>
  </si>
  <si>
    <t>D5 ρ</t>
  </si>
  <si>
    <t>D5 ν</t>
  </si>
  <si>
    <t>D5 Cost J</t>
  </si>
  <si>
    <t>σ_mkt_ATM column — the market ATM normal vol (bps) implied directly from the ATM straddle price each day. Expected to drift as market moves. No pass/fail applied. σ₀ (SABR backbone) is slightly lower: σ₀=σ_mkt_ATM/correction where correction=[1+(2-3ρ²)·ν²·T/24]&gt;1.</t>
  </si>
  <si>
    <t>PASS — parameter range across days is within stability threshold (ρ&lt;{RHO_STAB_THRESH}, ν&lt;{NU_STAB_THRESH}). Smile shape is stable.</t>
  </si>
  <si>
    <t>Red</t>
  </si>
  <si>
    <t>FAIL — parameter range exceeds threshold. Investigate: possible regime change, input data error, or calibration instability (warm-start from different local minimum).</t>
  </si>
  <si>
    <t>TEST 1 — Stability of {ρ,ν} across Days</t>
  </si>
  <si>
    <t>σ_ATM D1</t>
  </si>
  <si>
    <t>σ_ATM Last</t>
  </si>
  <si>
    <t>Δσ_ATM</t>
  </si>
  <si>
    <t>ρ min</t>
  </si>
  <si>
    <t>ρ max</t>
  </si>
  <si>
    <t>ρ range</t>
  </si>
  <si>
    <t>ρ PASS?</t>
  </si>
  <si>
    <t>ν min</t>
  </si>
  <si>
    <t>ν max</t>
  </si>
  <si>
    <t>ν PASS?</t>
  </si>
  <si>
    <t>Δσ_ATM=expected drift no pass/fail. ρ PASS&lt;0.1. ν PASS&lt;0.05.</t>
  </si>
  <si>
    <t>CALIBRATION QUALITY — Convergence codes and output sanity checks per tenor per day</t>
  </si>
  <si>
    <t>CONVERGENCE CODE — How L-M optimisation ended for each tenor/day</t>
  </si>
  <si>
    <t>Code</t>
  </si>
  <si>
    <t>Short meaning</t>
  </si>
  <si>
    <t>Detailed explanation</t>
  </si>
  <si>
    <t>ftol: cost J converged ✅</t>
  </si>
  <si>
    <t>The relative change in the cost function J between successive iterations fell below ftol=1e-12. This means J is no longer improving meaningfully — the optimiser has found a minimum. Most common convergence reason. GOOD.</t>
  </si>
  <si>
    <t>xtol: parameters converged ✅</t>
  </si>
  <si>
    <t>The relative change in the parameter vector {ρ, ν} between iterations fell below xtol=1e-12. Parameters are no longer moving — they have settled at stable values. Indicates the solution is well-defined and stable. GOOD.</t>
  </si>
  <si>
    <t>gtol: gradient flat ✅</t>
  </si>
  <si>
    <t>The norm of the gradient of J with respect to {ρ, ν} fell below gtol=1e-12. A flat gradient means we are at a stationary point (minimum). Can occasionally indicate a saddle point rather than a true minimum, but rare for this 2-parameter problem. GOOD.</t>
  </si>
  <si>
    <t>Max iterations ❌ INVESTIGATE</t>
  </si>
  <si>
    <t>The optimiser reached the hard cap of 5000 function evaluations without satisfying any of the convergence criteria above. This means the cost function did not converge. Possible causes: (1) initial guess {ρ₀, ν₀} far from true values — try different starting point; (2) input prices have errors or arbitrage — check Tab 2_Input_Sanity; (3) SABR model cannot fit this smile shape — check market prices for that tenor.</t>
  </si>
  <si>
    <t>OUTPUT SANITY CHECKS — Post-calibration quality checks</t>
  </si>
  <si>
    <t>Check</t>
  </si>
  <si>
    <t>Threshold</t>
  </si>
  <si>
    <t>ATM IV error &lt; 0.001bps (zero by construction)</t>
  </si>
  <si>
    <t>&lt; 0.001bps</t>
  </si>
  <si>
    <t>ρ &lt; 0 for all tenors (USD: negative skew expected)</t>
  </si>
  <si>
    <t>ρ &lt; 0</t>
  </si>
  <si>
    <t>ν in [0.05, 1.5] (reasonable range for USD swaptions)</t>
  </si>
  <si>
    <t>[0.05,1.5]</t>
  </si>
  <si>
    <t>Cost J &lt; 1e-06 for all tenors (good IV fit)</t>
  </si>
  <si>
    <t>&lt;1e-06</t>
  </si>
  <si>
    <t>PASS=green. WARN=orange (investigate but not necessarily wrong). FAIL=red (action needed). ATM error should always be ~0 by construction. ρ&lt;0 is USD convention but may differ in stress. ν range [0.05,1.5] is a soft sanity range. Cost J&lt;1e-06 indicates good smile fit.</t>
  </si>
  <si>
    <t>DERIVED: SABR Model Implied Normal Vols (bps). σ_SABR(K)=σ₀·(z/χ(z))·correction using calibrated {σ₀,ρ,ν}. ATM error=0.0000bps by construction (σ₀ enforced each L-M iteration).</t>
  </si>
  <si>
    <t>ATM strike model IV. Error vs market is exactly 0.0000bps by construction — σ₀ is updated every L-M iteration to enforce σ_SABR(ATM)=σ_mkt_ATM. Non-ATM cells have no colour coding; errors are shown in Tab 9.</t>
  </si>
  <si>
    <t>ERROR (Vol Space, bps): Model IV − Market IV = σ_SABR(K)−σ_mkt(K) in bps. ATM=amber (0 by construction). Green=|err|&lt;0.5bps. Amber=&lt;1bps. Red=&gt;1bps. Large wing errors acceptable if price error is small (vega≈0).</t>
  </si>
  <si>
    <t>ATM strike. Error=0.0000bps by construction (σ₀ enforced). Also used for |error| between 0.5 and 1.0bps on non-ATM strikes.</t>
  </si>
  <si>
    <t>|Model IV − Market IV| &lt; 0.5bps. Excellent fit. SABR closely matches the market smile at this strike.</t>
  </si>
  <si>
    <t>Amber*</t>
  </si>
  <si>
    <t>|error| between 0.5 and 1.0bps. Acceptable fit. Minor SABR approximation error or small market noise.</t>
  </si>
  <si>
    <t>|error| &gt; 1.0bps. Poor fit at this strike. Check: (1) if vega is near-zero (wing) this is economically harmless — see Tab 10 price error; (2) if near-ATM, investigate calibration.</t>
  </si>
  <si>
    <t>PRICE ROUND-TRIP: Re-generated prices from {σ₀,ρ,ν} vs Input Totem prices. Grid 1: Input market prices (fraction of notional). Grid 2: Error in bps of notional = (Re-gen−Input)×10000. Grid 3: Error as % of input price. N/M shown when price&lt;0.5bps (near-zero price, % meaningless).</t>
  </si>
  <si>
    <t>Colour</t>
  </si>
  <si>
    <t>Meaning (% Error Grid)</t>
  </si>
  <si>
    <t>Input Market Price (fraction of notional)</t>
  </si>
  <si>
    <t>Price Error (bps of notional)</t>
  </si>
  <si>
    <t>Price Error (% of input price)</t>
  </si>
  <si>
    <t>|% error| &lt; 0.5% — tight fit, reliable</t>
  </si>
  <si>
    <t>|% error| 0.5%–1.0% — acceptable, monitor</t>
  </si>
  <si>
    <t>-29.6605% (N/M)</t>
  </si>
  <si>
    <t>9.1148% (N/M)</t>
  </si>
  <si>
    <t>1.6422%</t>
  </si>
  <si>
    <t>-0.0739%</t>
  </si>
  <si>
    <t>0.1992%</t>
  </si>
  <si>
    <t>0.0000%</t>
  </si>
  <si>
    <t>0.2389%</t>
  </si>
  <si>
    <t>3.2646%</t>
  </si>
  <si>
    <t>91.7170% (N/M)</t>
  </si>
  <si>
    <t>-92.3185% (N/M)</t>
  </si>
  <si>
    <t>-97.8280% (N/M)</t>
  </si>
  <si>
    <t>|% error| &gt; 1.0% — poor fit, investigate</t>
  </si>
  <si>
    <t>38.8033% (N/M)</t>
  </si>
  <si>
    <t>2.0314% (N/M)</t>
  </si>
  <si>
    <t>3.6717%</t>
  </si>
  <si>
    <t>0.6136%</t>
  </si>
  <si>
    <t>-0.2329%</t>
  </si>
  <si>
    <t>0.8415%</t>
  </si>
  <si>
    <t>5.3760%</t>
  </si>
  <si>
    <t>82.0304% (N/M)</t>
  </si>
  <si>
    <t>-85.1339% (N/M)</t>
  </si>
  <si>
    <t>-97.8465% (N/M)</t>
  </si>
  <si>
    <t>Grey</t>
  </si>
  <si>
    <t>N/M — Not Meaningful. Option price below 0.5bps of notional. Option is near-worthless; % error is mathematically large but economically irrelevant (vega≈0, price≈0). Look at bps error grid instead.</t>
  </si>
  <si>
    <t>3.4483% (N/M)</t>
  </si>
  <si>
    <t>5.2959%</t>
  </si>
  <si>
    <t>0.7964%</t>
  </si>
  <si>
    <t>-0.1692%</t>
  </si>
  <si>
    <t>0.0077%</t>
  </si>
  <si>
    <t>0.5577%</t>
  </si>
  <si>
    <t>2.2305%</t>
  </si>
  <si>
    <t>17.8318% (N/M)</t>
  </si>
  <si>
    <t>-71.5622% (N/M)</t>
  </si>
  <si>
    <t>-88.0078% (N/M)</t>
  </si>
  <si>
    <t>ATM cells always amber — % error is 0 by construction but shown as amber to flag ATM row visually.</t>
  </si>
  <si>
    <t>0.1504%</t>
  </si>
  <si>
    <t>-0.2165%</t>
  </si>
  <si>
    <t>0.0540%</t>
  </si>
  <si>
    <t>-0.0728%</t>
  </si>
  <si>
    <t>0.0614%</t>
  </si>
  <si>
    <t>-0.0353%</t>
  </si>
  <si>
    <t>-0.0947%</t>
  </si>
  <si>
    <t>-0.0522%</t>
  </si>
  <si>
    <t>0.0858%</t>
  </si>
  <si>
    <t>0.4157%</t>
  </si>
  <si>
    <t>0.2216%</t>
  </si>
  <si>
    <t>0.0102%</t>
  </si>
  <si>
    <t>-0.0235%</t>
  </si>
  <si>
    <t>-0.1099%</t>
  </si>
  <si>
    <t>-0.0515%</t>
  </si>
  <si>
    <t>-0.0365%</t>
  </si>
  <si>
    <t>0.0130%</t>
  </si>
  <si>
    <t>0.1654%</t>
  </si>
  <si>
    <t>-0.0578%</t>
  </si>
  <si>
    <t>-0.5210%</t>
  </si>
  <si>
    <t>-0.0470%</t>
  </si>
  <si>
    <t>0.1096%</t>
  </si>
  <si>
    <t>0.0359%</t>
  </si>
  <si>
    <t>-0.0132%</t>
  </si>
  <si>
    <t>-0.0378%</t>
  </si>
  <si>
    <t>-0.0001%</t>
  </si>
  <si>
    <t>0.0578%</t>
  </si>
  <si>
    <t>0.1925%</t>
  </si>
  <si>
    <t>-0.0565%</t>
  </si>
  <si>
    <t>-0.4583%</t>
  </si>
  <si>
    <t>0.0173%</t>
  </si>
  <si>
    <t>-0.0511%</t>
  </si>
  <si>
    <t>0.0040%</t>
  </si>
  <si>
    <t>0.0573%</t>
  </si>
  <si>
    <t>0.0249%</t>
  </si>
  <si>
    <t>-0.0654%</t>
  </si>
  <si>
    <t>0.2703%</t>
  </si>
  <si>
    <t>-0.1732%</t>
  </si>
  <si>
    <t>-0.0837%</t>
  </si>
  <si>
    <t>-0.0184%</t>
  </si>
  <si>
    <t>-0.0186%</t>
  </si>
  <si>
    <t>0.0783%</t>
  </si>
  <si>
    <t>0.0135%</t>
  </si>
  <si>
    <t>0.0037%</t>
  </si>
  <si>
    <t>0.0379%</t>
  </si>
  <si>
    <t>0.0593%</t>
  </si>
  <si>
    <t>0.0656%</t>
  </si>
  <si>
    <t>-0.0749%</t>
  </si>
  <si>
    <t>-0.0519%</t>
  </si>
  <si>
    <t>0.0426%</t>
  </si>
  <si>
    <t>-0.0187%</t>
  </si>
  <si>
    <t>-0.0025%</t>
  </si>
  <si>
    <t>-0.0276%</t>
  </si>
  <si>
    <t>0.0133%</t>
  </si>
  <si>
    <t>0.0047%</t>
  </si>
  <si>
    <t>0.0373%</t>
  </si>
  <si>
    <t>-0.0209%</t>
  </si>
  <si>
    <t>-0.0222%</t>
  </si>
  <si>
    <t>0.0053%</t>
  </si>
  <si>
    <t>RMSE</t>
  </si>
  <si>
    <t>RMSE = √(mean of squared price errors across all tenors) for each strike column. Example: RMSE=0.05bps at +100bps means the typical calibration price error at that strike is 0.05bps of notional across all tenors. Useful single summary per strike — lower RMSE = better fit. ATM RMSE≈0 by construction.</t>
  </si>
  <si>
    <t>0.0000% (ATM)</t>
  </si>
  <si>
    <t>37.9227% (N/M)</t>
  </si>
  <si>
    <t>17.0178% (N/M)</t>
  </si>
  <si>
    <t>-0.3137%</t>
  </si>
  <si>
    <t>-0.7999%</t>
  </si>
  <si>
    <t>-0.2708%</t>
  </si>
  <si>
    <t>0.7639%</t>
  </si>
  <si>
    <t>0.4337%</t>
  </si>
  <si>
    <t>-1.1840% (N/M)</t>
  </si>
  <si>
    <t>-92.1217% (N/M)</t>
  </si>
  <si>
    <t>0.0000% (N/M)</t>
  </si>
  <si>
    <t>528.7035% (N/M)</t>
  </si>
  <si>
    <t>6.7454% (N/M)</t>
  </si>
  <si>
    <t>2.7162%</t>
  </si>
  <si>
    <t>-0.4369%</t>
  </si>
  <si>
    <t>-0.0459%</t>
  </si>
  <si>
    <t>0.9947%</t>
  </si>
  <si>
    <t>6.0632%</t>
  </si>
  <si>
    <t>10.0274% (N/M)</t>
  </si>
  <si>
    <t>-68.3207% (N/M)</t>
  </si>
  <si>
    <t>-98.2214% (N/M)</t>
  </si>
  <si>
    <t>24.7188% (N/M)</t>
  </si>
  <si>
    <t>-3.8853%</t>
  </si>
  <si>
    <t>1.0192%</t>
  </si>
  <si>
    <t>-0.2395%</t>
  </si>
  <si>
    <t>-0.2983%</t>
  </si>
  <si>
    <t>-0.0856%</t>
  </si>
  <si>
    <t>-0.6461%</t>
  </si>
  <si>
    <t>0.5446% (N/M)</t>
  </si>
  <si>
    <t>380.3519% (N/M)</t>
  </si>
  <si>
    <t>0.1678%</t>
  </si>
  <si>
    <t>-0.1249%</t>
  </si>
  <si>
    <t>-0.1336%</t>
  </si>
  <si>
    <t>0.0296%</t>
  </si>
  <si>
    <t>-0.0562%</t>
  </si>
  <si>
    <t>0.0905%</t>
  </si>
  <si>
    <t>-0.1645%</t>
  </si>
  <si>
    <t>-0.9879%</t>
  </si>
  <si>
    <t>1.8288%</t>
  </si>
  <si>
    <t>-0.0359%</t>
  </si>
  <si>
    <t>-0.0245%</t>
  </si>
  <si>
    <t>-0.0524%</t>
  </si>
  <si>
    <t>0.0738%</t>
  </si>
  <si>
    <t>0.0602%</t>
  </si>
  <si>
    <t>-0.0022%</t>
  </si>
  <si>
    <t>-0.0041%</t>
  </si>
  <si>
    <t>-0.0399%</t>
  </si>
  <si>
    <t>0.2421%</t>
  </si>
  <si>
    <t>-0.1780%</t>
  </si>
  <si>
    <t>0.0029%</t>
  </si>
  <si>
    <t>0.0882%</t>
  </si>
  <si>
    <t>-0.0964%</t>
  </si>
  <si>
    <t>-0.0077%</t>
  </si>
  <si>
    <t>0.0494%</t>
  </si>
  <si>
    <t>0.0469%</t>
  </si>
  <si>
    <t>-0.0179%</t>
  </si>
  <si>
    <t>-0.0740%</t>
  </si>
  <si>
    <t>0.3186%</t>
  </si>
  <si>
    <t>-0.3628%</t>
  </si>
  <si>
    <t>0.0591%</t>
  </si>
  <si>
    <t>-0.0057%</t>
  </si>
  <si>
    <t>-0.0779%</t>
  </si>
  <si>
    <t>0.0194%</t>
  </si>
  <si>
    <t>0.0206%</t>
  </si>
  <si>
    <t>0.0142%</t>
  </si>
  <si>
    <t>-0.0086%</t>
  </si>
  <si>
    <t>-0.0062%</t>
  </si>
  <si>
    <t>0.0448%</t>
  </si>
  <si>
    <t>-0.0572%</t>
  </si>
  <si>
    <t>0.0737%</t>
  </si>
  <si>
    <t>-0.0372%</t>
  </si>
  <si>
    <t>0.0288%</t>
  </si>
  <si>
    <t>-0.0824%</t>
  </si>
  <si>
    <t>-0.0203%</t>
  </si>
  <si>
    <t>0.0147%</t>
  </si>
  <si>
    <t>-0.0326%</t>
  </si>
  <si>
    <t>0.0126%</t>
  </si>
  <si>
    <t>-0.0366%</t>
  </si>
  <si>
    <t>0.0089%</t>
  </si>
  <si>
    <t>-0.0367%</t>
  </si>
  <si>
    <t>0.0159%</t>
  </si>
  <si>
    <t>0.0404%</t>
  </si>
  <si>
    <t>0.0072%</t>
  </si>
  <si>
    <t>-0.0194%</t>
  </si>
  <si>
    <t>0.0323%</t>
  </si>
  <si>
    <t>0.0007%</t>
  </si>
  <si>
    <t>-0.0176%</t>
  </si>
  <si>
    <t>-0.0512%</t>
  </si>
  <si>
    <t>14.2963% (N/M)</t>
  </si>
  <si>
    <t>25.1509% (N/M)</t>
  </si>
  <si>
    <t>3.7247%</t>
  </si>
  <si>
    <t>0.9742%</t>
  </si>
  <si>
    <t>-0.1876%</t>
  </si>
  <si>
    <t>2.1357%</t>
  </si>
  <si>
    <t>11.2559%</t>
  </si>
  <si>
    <t>2.1141% (N/M)</t>
  </si>
  <si>
    <t>-91.4098% (N/M)</t>
  </si>
  <si>
    <t>-99.5339% (N/M)</t>
  </si>
  <si>
    <t>-51.7237% (N/M)</t>
  </si>
  <si>
    <t>7.3467%</t>
  </si>
  <si>
    <t>3.6229%</t>
  </si>
  <si>
    <t>1.6800%</t>
  </si>
  <si>
    <t>0.3944%</t>
  </si>
  <si>
    <t>-0.2320%</t>
  </si>
  <si>
    <t>1.2818%</t>
  </si>
  <si>
    <t>15.7391% (N/M)</t>
  </si>
  <si>
    <t>105.1420% (N/M)</t>
  </si>
  <si>
    <t>-31.0274% (N/M)</t>
  </si>
  <si>
    <t>6.7728%</t>
  </si>
  <si>
    <t>0.3596%</t>
  </si>
  <si>
    <t>0.9002%</t>
  </si>
  <si>
    <t>0.1719%</t>
  </si>
  <si>
    <t>0.1063%</t>
  </si>
  <si>
    <t>0.9401%</t>
  </si>
  <si>
    <t>8.7440% (N/M)</t>
  </si>
  <si>
    <t>-50.8234% (N/M)</t>
  </si>
  <si>
    <t>0.0409%</t>
  </si>
  <si>
    <t>0.0316%</t>
  </si>
  <si>
    <t>0.0730%</t>
  </si>
  <si>
    <t>-0.1734%</t>
  </si>
  <si>
    <t>-0.0628%</t>
  </si>
  <si>
    <t>-0.0732%</t>
  </si>
  <si>
    <t>-0.0254%</t>
  </si>
  <si>
    <t>-0.3061%</t>
  </si>
  <si>
    <t>0.4279%</t>
  </si>
  <si>
    <t>0.1703%</t>
  </si>
  <si>
    <t>0.0083%</t>
  </si>
  <si>
    <t>-0.0576%</t>
  </si>
  <si>
    <t>0.0923%</t>
  </si>
  <si>
    <t>0.0075%</t>
  </si>
  <si>
    <t>-0.0729%</t>
  </si>
  <si>
    <t>0.0041%</t>
  </si>
  <si>
    <t>0.3708%</t>
  </si>
  <si>
    <t>0.0817%</t>
  </si>
  <si>
    <t>-0.8921%</t>
  </si>
  <si>
    <t>-0.2117%</t>
  </si>
  <si>
    <t>0.1229%</t>
  </si>
  <si>
    <t>0.0410%</t>
  </si>
  <si>
    <t>-0.0412%</t>
  </si>
  <si>
    <t>0.0367%</t>
  </si>
  <si>
    <t>-0.0337%</t>
  </si>
  <si>
    <t>-0.1708%</t>
  </si>
  <si>
    <t>0.3996%</t>
  </si>
  <si>
    <t>-0.1440%</t>
  </si>
  <si>
    <t>-0.0230%</t>
  </si>
  <si>
    <t>0.0584%</t>
  </si>
  <si>
    <t>-0.1092%</t>
  </si>
  <si>
    <t>0.0557%</t>
  </si>
  <si>
    <t>0.0141%</t>
  </si>
  <si>
    <t>-0.0495%</t>
  </si>
  <si>
    <t>0.0793%</t>
  </si>
  <si>
    <t>-0.1304%</t>
  </si>
  <si>
    <t>0.1776%</t>
  </si>
  <si>
    <t>-0.0433%</t>
  </si>
  <si>
    <t>-0.0134%</t>
  </si>
  <si>
    <t>0.0216%</t>
  </si>
  <si>
    <t>-0.0019%</t>
  </si>
  <si>
    <t>0.0114%</t>
  </si>
  <si>
    <t>-0.0164%</t>
  </si>
  <si>
    <t>-0.0564%</t>
  </si>
  <si>
    <t>0.0672%</t>
  </si>
  <si>
    <t>-0.2411%</t>
  </si>
  <si>
    <t>0.2816%</t>
  </si>
  <si>
    <t>0.0192%</t>
  </si>
  <si>
    <t>-0.0109%</t>
  </si>
  <si>
    <t>0.0131%</t>
  </si>
  <si>
    <t>-0.0002%</t>
  </si>
  <si>
    <t>0.0081%</t>
  </si>
  <si>
    <t>-0.0280%</t>
  </si>
  <si>
    <t>-0.0119%</t>
  </si>
  <si>
    <t>-0.0602%</t>
  </si>
  <si>
    <t>-7.7832% (N/M)</t>
  </si>
  <si>
    <t>2.0148% (N/M)</t>
  </si>
  <si>
    <t>3.1563%</t>
  </si>
  <si>
    <t>2.1779%</t>
  </si>
  <si>
    <t>0.1968%</t>
  </si>
  <si>
    <t>1.5042%</t>
  </si>
  <si>
    <t>9.4766%</t>
  </si>
  <si>
    <t>23.7123% (N/M)</t>
  </si>
  <si>
    <t>-95.3742% (N/M)</t>
  </si>
  <si>
    <t>-13.1044% (N/M)</t>
  </si>
  <si>
    <t>2.5921%</t>
  </si>
  <si>
    <t>1.1251%</t>
  </si>
  <si>
    <t>-0.1904%</t>
  </si>
  <si>
    <t>-0.0720%</t>
  </si>
  <si>
    <t>-0.0117%</t>
  </si>
  <si>
    <t>1.0303%</t>
  </si>
  <si>
    <t>-4.7538% (N/M)</t>
  </si>
  <si>
    <t>-45.9795% (N/M)</t>
  </si>
  <si>
    <t>11.9452% (N/M)</t>
  </si>
  <si>
    <t>2.5395%</t>
  </si>
  <si>
    <t>0.5370%</t>
  </si>
  <si>
    <t>0.3671%</t>
  </si>
  <si>
    <t>-0.3840%</t>
  </si>
  <si>
    <t>0.5265%</t>
  </si>
  <si>
    <t>1.4727%</t>
  </si>
  <si>
    <t>7.7126% (N/M)</t>
  </si>
  <si>
    <t>-30.3456% (N/M)</t>
  </si>
  <si>
    <t>-93.6574% (N/M)</t>
  </si>
  <si>
    <t>-0.0908%</t>
  </si>
  <si>
    <t>0.0779%</t>
  </si>
  <si>
    <t>0.0381%</t>
  </si>
  <si>
    <t>-0.0517%</t>
  </si>
  <si>
    <t>0.0327%</t>
  </si>
  <si>
    <t>-0.2541%</t>
  </si>
  <si>
    <t>0.0488%</t>
  </si>
  <si>
    <t>0.5744%</t>
  </si>
  <si>
    <t>0.0561%</t>
  </si>
  <si>
    <t>-0.0010%</t>
  </si>
  <si>
    <t>0.0342%</t>
  </si>
  <si>
    <t>0.0060%</t>
  </si>
  <si>
    <t>-0.0325%</t>
  </si>
  <si>
    <t>0.0340%</t>
  </si>
  <si>
    <t>0.1090%</t>
  </si>
  <si>
    <t>0.1336%</t>
  </si>
  <si>
    <t>-0.6494%</t>
  </si>
  <si>
    <t>-0.0781%</t>
  </si>
  <si>
    <t>0.0277%</t>
  </si>
  <si>
    <t>0.0416%</t>
  </si>
  <si>
    <t>-0.0035%</t>
  </si>
  <si>
    <t>-0.0125%</t>
  </si>
  <si>
    <t>0.0501%</t>
  </si>
  <si>
    <t>0.0022%</t>
  </si>
  <si>
    <t>-0.2310%</t>
  </si>
  <si>
    <t>0.3322%</t>
  </si>
  <si>
    <t>0.0151%</t>
  </si>
  <si>
    <t>-0.0200%</t>
  </si>
  <si>
    <t>0.0383%</t>
  </si>
  <si>
    <t>-0.0037%</t>
  </si>
  <si>
    <t>0.0002%</t>
  </si>
  <si>
    <t>0.0388%</t>
  </si>
  <si>
    <t>0.0271%</t>
  </si>
  <si>
    <t>0.0385%</t>
  </si>
  <si>
    <t>-0.0804%</t>
  </si>
  <si>
    <t>-0.0191%</t>
  </si>
  <si>
    <t>-0.0646%</t>
  </si>
  <si>
    <t>0.0860%</t>
  </si>
  <si>
    <t>-0.0027%</t>
  </si>
  <si>
    <t>0.0100%</t>
  </si>
  <si>
    <t>-0.0531%</t>
  </si>
  <si>
    <t>0.0001%</t>
  </si>
  <si>
    <t>0.0546%</t>
  </si>
  <si>
    <t>-0.0476%</t>
  </si>
  <si>
    <t>0.0058%</t>
  </si>
  <si>
    <t>0.0374%</t>
  </si>
  <si>
    <t>0.0031%</t>
  </si>
  <si>
    <t>-0.0557%</t>
  </si>
  <si>
    <t>-0.0274%</t>
  </si>
  <si>
    <t>0.0062%</t>
  </si>
  <si>
    <t>-0.0218%</t>
  </si>
  <si>
    <t>0.0270%</t>
  </si>
  <si>
    <t>-0.0842%</t>
  </si>
  <si>
    <t>-0.0573%</t>
  </si>
  <si>
    <t>0.1297%</t>
  </si>
  <si>
    <t>-5.2243% (N/M)</t>
  </si>
  <si>
    <t>4.0643%</t>
  </si>
  <si>
    <t>0.2974%</t>
  </si>
  <si>
    <t>0.5057%</t>
  </si>
  <si>
    <t>0.6432%</t>
  </si>
  <si>
    <t>4.3018%</t>
  </si>
  <si>
    <t>117.1663% (N/M)</t>
  </si>
  <si>
    <t>-93.9176% (N/M)</t>
  </si>
  <si>
    <t>18.8694% (N/M)</t>
  </si>
  <si>
    <t>3.4242%</t>
  </si>
  <si>
    <t>0.9186%</t>
  </si>
  <si>
    <t>-0.0883%</t>
  </si>
  <si>
    <t>-0.0017%</t>
  </si>
  <si>
    <t>0.3127%</t>
  </si>
  <si>
    <t>2.9924%</t>
  </si>
  <si>
    <t>38.5889% (N/M)</t>
  </si>
  <si>
    <t>-83.6909% (N/M)</t>
  </si>
  <si>
    <t>-86.9685% (N/M)</t>
  </si>
  <si>
    <t>-5.9023% (N/M)</t>
  </si>
  <si>
    <t>5.5206%</t>
  </si>
  <si>
    <t>0.8240%</t>
  </si>
  <si>
    <t>0.2141%</t>
  </si>
  <si>
    <t>0.1172%</t>
  </si>
  <si>
    <t>0.4089%</t>
  </si>
  <si>
    <t>1.9601%</t>
  </si>
  <si>
    <t>25.0981% (N/M)</t>
  </si>
  <si>
    <t>-24.0642% (N/M)</t>
  </si>
  <si>
    <t>-95.0596% (N/M)</t>
  </si>
  <si>
    <t>-0.0502%</t>
  </si>
  <si>
    <t>0.0819%</t>
  </si>
  <si>
    <t>-0.0253%</t>
  </si>
  <si>
    <t>-0.0273%</t>
  </si>
  <si>
    <t>0.0369%</t>
  </si>
  <si>
    <t>-0.1324%</t>
  </si>
  <si>
    <t>0.1447%</t>
  </si>
  <si>
    <t>0.4696%</t>
  </si>
  <si>
    <t>-0.8121%</t>
  </si>
  <si>
    <t>-0.1547%</t>
  </si>
  <si>
    <t>-0.0256%</t>
  </si>
  <si>
    <t>0.1402%</t>
  </si>
  <si>
    <t>0.0085%</t>
  </si>
  <si>
    <t>0.0597%</t>
  </si>
  <si>
    <t>-0.0038%</t>
  </si>
  <si>
    <t>0.0594%</t>
  </si>
  <si>
    <t>0.0082%</t>
  </si>
  <si>
    <t>0.1694%</t>
  </si>
  <si>
    <t>-0.2693%</t>
  </si>
  <si>
    <t>-0.0866%</t>
  </si>
  <si>
    <t>0.1035%</t>
  </si>
  <si>
    <t>-0.0207%</t>
  </si>
  <si>
    <t>0.0265%</t>
  </si>
  <si>
    <t>0.0244%</t>
  </si>
  <si>
    <t>0.0350%</t>
  </si>
  <si>
    <t>0.0313%</t>
  </si>
  <si>
    <t>0.1674%</t>
  </si>
  <si>
    <t>-0.3619%</t>
  </si>
  <si>
    <t>0.1699%</t>
  </si>
  <si>
    <t>0.0061%</t>
  </si>
  <si>
    <t>-0.0320%</t>
  </si>
  <si>
    <t>0.0045%</t>
  </si>
  <si>
    <t>0.0205%</t>
  </si>
  <si>
    <t>-0.0056%</t>
  </si>
  <si>
    <t>0.0182%</t>
  </si>
  <si>
    <t>-0.0015%</t>
  </si>
  <si>
    <t>-0.1085%</t>
  </si>
  <si>
    <t>0.1138%</t>
  </si>
  <si>
    <t>0.0065%</t>
  </si>
  <si>
    <t>-0.0432%</t>
  </si>
  <si>
    <t>-0.0211%</t>
  </si>
  <si>
    <t>0.0647%</t>
  </si>
  <si>
    <t>0.0336%</t>
  </si>
  <si>
    <t>0.0300%</t>
  </si>
  <si>
    <t>0.0472%</t>
  </si>
  <si>
    <t>0.0945%</t>
  </si>
  <si>
    <t>-0.1626%</t>
  </si>
  <si>
    <t>-0.0173%</t>
  </si>
  <si>
    <t>0.0276%</t>
  </si>
  <si>
    <t>0.0049%</t>
  </si>
  <si>
    <t>0.0238%</t>
  </si>
  <si>
    <t>-0.0340%</t>
  </si>
  <si>
    <t>0.0157%</t>
  </si>
  <si>
    <t>0.0318%</t>
  </si>
  <si>
    <t>0.1025%</t>
  </si>
  <si>
    <t>-0.1426%</t>
  </si>
  <si>
    <t>Grid 1 (blue)=input Totem prices (fraction of notional). Grid 2: (Re-gen price−Input price)×10000 in bps. Grid 3: (Re-gen−Input)/Input×100% with (N/M) shown in brackets where price&lt;0.5bps. ATM=amber (0 by construction). See colour legend on right of Grid 3. RMSE=Root Mean Square Error across all tenors per strike — single summary of fit quality.</t>
  </si>
  <si>
    <t>IV SMILE: Market IV (bps) vs SABR Model IV (bps). Left=Market IV (Bachelier inversion). Right=SABR Model IV (calibrated). Skew: ρ&lt;0→lower strikes have higher IV. Smile: ν&gt;0→wings above linear extrapolation.</t>
  </si>
  <si>
    <t>Market IV (bps)</t>
  </si>
  <si>
    <t>SABR Model IV (bps)</t>
  </si>
  <si>
    <t>CHART DATA — Day 1</t>
  </si>
  <si>
    <t>Offset(bps)</t>
  </si>
  <si>
    <t>1y1y Mkt</t>
  </si>
  <si>
    <t>1y1y Mdl</t>
  </si>
  <si>
    <t>1y5y Mkt</t>
  </si>
  <si>
    <t>1y5y Mdl</t>
  </si>
  <si>
    <t>1y10y Mkt</t>
  </si>
  <si>
    <t>1y10y Mdl</t>
  </si>
  <si>
    <t>5y1y Mkt</t>
  </si>
  <si>
    <t>5y1y Mdl</t>
  </si>
  <si>
    <t>5y5y Mkt</t>
  </si>
  <si>
    <t>5y5y Mdl</t>
  </si>
  <si>
    <t>5y10y Mkt</t>
  </si>
  <si>
    <t>5y10y Mdl</t>
  </si>
  <si>
    <t>10y1y Mkt</t>
  </si>
  <si>
    <t>10y1y Mdl</t>
  </si>
  <si>
    <t>10y5y Mkt</t>
  </si>
  <si>
    <t>10y5y Mdl</t>
  </si>
  <si>
    <t>10y10y Mkt</t>
  </si>
  <si>
    <t>10y10y Mdl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</si>
</sst>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0000"/>
    <numFmt numFmtId="177" formatCode="0.0000"/>
    <numFmt numFmtId="178" formatCode="0.0000&quot;%&quot;"/>
    <numFmt numFmtId="179" formatCode="\+0.00;\-0.00;0.00"/>
    <numFmt numFmtId="180" formatCode="0.000%"/>
  </numFmts>
  <fonts count="29">
    <font>
      <sz val="11"/>
      <color theme="1"/>
      <name val="Calibri"/>
      <charset val="134"/>
      <scheme val="minor"/>
    </font>
    <font>
      <b/>
      <sz val="9"/>
      <color rgb="FFFFFFFF"/>
      <name val="Arial"/>
      <charset val="134"/>
    </font>
    <font>
      <b/>
      <sz val="9"/>
      <color rgb="FF000000"/>
      <name val="Arial"/>
      <charset val="134"/>
    </font>
    <font>
      <sz val="9"/>
      <color rgb="FF000000"/>
      <name val="Arial"/>
      <charset val="134"/>
    </font>
    <font>
      <sz val="9"/>
      <color rgb="FF0000FF"/>
      <name val="Arial"/>
      <charset val="134"/>
    </font>
    <font>
      <i/>
      <sz val="9"/>
      <color rgb="FF000000"/>
      <name val="Arial"/>
      <charset val="134"/>
    </font>
    <font>
      <b/>
      <sz val="10"/>
      <color rgb="FFFFFFFF"/>
      <name val="Arial"/>
      <charset val="134"/>
    </font>
    <font>
      <sz val="9"/>
      <color rgb="FFFFFFFF"/>
      <name val="Arial"/>
      <charset val="134"/>
    </font>
    <font>
      <b/>
      <sz val="12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F6B75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3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19" fillId="15" borderId="8" applyNumberFormat="0" applyAlignment="0" applyProtection="0">
      <alignment vertical="center"/>
    </xf>
    <xf numFmtId="0" fontId="20" fillId="15" borderId="7" applyNumberFormat="0" applyAlignment="0" applyProtection="0">
      <alignment vertical="center"/>
    </xf>
    <xf numFmtId="0" fontId="21" fillId="16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</cellStyleXfs>
  <cellXfs count="5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0" fillId="7" borderId="0" xfId="0" applyFill="1"/>
    <xf numFmtId="1" fontId="3" fillId="0" borderId="1" xfId="0" applyNumberFormat="1" applyFont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76" fontId="4" fillId="5" borderId="1" xfId="0" applyNumberFormat="1" applyFont="1" applyFill="1" applyBorder="1" applyAlignment="1">
      <alignment horizontal="center" vertical="center"/>
    </xf>
    <xf numFmtId="176" fontId="4" fillId="6" borderId="1" xfId="0" applyNumberFormat="1" applyFont="1" applyFill="1" applyBorder="1" applyAlignment="1">
      <alignment horizontal="center" vertical="center"/>
    </xf>
    <xf numFmtId="177" fontId="3" fillId="8" borderId="1" xfId="0" applyNumberFormat="1" applyFont="1" applyFill="1" applyBorder="1" applyAlignment="1">
      <alignment horizontal="center" vertical="center"/>
    </xf>
    <xf numFmtId="177" fontId="3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178" fontId="3" fillId="8" borderId="1" xfId="0" applyNumberFormat="1" applyFont="1" applyFill="1" applyBorder="1" applyAlignment="1">
      <alignment horizontal="center" vertical="center"/>
    </xf>
    <xf numFmtId="178" fontId="3" fillId="9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77" fontId="3" fillId="9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77" fontId="3" fillId="5" borderId="1" xfId="0" applyNumberFormat="1" applyFont="1" applyFill="1" applyBorder="1" applyAlignment="1">
      <alignment horizontal="center" vertical="center"/>
    </xf>
    <xf numFmtId="11" fontId="3" fillId="5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1" fontId="3" fillId="0" borderId="1" xfId="0" applyNumberFormat="1" applyFont="1" applyBorder="1" applyAlignment="1">
      <alignment horizontal="center" vertical="center"/>
    </xf>
    <xf numFmtId="179" fontId="3" fillId="6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80" fontId="4" fillId="5" borderId="1" xfId="0" applyNumberFormat="1" applyFont="1" applyFill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IV Smile Day 1 — 1y1y, 1y5y, 1y10y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'11_IV_Smile_AllDays'!$B$68</c:f>
              <c:strCache>
                <c:ptCount val="1"/>
                <c:pt idx="0">
                  <c:v>1y1y Mkt</c:v>
                </c:pt>
              </c:strCache>
            </c:strRef>
          </c:tx>
          <c:spPr>
            <a:ln w="47625" cap="rnd" cmpd="sng" algn="ctr">
              <a:solidFill>
                <a:schemeClr val="accent1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'11_IV_Smile_AllDays'!$A$69:$A$79</c:f>
              <c:numCache>
                <c:formatCode>0</c:formatCode>
                <c:ptCount val="11"/>
                <c:pt idx="0" c:formatCode="0">
                  <c:v>-300</c:v>
                </c:pt>
                <c:pt idx="1" c:formatCode="0">
                  <c:v>-200</c:v>
                </c:pt>
                <c:pt idx="2" c:formatCode="0">
                  <c:v>-150</c:v>
                </c:pt>
                <c:pt idx="3" c:formatCode="0">
                  <c:v>-100</c:v>
                </c:pt>
                <c:pt idx="4" c:formatCode="0">
                  <c:v>-50</c:v>
                </c:pt>
                <c:pt idx="5" c:formatCode="0">
                  <c:v>0</c:v>
                </c:pt>
                <c:pt idx="6" c:formatCode="0">
                  <c:v>50</c:v>
                </c:pt>
                <c:pt idx="7" c:formatCode="0">
                  <c:v>100</c:v>
                </c:pt>
                <c:pt idx="8" c:formatCode="0">
                  <c:v>200</c:v>
                </c:pt>
                <c:pt idx="9" c:formatCode="0">
                  <c:v>300</c:v>
                </c:pt>
                <c:pt idx="10" c:formatCode="0">
                  <c:v>400</c:v>
                </c:pt>
              </c:numCache>
            </c:numRef>
          </c:cat>
          <c:val>
            <c:numRef>
              <c:f>'11_IV_Smile_AllDays'!$B$69:$B$79</c:f>
              <c:numCache>
                <c:formatCode>0.00</c:formatCode>
                <c:ptCount val="11"/>
                <c:pt idx="0">
                  <c:v>96.19</c:v>
                </c:pt>
                <c:pt idx="1">
                  <c:v>80.32</c:v>
                </c:pt>
                <c:pt idx="2">
                  <c:v>74.82</c:v>
                </c:pt>
                <c:pt idx="3">
                  <c:v>69.16</c:v>
                </c:pt>
                <c:pt idx="4">
                  <c:v>63.86</c:v>
                </c:pt>
                <c:pt idx="5">
                  <c:v>59.99</c:v>
                </c:pt>
                <c:pt idx="6">
                  <c:v>58.17</c:v>
                </c:pt>
                <c:pt idx="7">
                  <c:v>58.59</c:v>
                </c:pt>
                <c:pt idx="8">
                  <c:v>62.25</c:v>
                </c:pt>
                <c:pt idx="9">
                  <c:v>87.69</c:v>
                </c:pt>
                <c:pt idx="10">
                  <c:v>101.84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'11_IV_Smile_AllDays'!$C$68</c:f>
              <c:strCache>
                <c:ptCount val="1"/>
                <c:pt idx="0">
                  <c:v>1y1y Mdl</c:v>
                </c:pt>
              </c:strCache>
            </c:strRef>
          </c:tx>
          <c:spPr>
            <a:ln w="47625" cap="rnd" cmpd="sng" algn="ctr">
              <a:solidFill>
                <a:schemeClr val="accent2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'11_IV_Smile_AllDays'!$A$69:$A$79</c:f>
              <c:numCache>
                <c:formatCode>0</c:formatCode>
                <c:ptCount val="11"/>
                <c:pt idx="0" c:formatCode="0">
                  <c:v>-300</c:v>
                </c:pt>
                <c:pt idx="1" c:formatCode="0">
                  <c:v>-200</c:v>
                </c:pt>
                <c:pt idx="2" c:formatCode="0">
                  <c:v>-150</c:v>
                </c:pt>
                <c:pt idx="3" c:formatCode="0">
                  <c:v>-100</c:v>
                </c:pt>
                <c:pt idx="4" c:formatCode="0">
                  <c:v>-50</c:v>
                </c:pt>
                <c:pt idx="5" c:formatCode="0">
                  <c:v>0</c:v>
                </c:pt>
                <c:pt idx="6" c:formatCode="0">
                  <c:v>50</c:v>
                </c:pt>
                <c:pt idx="7" c:formatCode="0">
                  <c:v>100</c:v>
                </c:pt>
                <c:pt idx="8" c:formatCode="0">
                  <c:v>200</c:v>
                </c:pt>
                <c:pt idx="9" c:formatCode="0">
                  <c:v>300</c:v>
                </c:pt>
                <c:pt idx="10" c:formatCode="0">
                  <c:v>400</c:v>
                </c:pt>
              </c:numCache>
            </c:numRef>
          </c:cat>
          <c:val>
            <c:numRef>
              <c:f>'11_IV_Smile_AllDays'!$C$69:$C$79</c:f>
              <c:numCache>
                <c:formatCode>0.00</c:formatCode>
                <c:ptCount val="11"/>
                <c:pt idx="0">
                  <c:v>93.54</c:v>
                </c:pt>
                <c:pt idx="1">
                  <c:v>81.14</c:v>
                </c:pt>
                <c:pt idx="2">
                  <c:v>75.01</c:v>
                </c:pt>
                <c:pt idx="3">
                  <c:v>69.15</c:v>
                </c:pt>
                <c:pt idx="4">
                  <c:v>63.92</c:v>
                </c:pt>
                <c:pt idx="5">
                  <c:v>59.99</c:v>
                </c:pt>
                <c:pt idx="6">
                  <c:v>58.22</c:v>
                </c:pt>
                <c:pt idx="7">
                  <c:v>58.96</c:v>
                </c:pt>
                <c:pt idx="8">
                  <c:v>65.6</c:v>
                </c:pt>
                <c:pt idx="9">
                  <c:v>75.01</c:v>
                </c:pt>
                <c:pt idx="10">
                  <c:v>85.1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'11_IV_Smile_AllDays'!$D$68</c:f>
              <c:strCache>
                <c:ptCount val="1"/>
                <c:pt idx="0">
                  <c:v>1y5y Mkt</c:v>
                </c:pt>
              </c:strCache>
            </c:strRef>
          </c:tx>
          <c:spPr>
            <a:ln w="47625" cap="rnd" cmpd="sng" algn="ctr">
              <a:solidFill>
                <a:schemeClr val="accent3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'11_IV_Smile_AllDays'!$A$69:$A$79</c:f>
              <c:numCache>
                <c:formatCode>0</c:formatCode>
                <c:ptCount val="11"/>
                <c:pt idx="0" c:formatCode="0">
                  <c:v>-300</c:v>
                </c:pt>
                <c:pt idx="1" c:formatCode="0">
                  <c:v>-200</c:v>
                </c:pt>
                <c:pt idx="2" c:formatCode="0">
                  <c:v>-150</c:v>
                </c:pt>
                <c:pt idx="3" c:formatCode="0">
                  <c:v>-100</c:v>
                </c:pt>
                <c:pt idx="4" c:formatCode="0">
                  <c:v>-50</c:v>
                </c:pt>
                <c:pt idx="5" c:formatCode="0">
                  <c:v>0</c:v>
                </c:pt>
                <c:pt idx="6" c:formatCode="0">
                  <c:v>50</c:v>
                </c:pt>
                <c:pt idx="7" c:formatCode="0">
                  <c:v>100</c:v>
                </c:pt>
                <c:pt idx="8" c:formatCode="0">
                  <c:v>200</c:v>
                </c:pt>
                <c:pt idx="9" c:formatCode="0">
                  <c:v>300</c:v>
                </c:pt>
                <c:pt idx="10" c:formatCode="0">
                  <c:v>400</c:v>
                </c:pt>
              </c:numCache>
            </c:numRef>
          </c:cat>
          <c:val>
            <c:numRef>
              <c:f>'11_IV_Smile_AllDays'!$D$69:$D$79</c:f>
              <c:numCache>
                <c:formatCode>0.00</c:formatCode>
                <c:ptCount val="11"/>
                <c:pt idx="0">
                  <c:v>99.49</c:v>
                </c:pt>
                <c:pt idx="1">
                  <c:v>91.4</c:v>
                </c:pt>
                <c:pt idx="2">
                  <c:v>85.99</c:v>
                </c:pt>
                <c:pt idx="3">
                  <c:v>81.76</c:v>
                </c:pt>
                <c:pt idx="4">
                  <c:v>77.99</c:v>
                </c:pt>
                <c:pt idx="5">
                  <c:v>74.97</c:v>
                </c:pt>
                <c:pt idx="6">
                  <c:v>73.2</c:v>
                </c:pt>
                <c:pt idx="7">
                  <c:v>72.66</c:v>
                </c:pt>
                <c:pt idx="8">
                  <c:v>73.22</c:v>
                </c:pt>
                <c:pt idx="9">
                  <c:v>98.5</c:v>
                </c:pt>
                <c:pt idx="10">
                  <c:v>117.49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'11_IV_Smile_AllDays'!$E$68</c:f>
              <c:strCache>
                <c:ptCount val="1"/>
                <c:pt idx="0">
                  <c:v>1y5y Mdl</c:v>
                </c:pt>
              </c:strCache>
            </c:strRef>
          </c:tx>
          <c:spPr>
            <a:ln w="47625" cap="rnd" cmpd="sng" algn="ctr">
              <a:solidFill>
                <a:schemeClr val="accent4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'11_IV_Smile_AllDays'!$A$69:$A$79</c:f>
              <c:numCache>
                <c:formatCode>0</c:formatCode>
                <c:ptCount val="11"/>
                <c:pt idx="0" c:formatCode="0">
                  <c:v>-300</c:v>
                </c:pt>
                <c:pt idx="1" c:formatCode="0">
                  <c:v>-200</c:v>
                </c:pt>
                <c:pt idx="2" c:formatCode="0">
                  <c:v>-150</c:v>
                </c:pt>
                <c:pt idx="3" c:formatCode="0">
                  <c:v>-100</c:v>
                </c:pt>
                <c:pt idx="4" c:formatCode="0">
                  <c:v>-50</c:v>
                </c:pt>
                <c:pt idx="5" c:formatCode="0">
                  <c:v>0</c:v>
                </c:pt>
                <c:pt idx="6" c:formatCode="0">
                  <c:v>50</c:v>
                </c:pt>
                <c:pt idx="7" c:formatCode="0">
                  <c:v>100</c:v>
                </c:pt>
                <c:pt idx="8" c:formatCode="0">
                  <c:v>200</c:v>
                </c:pt>
                <c:pt idx="9" c:formatCode="0">
                  <c:v>300</c:v>
                </c:pt>
                <c:pt idx="10" c:formatCode="0">
                  <c:v>400</c:v>
                </c:pt>
              </c:numCache>
            </c:numRef>
          </c:cat>
          <c:val>
            <c:numRef>
              <c:f>'11_IV_Smile_AllDays'!$E$69:$E$79</c:f>
              <c:numCache>
                <c:formatCode>0.00</c:formatCode>
                <c:ptCount val="11"/>
                <c:pt idx="0">
                  <c:v>102.38</c:v>
                </c:pt>
                <c:pt idx="1">
                  <c:v>91.66</c:v>
                </c:pt>
                <c:pt idx="2">
                  <c:v>86.58</c:v>
                </c:pt>
                <c:pt idx="3">
                  <c:v>81.9</c:v>
                </c:pt>
                <c:pt idx="4">
                  <c:v>77.9</c:v>
                </c:pt>
                <c:pt idx="5">
                  <c:v>74.97</c:v>
                </c:pt>
                <c:pt idx="6">
                  <c:v>73.49</c:v>
                </c:pt>
                <c:pt idx="7">
                  <c:v>73.63</c:v>
                </c:pt>
                <c:pt idx="8">
                  <c:v>77.97</c:v>
                </c:pt>
                <c:pt idx="9">
                  <c:v>85.42</c:v>
                </c:pt>
                <c:pt idx="10">
                  <c:v>94.11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'11_IV_Smile_AllDays'!$F$68</c:f>
              <c:strCache>
                <c:ptCount val="1"/>
                <c:pt idx="0">
                  <c:v>1y10y Mkt</c:v>
                </c:pt>
              </c:strCache>
            </c:strRef>
          </c:tx>
          <c:spPr>
            <a:ln w="47625" cap="rnd" cmpd="sng" algn="ctr">
              <a:solidFill>
                <a:schemeClr val="accent5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'11_IV_Smile_AllDays'!$A$69:$A$79</c:f>
              <c:numCache>
                <c:formatCode>0</c:formatCode>
                <c:ptCount val="11"/>
                <c:pt idx="0" c:formatCode="0">
                  <c:v>-300</c:v>
                </c:pt>
                <c:pt idx="1" c:formatCode="0">
                  <c:v>-200</c:v>
                </c:pt>
                <c:pt idx="2" c:formatCode="0">
                  <c:v>-150</c:v>
                </c:pt>
                <c:pt idx="3" c:formatCode="0">
                  <c:v>-100</c:v>
                </c:pt>
                <c:pt idx="4" c:formatCode="0">
                  <c:v>-50</c:v>
                </c:pt>
                <c:pt idx="5" c:formatCode="0">
                  <c:v>0</c:v>
                </c:pt>
                <c:pt idx="6" c:formatCode="0">
                  <c:v>50</c:v>
                </c:pt>
                <c:pt idx="7" c:formatCode="0">
                  <c:v>100</c:v>
                </c:pt>
                <c:pt idx="8" c:formatCode="0">
                  <c:v>200</c:v>
                </c:pt>
                <c:pt idx="9" c:formatCode="0">
                  <c:v>300</c:v>
                </c:pt>
                <c:pt idx="10" c:formatCode="0">
                  <c:v>400</c:v>
                </c:pt>
              </c:numCache>
            </c:numRef>
          </c:cat>
          <c:val>
            <c:numRef>
              <c:f>'11_IV_Smile_AllDays'!$F$69:$F$79</c:f>
              <c:numCache>
                <c:formatCode>0.00</c:formatCode>
                <c:ptCount val="11"/>
                <c:pt idx="0">
                  <c:v>107.45</c:v>
                </c:pt>
                <c:pt idx="1">
                  <c:v>97.85</c:v>
                </c:pt>
                <c:pt idx="2">
                  <c:v>94.24</c:v>
                </c:pt>
                <c:pt idx="3">
                  <c:v>90.64</c:v>
                </c:pt>
                <c:pt idx="4">
                  <c:v>87.38</c:v>
                </c:pt>
                <c:pt idx="5">
                  <c:v>85.01</c:v>
                </c:pt>
                <c:pt idx="6">
                  <c:v>83.44</c:v>
                </c:pt>
                <c:pt idx="7">
                  <c:v>82.94</c:v>
                </c:pt>
                <c:pt idx="8">
                  <c:v>84.46</c:v>
                </c:pt>
                <c:pt idx="9">
                  <c:v>101.83</c:v>
                </c:pt>
                <c:pt idx="10">
                  <c:v>112.12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'11_IV_Smile_AllDays'!$G$68</c:f>
              <c:strCache>
                <c:ptCount val="1"/>
                <c:pt idx="0">
                  <c:v>1y10y Mdl</c:v>
                </c:pt>
              </c:strCache>
            </c:strRef>
          </c:tx>
          <c:spPr>
            <a:ln w="47625" cap="rnd" cmpd="sng" algn="ctr">
              <a:solidFill>
                <a:schemeClr val="accent6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'11_IV_Smile_AllDays'!$A$69:$A$79</c:f>
              <c:numCache>
                <c:formatCode>0</c:formatCode>
                <c:ptCount val="11"/>
                <c:pt idx="0" c:formatCode="0">
                  <c:v>-300</c:v>
                </c:pt>
                <c:pt idx="1" c:formatCode="0">
                  <c:v>-200</c:v>
                </c:pt>
                <c:pt idx="2" c:formatCode="0">
                  <c:v>-150</c:v>
                </c:pt>
                <c:pt idx="3" c:formatCode="0">
                  <c:v>-100</c:v>
                </c:pt>
                <c:pt idx="4" c:formatCode="0">
                  <c:v>-50</c:v>
                </c:pt>
                <c:pt idx="5" c:formatCode="0">
                  <c:v>0</c:v>
                </c:pt>
                <c:pt idx="6" c:formatCode="0">
                  <c:v>50</c:v>
                </c:pt>
                <c:pt idx="7" c:formatCode="0">
                  <c:v>100</c:v>
                </c:pt>
                <c:pt idx="8" c:formatCode="0">
                  <c:v>200</c:v>
                </c:pt>
                <c:pt idx="9" c:formatCode="0">
                  <c:v>300</c:v>
                </c:pt>
                <c:pt idx="10" c:formatCode="0">
                  <c:v>400</c:v>
                </c:pt>
              </c:numCache>
            </c:numRef>
          </c:cat>
          <c:val>
            <c:numRef>
              <c:f>'11_IV_Smile_AllDays'!$G$69:$G$79</c:f>
              <c:numCache>
                <c:formatCode>0.00</c:formatCode>
                <c:ptCount val="11"/>
                <c:pt idx="0">
                  <c:v>107.8</c:v>
                </c:pt>
                <c:pt idx="1">
                  <c:v>98.63</c:v>
                </c:pt>
                <c:pt idx="2">
                  <c:v>94.4</c:v>
                </c:pt>
                <c:pt idx="3">
                  <c:v>90.59</c:v>
                </c:pt>
                <c:pt idx="4">
                  <c:v>87.38</c:v>
                </c:pt>
                <c:pt idx="5">
                  <c:v>85.01</c:v>
                </c:pt>
                <c:pt idx="6">
                  <c:v>83.67</c:v>
                </c:pt>
                <c:pt idx="7">
                  <c:v>83.47</c:v>
                </c:pt>
                <c:pt idx="8">
                  <c:v>86.22</c:v>
                </c:pt>
                <c:pt idx="9">
                  <c:v>91.89</c:v>
                </c:pt>
                <c:pt idx="10">
                  <c:v>99.08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Strike Offset (bps)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Normal Vol (bps)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197d19a-acb7-4372-bdc8-ebb8203c4d71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IV Smile Day 1 — 5y1y, 5y5y, 5y10y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3052208835341"/>
          <c:y val="0.115339956134692"/>
          <c:w val="0.744658634538153"/>
          <c:h val="0.768029931621726"/>
        </c:manualLayout>
      </c:layout>
      <c:lineChart>
        <c:grouping val="standard"/>
        <c:varyColors val="0"/>
        <c:ser>
          <c:idx val="0"/>
          <c:order val="0"/>
          <c:tx>
            <c:strRef>
              <c:f>'11_IV_Smile_AllDays'!$H$68</c:f>
              <c:strCache>
                <c:ptCount val="1"/>
                <c:pt idx="0">
                  <c:v>5y1y Mkt</c:v>
                </c:pt>
              </c:strCache>
            </c:strRef>
          </c:tx>
          <c:spPr>
            <a:ln w="47625" cap="rnd" cmpd="sng" algn="ctr">
              <a:solidFill>
                <a:schemeClr val="accent1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'11_IV_Smile_AllDays'!$A$69:$A$79</c:f>
              <c:numCache>
                <c:formatCode>0</c:formatCode>
                <c:ptCount val="11"/>
                <c:pt idx="0" c:formatCode="0">
                  <c:v>-300</c:v>
                </c:pt>
                <c:pt idx="1" c:formatCode="0">
                  <c:v>-200</c:v>
                </c:pt>
                <c:pt idx="2" c:formatCode="0">
                  <c:v>-150</c:v>
                </c:pt>
                <c:pt idx="3" c:formatCode="0">
                  <c:v>-100</c:v>
                </c:pt>
                <c:pt idx="4" c:formatCode="0">
                  <c:v>-50</c:v>
                </c:pt>
                <c:pt idx="5" c:formatCode="0">
                  <c:v>0</c:v>
                </c:pt>
                <c:pt idx="6" c:formatCode="0">
                  <c:v>50</c:v>
                </c:pt>
                <c:pt idx="7" c:formatCode="0">
                  <c:v>100</c:v>
                </c:pt>
                <c:pt idx="8" c:formatCode="0">
                  <c:v>200</c:v>
                </c:pt>
                <c:pt idx="9" c:formatCode="0">
                  <c:v>300</c:v>
                </c:pt>
                <c:pt idx="10" c:formatCode="0">
                  <c:v>400</c:v>
                </c:pt>
              </c:numCache>
            </c:numRef>
          </c:cat>
          <c:val>
            <c:numRef>
              <c:f>'11_IV_Smile_AllDays'!$H$69:$H$79</c:f>
              <c:numCache>
                <c:formatCode>0.00</c:formatCode>
                <c:ptCount val="11"/>
                <c:pt idx="0">
                  <c:v>95.27</c:v>
                </c:pt>
                <c:pt idx="1">
                  <c:v>83.8</c:v>
                </c:pt>
                <c:pt idx="2">
                  <c:v>78.12</c:v>
                </c:pt>
                <c:pt idx="3">
                  <c:v>72.91</c:v>
                </c:pt>
                <c:pt idx="4">
                  <c:v>68.29</c:v>
                </c:pt>
                <c:pt idx="5">
                  <c:v>64.99</c:v>
                </c:pt>
                <c:pt idx="6">
                  <c:v>63.5</c:v>
                </c:pt>
                <c:pt idx="7">
                  <c:v>64.09</c:v>
                </c:pt>
                <c:pt idx="8">
                  <c:v>69.85</c:v>
                </c:pt>
                <c:pt idx="9">
                  <c:v>78.48</c:v>
                </c:pt>
                <c:pt idx="10">
                  <c:v>87.96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'11_IV_Smile_AllDays'!$I$68</c:f>
              <c:strCache>
                <c:ptCount val="1"/>
                <c:pt idx="0">
                  <c:v>5y1y Mdl</c:v>
                </c:pt>
              </c:strCache>
            </c:strRef>
          </c:tx>
          <c:spPr>
            <a:ln w="47625" cap="rnd" cmpd="sng" algn="ctr">
              <a:solidFill>
                <a:schemeClr val="accent2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'11_IV_Smile_AllDays'!$A$69:$A$79</c:f>
              <c:numCache>
                <c:formatCode>0</c:formatCode>
                <c:ptCount val="11"/>
                <c:pt idx="0" c:formatCode="0">
                  <c:v>-300</c:v>
                </c:pt>
                <c:pt idx="1" c:formatCode="0">
                  <c:v>-200</c:v>
                </c:pt>
                <c:pt idx="2" c:formatCode="0">
                  <c:v>-150</c:v>
                </c:pt>
                <c:pt idx="3" c:formatCode="0">
                  <c:v>-100</c:v>
                </c:pt>
                <c:pt idx="4" c:formatCode="0">
                  <c:v>-50</c:v>
                </c:pt>
                <c:pt idx="5" c:formatCode="0">
                  <c:v>0</c:v>
                </c:pt>
                <c:pt idx="6" c:formatCode="0">
                  <c:v>50</c:v>
                </c:pt>
                <c:pt idx="7" c:formatCode="0">
                  <c:v>100</c:v>
                </c:pt>
                <c:pt idx="8" c:formatCode="0">
                  <c:v>200</c:v>
                </c:pt>
                <c:pt idx="9" c:formatCode="0">
                  <c:v>300</c:v>
                </c:pt>
                <c:pt idx="10" c:formatCode="0">
                  <c:v>400</c:v>
                </c:pt>
              </c:numCache>
            </c:numRef>
          </c:cat>
          <c:val>
            <c:numRef>
              <c:f>'11_IV_Smile_AllDays'!$I$69:$I$79</c:f>
              <c:numCache>
                <c:formatCode>0.00</c:formatCode>
                <c:ptCount val="11"/>
                <c:pt idx="0">
                  <c:v>95.3</c:v>
                </c:pt>
                <c:pt idx="1">
                  <c:v>83.74</c:v>
                </c:pt>
                <c:pt idx="2">
                  <c:v>78.14</c:v>
                </c:pt>
                <c:pt idx="3">
                  <c:v>72.88</c:v>
                </c:pt>
                <c:pt idx="4">
                  <c:v>68.32</c:v>
                </c:pt>
                <c:pt idx="5">
                  <c:v>64.99</c:v>
                </c:pt>
                <c:pt idx="6">
                  <c:v>63.49</c:v>
                </c:pt>
                <c:pt idx="7">
                  <c:v>64.07</c:v>
                </c:pt>
                <c:pt idx="8">
                  <c:v>69.84</c:v>
                </c:pt>
                <c:pt idx="9">
                  <c:v>78.49</c:v>
                </c:pt>
                <c:pt idx="10">
                  <c:v>88.02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'11_IV_Smile_AllDays'!$J$68</c:f>
              <c:strCache>
                <c:ptCount val="1"/>
                <c:pt idx="0">
                  <c:v>5y5y Mkt</c:v>
                </c:pt>
              </c:strCache>
            </c:strRef>
          </c:tx>
          <c:spPr>
            <a:ln w="47625" cap="rnd" cmpd="sng" algn="ctr">
              <a:solidFill>
                <a:schemeClr val="accent3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'11_IV_Smile_AllDays'!$A$69:$A$79</c:f>
              <c:numCache>
                <c:formatCode>0</c:formatCode>
                <c:ptCount val="11"/>
                <c:pt idx="0" c:formatCode="0">
                  <c:v>-300</c:v>
                </c:pt>
                <c:pt idx="1" c:formatCode="0">
                  <c:v>-200</c:v>
                </c:pt>
                <c:pt idx="2" c:formatCode="0">
                  <c:v>-150</c:v>
                </c:pt>
                <c:pt idx="3" c:formatCode="0">
                  <c:v>-100</c:v>
                </c:pt>
                <c:pt idx="4" c:formatCode="0">
                  <c:v>-50</c:v>
                </c:pt>
                <c:pt idx="5" c:formatCode="0">
                  <c:v>0</c:v>
                </c:pt>
                <c:pt idx="6" c:formatCode="0">
                  <c:v>50</c:v>
                </c:pt>
                <c:pt idx="7" c:formatCode="0">
                  <c:v>100</c:v>
                </c:pt>
                <c:pt idx="8" c:formatCode="0">
                  <c:v>200</c:v>
                </c:pt>
                <c:pt idx="9" c:formatCode="0">
                  <c:v>300</c:v>
                </c:pt>
                <c:pt idx="10" c:formatCode="0">
                  <c:v>400</c:v>
                </c:pt>
              </c:numCache>
            </c:numRef>
          </c:cat>
          <c:val>
            <c:numRef>
              <c:f>'11_IV_Smile_AllDays'!$J$69:$J$79</c:f>
              <c:numCache>
                <c:formatCode>0.00</c:formatCode>
                <c:ptCount val="11"/>
                <c:pt idx="0">
                  <c:v>103.38</c:v>
                </c:pt>
                <c:pt idx="1">
                  <c:v>94.03</c:v>
                </c:pt>
                <c:pt idx="2">
                  <c:v>89.67</c:v>
                </c:pt>
                <c:pt idx="3">
                  <c:v>85.77</c:v>
                </c:pt>
                <c:pt idx="4">
                  <c:v>82.43</c:v>
                </c:pt>
                <c:pt idx="5">
                  <c:v>79.98</c:v>
                </c:pt>
                <c:pt idx="6">
                  <c:v>78.72</c:v>
                </c:pt>
                <c:pt idx="7">
                  <c:v>78.65</c:v>
                </c:pt>
                <c:pt idx="8">
                  <c:v>81.88</c:v>
                </c:pt>
                <c:pt idx="9">
                  <c:v>88.1</c:v>
                </c:pt>
                <c:pt idx="10">
                  <c:v>95.74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'11_IV_Smile_AllDays'!$K$68</c:f>
              <c:strCache>
                <c:ptCount val="1"/>
                <c:pt idx="0">
                  <c:v>5y5y Mdl</c:v>
                </c:pt>
              </c:strCache>
            </c:strRef>
          </c:tx>
          <c:spPr>
            <a:ln w="47625" cap="rnd" cmpd="sng" algn="ctr">
              <a:solidFill>
                <a:schemeClr val="accent4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'11_IV_Smile_AllDays'!$A$69:$A$79</c:f>
              <c:numCache>
                <c:formatCode>0</c:formatCode>
                <c:ptCount val="11"/>
                <c:pt idx="0" c:formatCode="0">
                  <c:v>-300</c:v>
                </c:pt>
                <c:pt idx="1" c:formatCode="0">
                  <c:v>-200</c:v>
                </c:pt>
                <c:pt idx="2" c:formatCode="0">
                  <c:v>-150</c:v>
                </c:pt>
                <c:pt idx="3" c:formatCode="0">
                  <c:v>-100</c:v>
                </c:pt>
                <c:pt idx="4" c:formatCode="0">
                  <c:v>-50</c:v>
                </c:pt>
                <c:pt idx="5" c:formatCode="0">
                  <c:v>0</c:v>
                </c:pt>
                <c:pt idx="6" c:formatCode="0">
                  <c:v>50</c:v>
                </c:pt>
                <c:pt idx="7" c:formatCode="0">
                  <c:v>100</c:v>
                </c:pt>
                <c:pt idx="8" c:formatCode="0">
                  <c:v>200</c:v>
                </c:pt>
                <c:pt idx="9" c:formatCode="0">
                  <c:v>300</c:v>
                </c:pt>
                <c:pt idx="10" c:formatCode="0">
                  <c:v>400</c:v>
                </c:pt>
              </c:numCache>
            </c:numRef>
          </c:cat>
          <c:val>
            <c:numRef>
              <c:f>'11_IV_Smile_AllDays'!$K$69:$K$79</c:f>
              <c:numCache>
                <c:formatCode>0.00</c:formatCode>
                <c:ptCount val="11"/>
                <c:pt idx="0">
                  <c:v>103.44</c:v>
                </c:pt>
                <c:pt idx="1">
                  <c:v>94.03</c:v>
                </c:pt>
                <c:pt idx="2">
                  <c:v>89.66</c:v>
                </c:pt>
                <c:pt idx="3">
                  <c:v>85.72</c:v>
                </c:pt>
                <c:pt idx="4">
                  <c:v>82.4</c:v>
                </c:pt>
                <c:pt idx="5">
                  <c:v>79.98</c:v>
                </c:pt>
                <c:pt idx="6">
                  <c:v>78.69</c:v>
                </c:pt>
                <c:pt idx="7">
                  <c:v>78.66</c:v>
                </c:pt>
                <c:pt idx="8">
                  <c:v>81.92</c:v>
                </c:pt>
                <c:pt idx="9">
                  <c:v>88.09</c:v>
                </c:pt>
                <c:pt idx="10">
                  <c:v>95.65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'11_IV_Smile_AllDays'!$L$68</c:f>
              <c:strCache>
                <c:ptCount val="1"/>
                <c:pt idx="0">
                  <c:v>5y10y Mkt</c:v>
                </c:pt>
              </c:strCache>
            </c:strRef>
          </c:tx>
          <c:spPr>
            <a:ln w="47625" cap="rnd" cmpd="sng" algn="ctr">
              <a:solidFill>
                <a:schemeClr val="accent5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'11_IV_Smile_AllDays'!$A$69:$A$79</c:f>
              <c:numCache>
                <c:formatCode>0</c:formatCode>
                <c:ptCount val="11"/>
                <c:pt idx="0" c:formatCode="0">
                  <c:v>-300</c:v>
                </c:pt>
                <c:pt idx="1" c:formatCode="0">
                  <c:v>-200</c:v>
                </c:pt>
                <c:pt idx="2" c:formatCode="0">
                  <c:v>-150</c:v>
                </c:pt>
                <c:pt idx="3" c:formatCode="0">
                  <c:v>-100</c:v>
                </c:pt>
                <c:pt idx="4" c:formatCode="0">
                  <c:v>-50</c:v>
                </c:pt>
                <c:pt idx="5" c:formatCode="0">
                  <c:v>0</c:v>
                </c:pt>
                <c:pt idx="6" c:formatCode="0">
                  <c:v>50</c:v>
                </c:pt>
                <c:pt idx="7" c:formatCode="0">
                  <c:v>100</c:v>
                </c:pt>
                <c:pt idx="8" c:formatCode="0">
                  <c:v>200</c:v>
                </c:pt>
                <c:pt idx="9" c:formatCode="0">
                  <c:v>300</c:v>
                </c:pt>
                <c:pt idx="10" c:formatCode="0">
                  <c:v>400</c:v>
                </c:pt>
              </c:numCache>
            </c:numRef>
          </c:cat>
          <c:val>
            <c:numRef>
              <c:f>'11_IV_Smile_AllDays'!$L$69:$L$79</c:f>
              <c:numCache>
                <c:formatCode>0.00</c:formatCode>
                <c:ptCount val="11"/>
                <c:pt idx="0">
                  <c:v>109.46</c:v>
                </c:pt>
                <c:pt idx="1">
                  <c:v>101.39</c:v>
                </c:pt>
                <c:pt idx="2">
                  <c:v>97.8</c:v>
                </c:pt>
                <c:pt idx="3">
                  <c:v>94.61</c:v>
                </c:pt>
                <c:pt idx="4">
                  <c:v>91.97</c:v>
                </c:pt>
                <c:pt idx="5">
                  <c:v>89.99</c:v>
                </c:pt>
                <c:pt idx="6">
                  <c:v>88.88</c:v>
                </c:pt>
                <c:pt idx="7">
                  <c:v>88.64</c:v>
                </c:pt>
                <c:pt idx="8">
                  <c:v>90.74</c:v>
                </c:pt>
                <c:pt idx="9">
                  <c:v>95.53</c:v>
                </c:pt>
                <c:pt idx="10">
                  <c:v>101.83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'11_IV_Smile_AllDays'!$M$68</c:f>
              <c:strCache>
                <c:ptCount val="1"/>
                <c:pt idx="0">
                  <c:v>5y10y Mdl</c:v>
                </c:pt>
              </c:strCache>
            </c:strRef>
          </c:tx>
          <c:spPr>
            <a:ln w="47625" cap="rnd" cmpd="sng" algn="ctr">
              <a:solidFill>
                <a:schemeClr val="accent6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'11_IV_Smile_AllDays'!$A$69:$A$79</c:f>
              <c:numCache>
                <c:formatCode>0</c:formatCode>
                <c:ptCount val="11"/>
                <c:pt idx="0" c:formatCode="0">
                  <c:v>-300</c:v>
                </c:pt>
                <c:pt idx="1" c:formatCode="0">
                  <c:v>-200</c:v>
                </c:pt>
                <c:pt idx="2" c:formatCode="0">
                  <c:v>-150</c:v>
                </c:pt>
                <c:pt idx="3" c:formatCode="0">
                  <c:v>-100</c:v>
                </c:pt>
                <c:pt idx="4" c:formatCode="0">
                  <c:v>-50</c:v>
                </c:pt>
                <c:pt idx="5" c:formatCode="0">
                  <c:v>0</c:v>
                </c:pt>
                <c:pt idx="6" c:formatCode="0">
                  <c:v>50</c:v>
                </c:pt>
                <c:pt idx="7" c:formatCode="0">
                  <c:v>100</c:v>
                </c:pt>
                <c:pt idx="8" c:formatCode="0">
                  <c:v>200</c:v>
                </c:pt>
                <c:pt idx="9" c:formatCode="0">
                  <c:v>300</c:v>
                </c:pt>
                <c:pt idx="10" c:formatCode="0">
                  <c:v>400</c:v>
                </c:pt>
              </c:numCache>
            </c:numRef>
          </c:cat>
          <c:val>
            <c:numRef>
              <c:f>'11_IV_Smile_AllDays'!$M$69:$M$79</c:f>
              <c:numCache>
                <c:formatCode>0.00</c:formatCode>
                <c:ptCount val="11"/>
                <c:pt idx="0">
                  <c:v>109.45</c:v>
                </c:pt>
                <c:pt idx="1">
                  <c:v>101.43</c:v>
                </c:pt>
                <c:pt idx="2">
                  <c:v>97.82</c:v>
                </c:pt>
                <c:pt idx="3">
                  <c:v>94.61</c:v>
                </c:pt>
                <c:pt idx="4">
                  <c:v>91.95</c:v>
                </c:pt>
                <c:pt idx="5">
                  <c:v>89.99</c:v>
                </c:pt>
                <c:pt idx="6">
                  <c:v>88.88</c:v>
                </c:pt>
                <c:pt idx="7">
                  <c:v>88.67</c:v>
                </c:pt>
                <c:pt idx="8">
                  <c:v>90.8</c:v>
                </c:pt>
                <c:pt idx="9">
                  <c:v>95.51</c:v>
                </c:pt>
                <c:pt idx="10">
                  <c:v>101.74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Strike Offset (bps)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Normal Vol (bps)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f5a874d-bca9-4433-ba20-78f5a6ce9981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IV Smile Day 1 — 10y1y, 10y5y, 10y10y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261805332476711"/>
          <c:y val="0.172972972972973"/>
          <c:w val="0.73578541599743"/>
          <c:h val="0.768597168597169"/>
        </c:manualLayout>
      </c:layout>
      <c:lineChart>
        <c:grouping val="standard"/>
        <c:varyColors val="0"/>
        <c:ser>
          <c:idx val="0"/>
          <c:order val="0"/>
          <c:tx>
            <c:strRef>
              <c:f>'11_IV_Smile_AllDays'!$N$68</c:f>
              <c:strCache>
                <c:ptCount val="1"/>
                <c:pt idx="0">
                  <c:v>10y1y Mkt</c:v>
                </c:pt>
              </c:strCache>
            </c:strRef>
          </c:tx>
          <c:spPr>
            <a:ln w="47625" cap="rnd" cmpd="sng" algn="ctr">
              <a:solidFill>
                <a:schemeClr val="accent1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'11_IV_Smile_AllDays'!$A$69:$A$79</c:f>
              <c:numCache>
                <c:formatCode>0</c:formatCode>
                <c:ptCount val="11"/>
                <c:pt idx="0" c:formatCode="0">
                  <c:v>-300</c:v>
                </c:pt>
                <c:pt idx="1" c:formatCode="0">
                  <c:v>-200</c:v>
                </c:pt>
                <c:pt idx="2" c:formatCode="0">
                  <c:v>-150</c:v>
                </c:pt>
                <c:pt idx="3" c:formatCode="0">
                  <c:v>-100</c:v>
                </c:pt>
                <c:pt idx="4" c:formatCode="0">
                  <c:v>-50</c:v>
                </c:pt>
                <c:pt idx="5" c:formatCode="0">
                  <c:v>0</c:v>
                </c:pt>
                <c:pt idx="6" c:formatCode="0">
                  <c:v>50</c:v>
                </c:pt>
                <c:pt idx="7" c:formatCode="0">
                  <c:v>100</c:v>
                </c:pt>
                <c:pt idx="8" c:formatCode="0">
                  <c:v>200</c:v>
                </c:pt>
                <c:pt idx="9" c:formatCode="0">
                  <c:v>300</c:v>
                </c:pt>
                <c:pt idx="10" c:formatCode="0">
                  <c:v>400</c:v>
                </c:pt>
              </c:numCache>
            </c:numRef>
          </c:cat>
          <c:val>
            <c:numRef>
              <c:f>'11_IV_Smile_AllDays'!$N$69:$N$79</c:f>
              <c:numCache>
                <c:formatCode>0.00</c:formatCode>
                <c:ptCount val="11"/>
                <c:pt idx="0">
                  <c:v>87.78</c:v>
                </c:pt>
                <c:pt idx="1">
                  <c:v>76.97</c:v>
                </c:pt>
                <c:pt idx="2">
                  <c:v>71.73</c:v>
                </c:pt>
                <c:pt idx="3">
                  <c:v>66.87</c:v>
                </c:pt>
                <c:pt idx="4">
                  <c:v>62.79</c:v>
                </c:pt>
                <c:pt idx="5">
                  <c:v>60.01</c:v>
                </c:pt>
                <c:pt idx="6">
                  <c:v>59.09</c:v>
                </c:pt>
                <c:pt idx="7">
                  <c:v>60.22</c:v>
                </c:pt>
                <c:pt idx="8">
                  <c:v>66.43</c:v>
                </c:pt>
                <c:pt idx="9">
                  <c:v>75.23</c:v>
                </c:pt>
                <c:pt idx="10">
                  <c:v>84.57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'11_IV_Smile_AllDays'!$O$68</c:f>
              <c:strCache>
                <c:ptCount val="1"/>
                <c:pt idx="0">
                  <c:v>10y1y Mdl</c:v>
                </c:pt>
              </c:strCache>
            </c:strRef>
          </c:tx>
          <c:spPr>
            <a:ln w="47625" cap="rnd" cmpd="sng" algn="ctr">
              <a:solidFill>
                <a:schemeClr val="accent2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'11_IV_Smile_AllDays'!$A$69:$A$79</c:f>
              <c:numCache>
                <c:formatCode>0</c:formatCode>
                <c:ptCount val="11"/>
                <c:pt idx="0" c:formatCode="0">
                  <c:v>-300</c:v>
                </c:pt>
                <c:pt idx="1" c:formatCode="0">
                  <c:v>-200</c:v>
                </c:pt>
                <c:pt idx="2" c:formatCode="0">
                  <c:v>-150</c:v>
                </c:pt>
                <c:pt idx="3" c:formatCode="0">
                  <c:v>-100</c:v>
                </c:pt>
                <c:pt idx="4" c:formatCode="0">
                  <c:v>-50</c:v>
                </c:pt>
                <c:pt idx="5" c:formatCode="0">
                  <c:v>0</c:v>
                </c:pt>
                <c:pt idx="6" c:formatCode="0">
                  <c:v>50</c:v>
                </c:pt>
                <c:pt idx="7" c:formatCode="0">
                  <c:v>100</c:v>
                </c:pt>
                <c:pt idx="8" c:formatCode="0">
                  <c:v>200</c:v>
                </c:pt>
                <c:pt idx="9" c:formatCode="0">
                  <c:v>300</c:v>
                </c:pt>
                <c:pt idx="10" c:formatCode="0">
                  <c:v>400</c:v>
                </c:pt>
              </c:numCache>
            </c:numRef>
          </c:cat>
          <c:val>
            <c:numRef>
              <c:f>'11_IV_Smile_AllDays'!$O$69:$O$79</c:f>
              <c:numCache>
                <c:formatCode>0.00</c:formatCode>
                <c:ptCount val="11"/>
                <c:pt idx="0">
                  <c:v>87.79</c:v>
                </c:pt>
                <c:pt idx="1">
                  <c:v>76.95</c:v>
                </c:pt>
                <c:pt idx="2">
                  <c:v>71.73</c:v>
                </c:pt>
                <c:pt idx="3">
                  <c:v>66.89</c:v>
                </c:pt>
                <c:pt idx="4">
                  <c:v>62.8</c:v>
                </c:pt>
                <c:pt idx="5">
                  <c:v>60.01</c:v>
                </c:pt>
                <c:pt idx="6">
                  <c:v>59.1</c:v>
                </c:pt>
                <c:pt idx="7">
                  <c:v>60.2</c:v>
                </c:pt>
                <c:pt idx="8">
                  <c:v>66.5</c:v>
                </c:pt>
                <c:pt idx="9">
                  <c:v>75.19</c:v>
                </c:pt>
                <c:pt idx="10">
                  <c:v>84.55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'11_IV_Smile_AllDays'!$P$68</c:f>
              <c:strCache>
                <c:ptCount val="1"/>
                <c:pt idx="0">
                  <c:v>10y5y Mkt</c:v>
                </c:pt>
              </c:strCache>
            </c:strRef>
          </c:tx>
          <c:spPr>
            <a:ln w="47625" cap="rnd" cmpd="sng" algn="ctr">
              <a:solidFill>
                <a:schemeClr val="accent3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'11_IV_Smile_AllDays'!$A$69:$A$79</c:f>
              <c:numCache>
                <c:formatCode>0</c:formatCode>
                <c:ptCount val="11"/>
                <c:pt idx="0" c:formatCode="0">
                  <c:v>-300</c:v>
                </c:pt>
                <c:pt idx="1" c:formatCode="0">
                  <c:v>-200</c:v>
                </c:pt>
                <c:pt idx="2" c:formatCode="0">
                  <c:v>-150</c:v>
                </c:pt>
                <c:pt idx="3" c:formatCode="0">
                  <c:v>-100</c:v>
                </c:pt>
                <c:pt idx="4" c:formatCode="0">
                  <c:v>-50</c:v>
                </c:pt>
                <c:pt idx="5" c:formatCode="0">
                  <c:v>0</c:v>
                </c:pt>
                <c:pt idx="6" c:formatCode="0">
                  <c:v>50</c:v>
                </c:pt>
                <c:pt idx="7" c:formatCode="0">
                  <c:v>100</c:v>
                </c:pt>
                <c:pt idx="8" c:formatCode="0">
                  <c:v>200</c:v>
                </c:pt>
                <c:pt idx="9" c:formatCode="0">
                  <c:v>300</c:v>
                </c:pt>
                <c:pt idx="10" c:formatCode="0">
                  <c:v>400</c:v>
                </c:pt>
              </c:numCache>
            </c:numRef>
          </c:cat>
          <c:val>
            <c:numRef>
              <c:f>'11_IV_Smile_AllDays'!$P$69:$P$79</c:f>
              <c:numCache>
                <c:formatCode>0.00</c:formatCode>
                <c:ptCount val="11"/>
                <c:pt idx="0">
                  <c:v>98.5</c:v>
                </c:pt>
                <c:pt idx="1">
                  <c:v>90.03</c:v>
                </c:pt>
                <c:pt idx="2">
                  <c:v>86.13</c:v>
                </c:pt>
                <c:pt idx="3">
                  <c:v>82.73</c:v>
                </c:pt>
                <c:pt idx="4">
                  <c:v>79.95</c:v>
                </c:pt>
                <c:pt idx="5">
                  <c:v>78.01</c:v>
                </c:pt>
                <c:pt idx="6">
                  <c:v>77.09</c:v>
                </c:pt>
                <c:pt idx="7">
                  <c:v>77.29</c:v>
                </c:pt>
                <c:pt idx="8">
                  <c:v>80.62</c:v>
                </c:pt>
                <c:pt idx="9">
                  <c:v>86.54</c:v>
                </c:pt>
                <c:pt idx="10">
                  <c:v>93.67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'11_IV_Smile_AllDays'!$Q$68</c:f>
              <c:strCache>
                <c:ptCount val="1"/>
                <c:pt idx="0">
                  <c:v>10y5y Mdl</c:v>
                </c:pt>
              </c:strCache>
            </c:strRef>
          </c:tx>
          <c:spPr>
            <a:ln w="47625" cap="rnd" cmpd="sng" algn="ctr">
              <a:solidFill>
                <a:schemeClr val="accent4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'11_IV_Smile_AllDays'!$A$69:$A$79</c:f>
              <c:numCache>
                <c:formatCode>0</c:formatCode>
                <c:ptCount val="11"/>
                <c:pt idx="0" c:formatCode="0">
                  <c:v>-300</c:v>
                </c:pt>
                <c:pt idx="1" c:formatCode="0">
                  <c:v>-200</c:v>
                </c:pt>
                <c:pt idx="2" c:formatCode="0">
                  <c:v>-150</c:v>
                </c:pt>
                <c:pt idx="3" c:formatCode="0">
                  <c:v>-100</c:v>
                </c:pt>
                <c:pt idx="4" c:formatCode="0">
                  <c:v>-50</c:v>
                </c:pt>
                <c:pt idx="5" c:formatCode="0">
                  <c:v>0</c:v>
                </c:pt>
                <c:pt idx="6" c:formatCode="0">
                  <c:v>50</c:v>
                </c:pt>
                <c:pt idx="7" c:formatCode="0">
                  <c:v>100</c:v>
                </c:pt>
                <c:pt idx="8" c:formatCode="0">
                  <c:v>200</c:v>
                </c:pt>
                <c:pt idx="9" c:formatCode="0">
                  <c:v>300</c:v>
                </c:pt>
                <c:pt idx="10" c:formatCode="0">
                  <c:v>400</c:v>
                </c:pt>
              </c:numCache>
            </c:numRef>
          </c:cat>
          <c:val>
            <c:numRef>
              <c:f>'11_IV_Smile_AllDays'!$Q$69:$Q$79</c:f>
              <c:numCache>
                <c:formatCode>0.00</c:formatCode>
                <c:ptCount val="11"/>
                <c:pt idx="0">
                  <c:v>98.49</c:v>
                </c:pt>
                <c:pt idx="1">
                  <c:v>90.02</c:v>
                </c:pt>
                <c:pt idx="2">
                  <c:v>86.16</c:v>
                </c:pt>
                <c:pt idx="3">
                  <c:v>82.74</c:v>
                </c:pt>
                <c:pt idx="4">
                  <c:v>79.95</c:v>
                </c:pt>
                <c:pt idx="5">
                  <c:v>78.01</c:v>
                </c:pt>
                <c:pt idx="6">
                  <c:v>77.11</c:v>
                </c:pt>
                <c:pt idx="7">
                  <c:v>77.32</c:v>
                </c:pt>
                <c:pt idx="8">
                  <c:v>80.64</c:v>
                </c:pt>
                <c:pt idx="9">
                  <c:v>86.52</c:v>
                </c:pt>
                <c:pt idx="10">
                  <c:v>93.66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'11_IV_Smile_AllDays'!$R$68</c:f>
              <c:strCache>
                <c:ptCount val="1"/>
                <c:pt idx="0">
                  <c:v>10y10y Mkt</c:v>
                </c:pt>
              </c:strCache>
            </c:strRef>
          </c:tx>
          <c:spPr>
            <a:ln w="47625" cap="rnd" cmpd="sng" algn="ctr">
              <a:solidFill>
                <a:schemeClr val="accent5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'11_IV_Smile_AllDays'!$A$69:$A$79</c:f>
              <c:numCache>
                <c:formatCode>0</c:formatCode>
                <c:ptCount val="11"/>
                <c:pt idx="0" c:formatCode="0">
                  <c:v>-300</c:v>
                </c:pt>
                <c:pt idx="1" c:formatCode="0">
                  <c:v>-200</c:v>
                </c:pt>
                <c:pt idx="2" c:formatCode="0">
                  <c:v>-150</c:v>
                </c:pt>
                <c:pt idx="3" c:formatCode="0">
                  <c:v>-100</c:v>
                </c:pt>
                <c:pt idx="4" c:formatCode="0">
                  <c:v>-50</c:v>
                </c:pt>
                <c:pt idx="5" c:formatCode="0">
                  <c:v>0</c:v>
                </c:pt>
                <c:pt idx="6" c:formatCode="0">
                  <c:v>50</c:v>
                </c:pt>
                <c:pt idx="7" c:formatCode="0">
                  <c:v>100</c:v>
                </c:pt>
                <c:pt idx="8" c:formatCode="0">
                  <c:v>200</c:v>
                </c:pt>
                <c:pt idx="9" c:formatCode="0">
                  <c:v>300</c:v>
                </c:pt>
                <c:pt idx="10" c:formatCode="0">
                  <c:v>400</c:v>
                </c:pt>
              </c:numCache>
            </c:numRef>
          </c:cat>
          <c:val>
            <c:numRef>
              <c:f>'11_IV_Smile_AllDays'!$R$69:$R$79</c:f>
              <c:numCache>
                <c:formatCode>0.00</c:formatCode>
                <c:ptCount val="11"/>
                <c:pt idx="0">
                  <c:v>104.96</c:v>
                </c:pt>
                <c:pt idx="1">
                  <c:v>97.71</c:v>
                </c:pt>
                <c:pt idx="2">
                  <c:v>94.49</c:v>
                </c:pt>
                <c:pt idx="3">
                  <c:v>91.73</c:v>
                </c:pt>
                <c:pt idx="4">
                  <c:v>89.49</c:v>
                </c:pt>
                <c:pt idx="5">
                  <c:v>88</c:v>
                </c:pt>
                <c:pt idx="6">
                  <c:v>87.29</c:v>
                </c:pt>
                <c:pt idx="7">
                  <c:v>87.42</c:v>
                </c:pt>
                <c:pt idx="8">
                  <c:v>90.04</c:v>
                </c:pt>
                <c:pt idx="9">
                  <c:v>94.9</c:v>
                </c:pt>
                <c:pt idx="10">
                  <c:v>101.09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'11_IV_Smile_AllDays'!$S$68</c:f>
              <c:strCache>
                <c:ptCount val="1"/>
                <c:pt idx="0">
                  <c:v>10y10y Mdl</c:v>
                </c:pt>
              </c:strCache>
            </c:strRef>
          </c:tx>
          <c:spPr>
            <a:ln w="47625" cap="rnd" cmpd="sng" algn="ctr">
              <a:solidFill>
                <a:schemeClr val="accent6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'11_IV_Smile_AllDays'!$A$69:$A$79</c:f>
              <c:numCache>
                <c:formatCode>0</c:formatCode>
                <c:ptCount val="11"/>
                <c:pt idx="0" c:formatCode="0">
                  <c:v>-300</c:v>
                </c:pt>
                <c:pt idx="1" c:formatCode="0">
                  <c:v>-200</c:v>
                </c:pt>
                <c:pt idx="2" c:formatCode="0">
                  <c:v>-150</c:v>
                </c:pt>
                <c:pt idx="3" c:formatCode="0">
                  <c:v>-100</c:v>
                </c:pt>
                <c:pt idx="4" c:formatCode="0">
                  <c:v>-50</c:v>
                </c:pt>
                <c:pt idx="5" c:formatCode="0">
                  <c:v>0</c:v>
                </c:pt>
                <c:pt idx="6" c:formatCode="0">
                  <c:v>50</c:v>
                </c:pt>
                <c:pt idx="7" c:formatCode="0">
                  <c:v>100</c:v>
                </c:pt>
                <c:pt idx="8" c:formatCode="0">
                  <c:v>200</c:v>
                </c:pt>
                <c:pt idx="9" c:formatCode="0">
                  <c:v>300</c:v>
                </c:pt>
                <c:pt idx="10" c:formatCode="0">
                  <c:v>400</c:v>
                </c:pt>
              </c:numCache>
            </c:numRef>
          </c:cat>
          <c:val>
            <c:numRef>
              <c:f>'11_IV_Smile_AllDays'!$S$69:$S$79</c:f>
              <c:numCache>
                <c:formatCode>0.00</c:formatCode>
                <c:ptCount val="11"/>
                <c:pt idx="0">
                  <c:v>104.97</c:v>
                </c:pt>
                <c:pt idx="1">
                  <c:v>97.7</c:v>
                </c:pt>
                <c:pt idx="2">
                  <c:v>94.49</c:v>
                </c:pt>
                <c:pt idx="3">
                  <c:v>91.71</c:v>
                </c:pt>
                <c:pt idx="4">
                  <c:v>89.5</c:v>
                </c:pt>
                <c:pt idx="5">
                  <c:v>88</c:v>
                </c:pt>
                <c:pt idx="6">
                  <c:v>87.3</c:v>
                </c:pt>
                <c:pt idx="7">
                  <c:v>87.44</c:v>
                </c:pt>
                <c:pt idx="8">
                  <c:v>90.03</c:v>
                </c:pt>
                <c:pt idx="9">
                  <c:v>94.89</c:v>
                </c:pt>
                <c:pt idx="10">
                  <c:v>101.09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Strike Offset (bps)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in val="5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Normal Vol (bps)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2a928f-1b7a-4781-b4dd-a496e151a485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24</xdr:col>
      <xdr:colOff>276225</xdr:colOff>
      <xdr:row>3</xdr:row>
      <xdr:rowOff>51435</xdr:rowOff>
    </xdr:from>
    <xdr:ext cx="7920000" cy="5228640"/>
    <xdr:graphicFrame>
      <xdr:nvGraphicFramePr>
        <xdr:cNvPr id="2" name="Chart 1"/>
        <xdr:cNvGraphicFramePr/>
      </xdr:nvGraphicFramePr>
      <xdr:xfrm>
        <a:off x="17715865" y="859155"/>
        <a:ext cx="7919720" cy="5228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24</xdr:col>
      <xdr:colOff>350520</xdr:colOff>
      <xdr:row>27</xdr:row>
      <xdr:rowOff>74295</xdr:rowOff>
    </xdr:from>
    <xdr:ext cx="7920000" cy="5228640"/>
    <xdr:graphicFrame>
      <xdr:nvGraphicFramePr>
        <xdr:cNvPr id="3" name="Chart 2"/>
        <xdr:cNvGraphicFramePr/>
      </xdr:nvGraphicFramePr>
      <xdr:xfrm>
        <a:off x="17790160" y="6002655"/>
        <a:ext cx="7919720" cy="5228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19</xdr:col>
      <xdr:colOff>732155</xdr:colOff>
      <xdr:row>66</xdr:row>
      <xdr:rowOff>160020</xdr:rowOff>
    </xdr:from>
    <xdr:ext cx="7920635" cy="5228640"/>
    <xdr:graphicFrame>
      <xdr:nvGraphicFramePr>
        <xdr:cNvPr id="4" name="Chart 3"/>
        <xdr:cNvGraphicFramePr/>
      </xdr:nvGraphicFramePr>
      <xdr:xfrm>
        <a:off x="14513560" y="14409420"/>
        <a:ext cx="7920355" cy="5228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4"/>
  <sheetViews>
    <sheetView workbookViewId="0">
      <pane ySplit="2" topLeftCell="A26" activePane="bottomLeft" state="frozen"/>
      <selection/>
      <selection pane="bottomLeft" activeCell="A52" sqref="A52"/>
    </sheetView>
  </sheetViews>
  <sheetFormatPr defaultColWidth="9" defaultRowHeight="16.8" outlineLevelCol="1"/>
  <cols>
    <col min="1" max="1" width="34" customWidth="1"/>
    <col min="2" max="2" width="74" customWidth="1"/>
  </cols>
  <sheetData>
    <row r="1" ht="17.6" spans="1:2">
      <c r="A1" s="55" t="s">
        <v>0</v>
      </c>
      <c r="B1" s="3"/>
    </row>
    <row r="3" ht="15" customHeight="1" spans="1:2">
      <c r="A3" s="6" t="s">
        <v>1</v>
      </c>
      <c r="B3" s="3"/>
    </row>
    <row r="4" ht="15" customHeight="1" spans="1:2">
      <c r="A4" s="56" t="s">
        <v>2</v>
      </c>
      <c r="B4" s="18" t="s">
        <v>3</v>
      </c>
    </row>
    <row r="5" ht="15" customHeight="1" spans="1:2">
      <c r="A5" s="56" t="s">
        <v>4</v>
      </c>
      <c r="B5" s="18" t="s">
        <v>5</v>
      </c>
    </row>
    <row r="6" ht="15" customHeight="1" spans="1:2">
      <c r="A6" s="56" t="s">
        <v>6</v>
      </c>
      <c r="B6" s="18" t="s">
        <v>7</v>
      </c>
    </row>
    <row r="7" ht="15" customHeight="1" spans="1:2">
      <c r="A7" s="56" t="s">
        <v>8</v>
      </c>
      <c r="B7" s="18" t="s">
        <v>9</v>
      </c>
    </row>
    <row r="8" ht="15" customHeight="1" spans="1:2">
      <c r="A8" s="4" t="s">
        <v>10</v>
      </c>
      <c r="B8" s="3"/>
    </row>
    <row r="9" ht="15" customHeight="1" spans="1:2">
      <c r="A9" s="56" t="s">
        <v>11</v>
      </c>
      <c r="B9" s="18" t="s">
        <v>12</v>
      </c>
    </row>
    <row r="10" ht="15" customHeight="1" spans="1:2">
      <c r="A10" s="56" t="s">
        <v>13</v>
      </c>
      <c r="B10" s="18" t="s">
        <v>14</v>
      </c>
    </row>
    <row r="11" ht="15" customHeight="1" spans="1:2">
      <c r="A11" s="56" t="s">
        <v>15</v>
      </c>
      <c r="B11" s="18" t="s">
        <v>16</v>
      </c>
    </row>
    <row r="12" ht="15" customHeight="1" spans="1:2">
      <c r="A12" s="56" t="s">
        <v>17</v>
      </c>
      <c r="B12" s="18" t="s">
        <v>18</v>
      </c>
    </row>
    <row r="13" ht="15" customHeight="1" spans="1:2">
      <c r="A13" s="56" t="s">
        <v>19</v>
      </c>
      <c r="B13" s="18" t="s">
        <v>20</v>
      </c>
    </row>
    <row r="14" ht="15" customHeight="1" spans="1:2">
      <c r="A14" s="5" t="s">
        <v>21</v>
      </c>
      <c r="B14" s="3"/>
    </row>
    <row r="15" ht="15" customHeight="1" spans="1:2">
      <c r="A15" s="56" t="s">
        <v>22</v>
      </c>
      <c r="B15" s="18" t="s">
        <v>23</v>
      </c>
    </row>
    <row r="16" ht="15" customHeight="1" spans="1:2">
      <c r="A16" s="56" t="s">
        <v>24</v>
      </c>
      <c r="B16" s="18" t="s">
        <v>25</v>
      </c>
    </row>
    <row r="17" ht="15" customHeight="1" spans="1:2">
      <c r="A17" s="56" t="s">
        <v>26</v>
      </c>
      <c r="B17" s="18" t="s">
        <v>27</v>
      </c>
    </row>
    <row r="18" ht="15" customHeight="1" spans="1:2">
      <c r="A18" s="56" t="s">
        <v>28</v>
      </c>
      <c r="B18" s="18" t="s">
        <v>29</v>
      </c>
    </row>
    <row r="19" ht="15" customHeight="1" spans="1:2">
      <c r="A19" s="5" t="s">
        <v>30</v>
      </c>
      <c r="B19" s="3"/>
    </row>
    <row r="20" ht="15" customHeight="1" spans="1:2">
      <c r="A20" s="56" t="s">
        <v>31</v>
      </c>
      <c r="B20" s="18" t="s">
        <v>32</v>
      </c>
    </row>
    <row r="21" ht="15" customHeight="1" spans="1:2">
      <c r="A21" s="57" t="s">
        <v>33</v>
      </c>
      <c r="B21" s="16" t="s">
        <v>34</v>
      </c>
    </row>
    <row r="22" ht="15" customHeight="1" spans="1:2">
      <c r="A22" s="56" t="s">
        <v>35</v>
      </c>
      <c r="B22" s="18" t="s">
        <v>36</v>
      </c>
    </row>
    <row r="23" ht="15" customHeight="1" spans="1:2">
      <c r="A23" s="4" t="s">
        <v>37</v>
      </c>
      <c r="B23" s="3"/>
    </row>
    <row r="24" ht="15" customHeight="1" spans="1:2">
      <c r="A24" s="56" t="s">
        <v>38</v>
      </c>
      <c r="B24" s="18" t="s">
        <v>39</v>
      </c>
    </row>
    <row r="25" ht="15" customHeight="1" spans="1:2">
      <c r="A25" s="56" t="s">
        <v>40</v>
      </c>
      <c r="B25" s="18" t="s">
        <v>41</v>
      </c>
    </row>
    <row r="26" ht="15" customHeight="1" spans="1:2">
      <c r="A26" s="56" t="s">
        <v>42</v>
      </c>
      <c r="B26" s="18" t="s">
        <v>43</v>
      </c>
    </row>
    <row r="27" ht="15" customHeight="1" spans="1:2">
      <c r="A27" s="56" t="s">
        <v>44</v>
      </c>
      <c r="B27" s="18" t="s">
        <v>45</v>
      </c>
    </row>
    <row r="28" ht="15" customHeight="1" spans="1:2">
      <c r="A28" s="5" t="s">
        <v>46</v>
      </c>
      <c r="B28" s="3"/>
    </row>
    <row r="29" ht="15" customHeight="1" spans="1:2">
      <c r="A29" s="56" t="s">
        <v>47</v>
      </c>
      <c r="B29" s="18" t="s">
        <v>48</v>
      </c>
    </row>
    <row r="30" ht="15" customHeight="1" spans="1:2">
      <c r="A30" s="56" t="s">
        <v>49</v>
      </c>
      <c r="B30" s="18" t="s">
        <v>50</v>
      </c>
    </row>
    <row r="31" ht="15" customHeight="1" spans="1:2">
      <c r="A31" s="56" t="s">
        <v>51</v>
      </c>
      <c r="B31" s="18" t="s">
        <v>52</v>
      </c>
    </row>
    <row r="32" ht="15" customHeight="1" spans="1:2">
      <c r="A32" s="5" t="s">
        <v>53</v>
      </c>
      <c r="B32" s="3"/>
    </row>
    <row r="33" ht="15" customHeight="1" spans="1:2">
      <c r="A33" s="56" t="s">
        <v>54</v>
      </c>
      <c r="B33" s="18" t="s">
        <v>55</v>
      </c>
    </row>
    <row r="34" ht="15" customHeight="1" spans="1:2">
      <c r="A34" s="56" t="s">
        <v>56</v>
      </c>
      <c r="B34" s="18" t="s">
        <v>57</v>
      </c>
    </row>
    <row r="35" ht="15" customHeight="1" spans="1:2">
      <c r="A35" s="56" t="s">
        <v>58</v>
      </c>
      <c r="B35" s="18" t="s">
        <v>59</v>
      </c>
    </row>
    <row r="36" ht="15" customHeight="1" spans="1:2">
      <c r="A36" s="56" t="s">
        <v>60</v>
      </c>
      <c r="B36" s="18" t="s">
        <v>61</v>
      </c>
    </row>
    <row r="37" ht="15" customHeight="1" spans="1:2">
      <c r="A37" s="57" t="s">
        <v>62</v>
      </c>
      <c r="B37" s="16" t="s">
        <v>63</v>
      </c>
    </row>
    <row r="38" ht="15" customHeight="1" spans="1:2">
      <c r="A38" s="5" t="s">
        <v>64</v>
      </c>
      <c r="B38" s="3"/>
    </row>
    <row r="39" ht="15" customHeight="1" spans="1:2">
      <c r="A39" s="56" t="s">
        <v>65</v>
      </c>
      <c r="B39" s="18" t="s">
        <v>66</v>
      </c>
    </row>
    <row r="40" ht="15" customHeight="1" spans="1:2">
      <c r="A40" s="56" t="s">
        <v>67</v>
      </c>
      <c r="B40" s="18" t="s">
        <v>68</v>
      </c>
    </row>
    <row r="41" ht="15" customHeight="1" spans="1:2">
      <c r="A41" s="4" t="s">
        <v>69</v>
      </c>
      <c r="B41" s="3"/>
    </row>
    <row r="42" ht="15" customHeight="1" spans="1:2">
      <c r="A42" s="56" t="s">
        <v>70</v>
      </c>
      <c r="B42" s="18" t="s">
        <v>71</v>
      </c>
    </row>
    <row r="43" ht="15" customHeight="1" spans="1:2">
      <c r="A43" s="56" t="s">
        <v>72</v>
      </c>
      <c r="B43" s="18" t="s">
        <v>73</v>
      </c>
    </row>
    <row r="44" ht="15" customHeight="1" spans="1:2">
      <c r="A44" s="56" t="s">
        <v>74</v>
      </c>
      <c r="B44" s="18" t="s">
        <v>75</v>
      </c>
    </row>
  </sheetData>
  <mergeCells count="10">
    <mergeCell ref="A1:B1"/>
    <mergeCell ref="A3:B3"/>
    <mergeCell ref="A8:B8"/>
    <mergeCell ref="A14:B14"/>
    <mergeCell ref="A19:B19"/>
    <mergeCell ref="A23:B23"/>
    <mergeCell ref="A28:B28"/>
    <mergeCell ref="A32:B32"/>
    <mergeCell ref="A38:B38"/>
    <mergeCell ref="A41:B4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pane ySplit="2" topLeftCell="A3" activePane="bottomLeft" state="frozen"/>
      <selection/>
      <selection pane="bottomLeft" activeCell="B18" sqref="B18"/>
    </sheetView>
  </sheetViews>
  <sheetFormatPr defaultColWidth="9" defaultRowHeight="16.8" outlineLevelCol="2"/>
  <cols>
    <col min="1" max="1" width="45" customWidth="1"/>
    <col min="2" max="2" width="12" customWidth="1"/>
    <col min="3" max="3" width="70" customWidth="1"/>
  </cols>
  <sheetData>
    <row r="1" spans="1:3">
      <c r="A1" s="52" t="s">
        <v>76</v>
      </c>
      <c r="B1" s="2"/>
      <c r="C1" s="3"/>
    </row>
    <row r="2" spans="1:3">
      <c r="A2" s="6" t="s">
        <v>77</v>
      </c>
      <c r="B2" s="6" t="s">
        <v>78</v>
      </c>
      <c r="C2" s="6" t="s">
        <v>79</v>
      </c>
    </row>
    <row r="3" ht="20" customHeight="1" spans="1:3">
      <c r="A3" s="43" t="s">
        <v>80</v>
      </c>
      <c r="B3" s="27" t="s">
        <v>81</v>
      </c>
      <c r="C3" s="53" t="s">
        <v>82</v>
      </c>
    </row>
    <row r="4" ht="20" customHeight="1" spans="1:3">
      <c r="A4" s="39" t="s">
        <v>83</v>
      </c>
      <c r="B4" s="38" t="s">
        <v>84</v>
      </c>
      <c r="C4" s="54" t="s">
        <v>85</v>
      </c>
    </row>
    <row r="5" ht="20" customHeight="1" spans="1:3">
      <c r="A5" s="43" t="s">
        <v>86</v>
      </c>
      <c r="B5" s="38" t="s">
        <v>84</v>
      </c>
      <c r="C5" s="42" t="s">
        <v>85</v>
      </c>
    </row>
    <row r="6" ht="20" customHeight="1" spans="1:3">
      <c r="A6" s="39" t="s">
        <v>87</v>
      </c>
      <c r="B6" s="38" t="s">
        <v>84</v>
      </c>
      <c r="C6" s="54" t="s">
        <v>85</v>
      </c>
    </row>
    <row r="7" ht="20" customHeight="1" spans="1:3">
      <c r="A7" s="43" t="s">
        <v>88</v>
      </c>
      <c r="B7" s="38" t="s">
        <v>84</v>
      </c>
      <c r="C7" s="42" t="s">
        <v>85</v>
      </c>
    </row>
    <row r="8" ht="20" customHeight="1" spans="1:3">
      <c r="A8" s="39" t="s">
        <v>89</v>
      </c>
      <c r="B8" s="38" t="s">
        <v>84</v>
      </c>
      <c r="C8" s="54" t="s">
        <v>85</v>
      </c>
    </row>
    <row r="9" ht="20" customHeight="1" spans="1:3">
      <c r="A9" s="43" t="s">
        <v>90</v>
      </c>
      <c r="B9" s="38" t="s">
        <v>84</v>
      </c>
      <c r="C9" s="42" t="s">
        <v>85</v>
      </c>
    </row>
    <row r="11" spans="1:3">
      <c r="A11" s="30" t="s">
        <v>91</v>
      </c>
      <c r="B11" s="2"/>
      <c r="C11" s="3"/>
    </row>
  </sheetData>
  <mergeCells count="2">
    <mergeCell ref="A1:C1"/>
    <mergeCell ref="A11:C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"/>
  <sheetViews>
    <sheetView workbookViewId="0">
      <pane ySplit="1" topLeftCell="A2" activePane="bottomLeft" state="frozen"/>
      <selection/>
      <selection pane="bottomLeft" activeCell="A1" sqref="A1:L1"/>
    </sheetView>
  </sheetViews>
  <sheetFormatPr defaultColWidth="9" defaultRowHeight="16.8"/>
  <cols>
    <col min="1" max="12" width="9" customWidth="1"/>
    <col min="14" max="14" width="10" customWidth="1"/>
    <col min="15" max="15" width="40" customWidth="1"/>
  </cols>
  <sheetData>
    <row r="1" ht="28" customHeight="1" spans="1:15">
      <c r="A1" s="37" t="s">
        <v>92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5">
      <c r="A2" s="4" t="s">
        <v>93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N2" s="6" t="s">
        <v>94</v>
      </c>
      <c r="O2" s="3"/>
    </row>
    <row r="3" ht="50" customHeight="1" spans="1:15">
      <c r="A3" s="6" t="s">
        <v>95</v>
      </c>
      <c r="B3" s="6" t="s">
        <v>96</v>
      </c>
      <c r="C3" s="6" t="s">
        <v>97</v>
      </c>
      <c r="D3" s="6" t="s">
        <v>98</v>
      </c>
      <c r="E3" s="6" t="s">
        <v>99</v>
      </c>
      <c r="F3" s="6" t="s">
        <v>100</v>
      </c>
      <c r="G3" s="6" t="s">
        <v>47</v>
      </c>
      <c r="H3" s="6" t="s">
        <v>101</v>
      </c>
      <c r="I3" s="6" t="s">
        <v>102</v>
      </c>
      <c r="J3" s="6" t="s">
        <v>103</v>
      </c>
      <c r="K3" s="6" t="s">
        <v>104</v>
      </c>
      <c r="L3" s="6" t="s">
        <v>105</v>
      </c>
      <c r="N3" s="17" t="s">
        <v>106</v>
      </c>
      <c r="O3" s="18" t="s">
        <v>107</v>
      </c>
    </row>
    <row r="4" ht="50" customHeight="1" spans="1:15">
      <c r="A4" s="7" t="s">
        <v>108</v>
      </c>
      <c r="B4" s="19">
        <v>2.4e-6</v>
      </c>
      <c r="C4" s="19">
        <v>1.66e-5</v>
      </c>
      <c r="D4" s="19">
        <v>6.27e-5</v>
      </c>
      <c r="E4" s="19">
        <v>0.000229</v>
      </c>
      <c r="F4" s="19">
        <v>0.0007911</v>
      </c>
      <c r="G4" s="20">
        <v>0.0047868</v>
      </c>
      <c r="H4" s="19">
        <v>0.0006287</v>
      </c>
      <c r="I4" s="19">
        <v>0.0001054</v>
      </c>
      <c r="J4" s="19">
        <v>1.1e-6</v>
      </c>
      <c r="K4" s="19">
        <v>7e-7</v>
      </c>
      <c r="L4" s="19">
        <v>1e-7</v>
      </c>
      <c r="N4" s="49" t="s">
        <v>109</v>
      </c>
      <c r="O4" s="18" t="s">
        <v>110</v>
      </c>
    </row>
    <row r="5" spans="1:15">
      <c r="A5" s="10" t="s">
        <v>111</v>
      </c>
      <c r="B5" s="28">
        <v>3.6e-6</v>
      </c>
      <c r="C5" s="28">
        <v>4.62e-5</v>
      </c>
      <c r="D5" s="28">
        <v>0.000141</v>
      </c>
      <c r="E5" s="28">
        <v>0.0004373</v>
      </c>
      <c r="F5" s="28">
        <v>0.0012298</v>
      </c>
      <c r="G5" s="20">
        <v>0.0059821</v>
      </c>
      <c r="H5" s="28">
        <v>0.0010763</v>
      </c>
      <c r="I5" s="28">
        <v>0.0002807</v>
      </c>
      <c r="J5" s="28">
        <v>7e-6</v>
      </c>
      <c r="K5" s="28">
        <v>3.2e-6</v>
      </c>
      <c r="L5" s="28">
        <v>1e-6</v>
      </c>
    </row>
    <row r="6" spans="1:15">
      <c r="A6" s="7" t="s">
        <v>112</v>
      </c>
      <c r="B6" s="19">
        <v>8.4e-6</v>
      </c>
      <c r="C6" s="19">
        <v>7.38e-5</v>
      </c>
      <c r="D6" s="19">
        <v>0.0002234</v>
      </c>
      <c r="E6" s="19">
        <v>0.0006179</v>
      </c>
      <c r="F6" s="19">
        <v>0.0015416</v>
      </c>
      <c r="G6" s="20">
        <v>0.0067828</v>
      </c>
      <c r="H6" s="19">
        <v>0.001409</v>
      </c>
      <c r="I6" s="19">
        <v>0.00046</v>
      </c>
      <c r="J6" s="19">
        <v>2.53e-5</v>
      </c>
      <c r="K6" s="19">
        <v>4.7e-6</v>
      </c>
      <c r="L6" s="19">
        <v>5e-7</v>
      </c>
    </row>
    <row r="7" spans="1:15">
      <c r="A7" s="10" t="s">
        <v>113</v>
      </c>
      <c r="B7" s="28">
        <v>0.0007669</v>
      </c>
      <c r="C7" s="28">
        <v>0.001371</v>
      </c>
      <c r="D7" s="28">
        <v>0.0018912</v>
      </c>
      <c r="E7" s="28">
        <v>0.0026904</v>
      </c>
      <c r="F7" s="28">
        <v>0.0039154</v>
      </c>
      <c r="G7" s="20">
        <v>0.0115942</v>
      </c>
      <c r="H7" s="28">
        <v>0.0035125</v>
      </c>
      <c r="I7" s="28">
        <v>0.0020555</v>
      </c>
      <c r="J7" s="28">
        <v>0.0007411</v>
      </c>
      <c r="K7" s="28">
        <v>0.0003135</v>
      </c>
      <c r="L7" s="28">
        <v>0.0001525</v>
      </c>
    </row>
    <row r="8" spans="1:15">
      <c r="A8" s="7" t="s">
        <v>114</v>
      </c>
      <c r="B8" s="19">
        <v>0.0010575</v>
      </c>
      <c r="C8" s="19">
        <v>0.0019204</v>
      </c>
      <c r="D8" s="19">
        <v>0.0026388</v>
      </c>
      <c r="E8" s="19">
        <v>0.0036681</v>
      </c>
      <c r="F8" s="19">
        <v>0.0051223</v>
      </c>
      <c r="G8" s="20">
        <v>0.0142695</v>
      </c>
      <c r="H8" s="19">
        <v>0.0048033</v>
      </c>
      <c r="I8" s="19">
        <v>0.003121</v>
      </c>
      <c r="J8" s="19">
        <v>0.0012753</v>
      </c>
      <c r="K8" s="19">
        <v>0.0005479</v>
      </c>
      <c r="L8" s="19">
        <v>0.0002567</v>
      </c>
    </row>
    <row r="9" spans="1:15">
      <c r="A9" s="10" t="s">
        <v>115</v>
      </c>
      <c r="B9" s="28">
        <v>0.0013024</v>
      </c>
      <c r="C9" s="28">
        <v>0.0023524</v>
      </c>
      <c r="D9" s="28">
        <v>0.0031999</v>
      </c>
      <c r="E9" s="28">
        <v>0.0043659</v>
      </c>
      <c r="F9" s="28">
        <v>0.005946</v>
      </c>
      <c r="G9" s="20">
        <v>0.0160562</v>
      </c>
      <c r="H9" s="28">
        <v>0.0056781</v>
      </c>
      <c r="I9" s="28">
        <v>0.0038927</v>
      </c>
      <c r="J9" s="28">
        <v>0.0017371</v>
      </c>
      <c r="K9" s="28">
        <v>0.0007756</v>
      </c>
      <c r="L9" s="28">
        <v>0.0003622</v>
      </c>
    </row>
    <row r="10" spans="1:15">
      <c r="A10" s="7" t="s">
        <v>116</v>
      </c>
      <c r="B10" s="19">
        <v>0.0019784</v>
      </c>
      <c r="C10" s="19">
        <v>0.0028152</v>
      </c>
      <c r="D10" s="19">
        <v>0.0034588</v>
      </c>
      <c r="E10" s="19">
        <v>0.0043621</v>
      </c>
      <c r="F10" s="19">
        <v>0.0056713</v>
      </c>
      <c r="G10" s="20">
        <v>0.0151419</v>
      </c>
      <c r="H10" s="19">
        <v>0.0052204</v>
      </c>
      <c r="I10" s="19">
        <v>0.003621</v>
      </c>
      <c r="J10" s="19">
        <v>0.0019162</v>
      </c>
      <c r="K10" s="19">
        <v>0.0011758</v>
      </c>
      <c r="L10" s="19">
        <v>0.0007914</v>
      </c>
    </row>
    <row r="11" spans="1:15">
      <c r="A11" s="10" t="s">
        <v>117</v>
      </c>
      <c r="B11" s="28">
        <v>0.0027823</v>
      </c>
      <c r="C11" s="28">
        <v>0.0040506</v>
      </c>
      <c r="D11" s="28">
        <v>0.0049731</v>
      </c>
      <c r="E11" s="28">
        <v>0.0061908</v>
      </c>
      <c r="F11" s="28">
        <v>0.0077826</v>
      </c>
      <c r="G11" s="20">
        <v>0.0196834</v>
      </c>
      <c r="H11" s="28">
        <v>0.0074291</v>
      </c>
      <c r="I11" s="28">
        <v>0.0055558</v>
      </c>
      <c r="J11" s="28">
        <v>0.0031492</v>
      </c>
      <c r="K11" s="28">
        <v>0.0018919</v>
      </c>
      <c r="L11" s="28">
        <v>0.0012106</v>
      </c>
    </row>
    <row r="12" spans="1:15">
      <c r="A12" s="7" t="s">
        <v>118</v>
      </c>
      <c r="B12" s="19">
        <v>0.0033096</v>
      </c>
      <c r="C12" s="19">
        <v>0.0048222</v>
      </c>
      <c r="D12" s="19">
        <v>0.0058919</v>
      </c>
      <c r="E12" s="19">
        <v>0.0072533</v>
      </c>
      <c r="F12" s="19">
        <v>0.0089661</v>
      </c>
      <c r="G12" s="20">
        <v>0.0222029</v>
      </c>
      <c r="H12" s="19">
        <v>0.0086927</v>
      </c>
      <c r="I12" s="19">
        <v>0.006742</v>
      </c>
      <c r="J12" s="19">
        <v>0.0040512</v>
      </c>
      <c r="K12" s="19">
        <v>0.0025019</v>
      </c>
      <c r="L12" s="19">
        <v>0.0016129</v>
      </c>
    </row>
    <row r="13" spans="1:15">
      <c r="A13" s="12" t="s">
        <v>119</v>
      </c>
      <c r="B13" s="12" t="s">
        <v>119</v>
      </c>
      <c r="C13" s="12" t="s">
        <v>119</v>
      </c>
      <c r="D13" s="12" t="s">
        <v>119</v>
      </c>
      <c r="E13" s="12" t="s">
        <v>119</v>
      </c>
      <c r="F13" s="12" t="s">
        <v>119</v>
      </c>
      <c r="G13" s="12" t="s">
        <v>119</v>
      </c>
      <c r="H13" s="12" t="s">
        <v>119</v>
      </c>
      <c r="I13" s="12" t="s">
        <v>119</v>
      </c>
      <c r="J13" s="12" t="s">
        <v>119</v>
      </c>
      <c r="K13" s="12" t="s">
        <v>119</v>
      </c>
      <c r="L13" s="12" t="s">
        <v>119</v>
      </c>
      <c r="M13" s="12" t="s">
        <v>119</v>
      </c>
      <c r="N13" s="12" t="s">
        <v>119</v>
      </c>
    </row>
    <row r="14" spans="1:15">
      <c r="A14" s="4" t="s">
        <v>120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</row>
    <row r="15" spans="1:15">
      <c r="A15" s="6" t="s">
        <v>95</v>
      </c>
      <c r="B15" s="6" t="s">
        <v>96</v>
      </c>
      <c r="C15" s="6" t="s">
        <v>97</v>
      </c>
      <c r="D15" s="6" t="s">
        <v>98</v>
      </c>
      <c r="E15" s="6" t="s">
        <v>99</v>
      </c>
      <c r="F15" s="6" t="s">
        <v>100</v>
      </c>
      <c r="G15" s="6" t="s">
        <v>47</v>
      </c>
      <c r="H15" s="6" t="s">
        <v>101</v>
      </c>
      <c r="I15" s="6" t="s">
        <v>102</v>
      </c>
      <c r="J15" s="6" t="s">
        <v>103</v>
      </c>
      <c r="K15" s="6" t="s">
        <v>104</v>
      </c>
      <c r="L15" s="6" t="s">
        <v>105</v>
      </c>
    </row>
    <row r="16" spans="1:15">
      <c r="A16" s="7" t="s">
        <v>108</v>
      </c>
      <c r="B16" s="19">
        <v>1.1e-6</v>
      </c>
      <c r="C16" s="19">
        <v>1.49e-5</v>
      </c>
      <c r="D16" s="19">
        <v>6.32e-5</v>
      </c>
      <c r="E16" s="19">
        <v>0.0002321</v>
      </c>
      <c r="F16" s="19">
        <v>0.0008046</v>
      </c>
      <c r="G16" s="20">
        <v>0.0048269</v>
      </c>
      <c r="H16" s="19">
        <v>0.0006399</v>
      </c>
      <c r="I16" s="19">
        <v>0.000112</v>
      </c>
      <c r="J16" s="19">
        <v>2.1e-6</v>
      </c>
      <c r="K16" s="19">
        <v>6e-7</v>
      </c>
      <c r="L16" s="19">
        <v>0</v>
      </c>
    </row>
    <row r="17" spans="1:14">
      <c r="A17" s="10" t="s">
        <v>111</v>
      </c>
      <c r="B17" s="28">
        <v>9e-7</v>
      </c>
      <c r="C17" s="28">
        <v>4.74e-5</v>
      </c>
      <c r="D17" s="28">
        <v>0.0001493</v>
      </c>
      <c r="E17" s="28">
        <v>0.000455</v>
      </c>
      <c r="F17" s="28">
        <v>0.0012467</v>
      </c>
      <c r="G17" s="20">
        <v>0.0060246</v>
      </c>
      <c r="H17" s="28">
        <v>0.0010913</v>
      </c>
      <c r="I17" s="28">
        <v>0.0002877</v>
      </c>
      <c r="J17" s="28">
        <v>1.27e-5</v>
      </c>
      <c r="K17" s="28">
        <v>1.8e-6</v>
      </c>
      <c r="L17" s="28">
        <v>1.6e-6</v>
      </c>
    </row>
    <row r="18" spans="1:14">
      <c r="A18" s="7" t="s">
        <v>112</v>
      </c>
      <c r="B18" s="19">
        <v>6.8e-6</v>
      </c>
      <c r="C18" s="19">
        <v>8.19e-5</v>
      </c>
      <c r="D18" s="19">
        <v>0.0002272</v>
      </c>
      <c r="E18" s="19">
        <v>0.0006295</v>
      </c>
      <c r="F18" s="19">
        <v>0.0015651</v>
      </c>
      <c r="G18" s="20">
        <v>0.0068199</v>
      </c>
      <c r="H18" s="19">
        <v>0.0014256</v>
      </c>
      <c r="I18" s="19">
        <v>0.0004702</v>
      </c>
      <c r="J18" s="19">
        <v>2.66e-5</v>
      </c>
      <c r="K18" s="19">
        <v>2e-7</v>
      </c>
      <c r="L18" s="19">
        <v>0</v>
      </c>
    </row>
    <row r="19" spans="1:14">
      <c r="A19" s="10" t="s">
        <v>113</v>
      </c>
      <c r="B19" s="28">
        <v>0.0007824</v>
      </c>
      <c r="C19" s="28">
        <v>0.001394</v>
      </c>
      <c r="D19" s="28">
        <v>0.0019212</v>
      </c>
      <c r="E19" s="28">
        <v>0.0027289</v>
      </c>
      <c r="F19" s="28">
        <v>0.0039596</v>
      </c>
      <c r="G19" s="20">
        <v>0.0116854</v>
      </c>
      <c r="H19" s="28">
        <v>0.003555</v>
      </c>
      <c r="I19" s="28">
        <v>0.0020844</v>
      </c>
      <c r="J19" s="28">
        <v>0.0007578</v>
      </c>
      <c r="K19" s="28">
        <v>0.0003245</v>
      </c>
      <c r="L19" s="28">
        <v>0.0001542</v>
      </c>
    </row>
    <row r="20" spans="1:14">
      <c r="A20" s="7" t="s">
        <v>114</v>
      </c>
      <c r="B20" s="19">
        <v>0.0010788</v>
      </c>
      <c r="C20" s="19">
        <v>0.0019494</v>
      </c>
      <c r="D20" s="19">
        <v>0.0026739</v>
      </c>
      <c r="E20" s="19">
        <v>0.0037017</v>
      </c>
      <c r="F20" s="19">
        <v>0.0051617</v>
      </c>
      <c r="G20" s="20">
        <v>0.0143632</v>
      </c>
      <c r="H20" s="19">
        <v>0.0048458</v>
      </c>
      <c r="I20" s="19">
        <v>0.0031591</v>
      </c>
      <c r="J20" s="19">
        <v>0.0012995</v>
      </c>
      <c r="K20" s="19">
        <v>0.0005571</v>
      </c>
      <c r="L20" s="19">
        <v>0.0002613</v>
      </c>
    </row>
    <row r="21" spans="1:14">
      <c r="A21" s="10" t="s">
        <v>115</v>
      </c>
      <c r="B21" s="28">
        <v>0.0013209</v>
      </c>
      <c r="C21" s="28">
        <v>0.0023817</v>
      </c>
      <c r="D21" s="28">
        <v>0.0032386</v>
      </c>
      <c r="E21" s="28">
        <v>0.0044055</v>
      </c>
      <c r="F21" s="28">
        <v>0.0059848</v>
      </c>
      <c r="G21" s="20">
        <v>0.0161476</v>
      </c>
      <c r="H21" s="28">
        <v>0.0057195</v>
      </c>
      <c r="I21" s="28">
        <v>0.003935</v>
      </c>
      <c r="J21" s="28">
        <v>0.0017674</v>
      </c>
      <c r="K21" s="28">
        <v>0.0007869</v>
      </c>
      <c r="L21" s="28">
        <v>0.0003694</v>
      </c>
    </row>
    <row r="22" spans="1:14">
      <c r="A22" s="7" t="s">
        <v>116</v>
      </c>
      <c r="B22" s="19">
        <v>0.0020117</v>
      </c>
      <c r="C22" s="19">
        <v>0.0028566</v>
      </c>
      <c r="D22" s="19">
        <v>0.0035096</v>
      </c>
      <c r="E22" s="19">
        <v>0.0044173</v>
      </c>
      <c r="F22" s="19">
        <v>0.0057294</v>
      </c>
      <c r="G22" s="20">
        <v>0.0152632</v>
      </c>
      <c r="H22" s="19">
        <v>0.0052786</v>
      </c>
      <c r="I22" s="19">
        <v>0.0036693</v>
      </c>
      <c r="J22" s="19">
        <v>0.0019561</v>
      </c>
      <c r="K22" s="19">
        <v>0.0011974</v>
      </c>
      <c r="L22" s="19">
        <v>0.000809</v>
      </c>
    </row>
    <row r="23" spans="1:14">
      <c r="A23" s="10" t="s">
        <v>117</v>
      </c>
      <c r="B23" s="28">
        <v>0.0028197</v>
      </c>
      <c r="C23" s="28">
        <v>0.0041001</v>
      </c>
      <c r="D23" s="28">
        <v>0.0050288</v>
      </c>
      <c r="E23" s="28">
        <v>0.0062541</v>
      </c>
      <c r="F23" s="28">
        <v>0.0078446</v>
      </c>
      <c r="G23" s="20">
        <v>0.0198049</v>
      </c>
      <c r="H23" s="28">
        <v>0.0074894</v>
      </c>
      <c r="I23" s="28">
        <v>0.0056148</v>
      </c>
      <c r="J23" s="28">
        <v>0.003192</v>
      </c>
      <c r="K23" s="28">
        <v>0.001921</v>
      </c>
      <c r="L23" s="28">
        <v>0.0012316</v>
      </c>
    </row>
    <row r="24" spans="1:14">
      <c r="A24" s="7" t="s">
        <v>118</v>
      </c>
      <c r="B24" s="19">
        <v>0.0033497</v>
      </c>
      <c r="C24" s="19">
        <v>0.0048684</v>
      </c>
      <c r="D24" s="19">
        <v>0.0059427</v>
      </c>
      <c r="E24" s="19">
        <v>0.0073091</v>
      </c>
      <c r="F24" s="19">
        <v>0.0090311</v>
      </c>
      <c r="G24" s="20">
        <v>0.0223302</v>
      </c>
      <c r="H24" s="19">
        <v>0.0087528</v>
      </c>
      <c r="I24" s="19">
        <v>0.0068032</v>
      </c>
      <c r="J24" s="19">
        <v>0.0040975</v>
      </c>
      <c r="K24" s="19">
        <v>0.0025336</v>
      </c>
      <c r="L24" s="19">
        <v>0.0016378</v>
      </c>
    </row>
    <row r="25" spans="1:14">
      <c r="A25" s="12" t="s">
        <v>119</v>
      </c>
      <c r="B25" s="12" t="s">
        <v>119</v>
      </c>
      <c r="C25" s="12" t="s">
        <v>119</v>
      </c>
      <c r="D25" s="12" t="s">
        <v>119</v>
      </c>
      <c r="E25" s="12" t="s">
        <v>119</v>
      </c>
      <c r="F25" s="12" t="s">
        <v>119</v>
      </c>
      <c r="G25" s="12" t="s">
        <v>119</v>
      </c>
      <c r="H25" s="12" t="s">
        <v>119</v>
      </c>
      <c r="I25" s="12" t="s">
        <v>119</v>
      </c>
      <c r="J25" s="12" t="s">
        <v>119</v>
      </c>
      <c r="K25" s="12" t="s">
        <v>119</v>
      </c>
      <c r="L25" s="12" t="s">
        <v>119</v>
      </c>
      <c r="M25" s="12" t="s">
        <v>119</v>
      </c>
      <c r="N25" s="12" t="s">
        <v>119</v>
      </c>
    </row>
    <row r="26" spans="1:14">
      <c r="A26" s="4" t="s">
        <v>121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</row>
    <row r="27" spans="1:14">
      <c r="A27" s="6" t="s">
        <v>95</v>
      </c>
      <c r="B27" s="6" t="s">
        <v>96</v>
      </c>
      <c r="C27" s="6" t="s">
        <v>97</v>
      </c>
      <c r="D27" s="6" t="s">
        <v>98</v>
      </c>
      <c r="E27" s="6" t="s">
        <v>99</v>
      </c>
      <c r="F27" s="6" t="s">
        <v>100</v>
      </c>
      <c r="G27" s="6" t="s">
        <v>47</v>
      </c>
      <c r="H27" s="6" t="s">
        <v>101</v>
      </c>
      <c r="I27" s="6" t="s">
        <v>102</v>
      </c>
      <c r="J27" s="6" t="s">
        <v>103</v>
      </c>
      <c r="K27" s="6" t="s">
        <v>104</v>
      </c>
      <c r="L27" s="6" t="s">
        <v>105</v>
      </c>
    </row>
    <row r="28" spans="1:14">
      <c r="A28" s="7" t="s">
        <v>108</v>
      </c>
      <c r="B28" s="19">
        <v>1.8e-6</v>
      </c>
      <c r="C28" s="19">
        <v>1.64e-5</v>
      </c>
      <c r="D28" s="19">
        <v>6.73e-5</v>
      </c>
      <c r="E28" s="19">
        <v>0.0002408</v>
      </c>
      <c r="F28" s="19">
        <v>0.0008229</v>
      </c>
      <c r="G28" s="20">
        <v>0.0048692</v>
      </c>
      <c r="H28" s="19">
        <v>0.00065</v>
      </c>
      <c r="I28" s="19">
        <v>0.0001107</v>
      </c>
      <c r="J28" s="19">
        <v>2.9e-6</v>
      </c>
      <c r="K28" s="19">
        <v>1.1e-6</v>
      </c>
      <c r="L28" s="19">
        <v>1e-6</v>
      </c>
    </row>
    <row r="29" spans="1:14">
      <c r="A29" s="10" t="s">
        <v>111</v>
      </c>
      <c r="B29" s="28">
        <v>1.27e-5</v>
      </c>
      <c r="C29" s="28">
        <v>5.03e-5</v>
      </c>
      <c r="D29" s="28">
        <v>0.0001558</v>
      </c>
      <c r="E29" s="28">
        <v>0.0004614</v>
      </c>
      <c r="F29" s="28">
        <v>0.0012646</v>
      </c>
      <c r="G29" s="20">
        <v>0.0060633</v>
      </c>
      <c r="H29" s="28">
        <v>0.0011086</v>
      </c>
      <c r="I29" s="28">
        <v>0.0002961</v>
      </c>
      <c r="J29" s="28">
        <v>1.05e-5</v>
      </c>
      <c r="K29" s="28">
        <v>2e-7</v>
      </c>
      <c r="L29" s="28">
        <v>0</v>
      </c>
    </row>
    <row r="30" spans="1:14">
      <c r="A30" s="7" t="s">
        <v>112</v>
      </c>
      <c r="B30" s="19">
        <v>1.37e-5</v>
      </c>
      <c r="C30" s="19">
        <v>7.79e-5</v>
      </c>
      <c r="D30" s="19">
        <v>0.000237</v>
      </c>
      <c r="E30" s="19">
        <v>0.0006359</v>
      </c>
      <c r="F30" s="19">
        <v>0.0015767</v>
      </c>
      <c r="G30" s="20">
        <v>0.006864</v>
      </c>
      <c r="H30" s="19">
        <v>0.0014435</v>
      </c>
      <c r="I30" s="19">
        <v>0.0004774</v>
      </c>
      <c r="J30" s="19">
        <v>2.74e-5</v>
      </c>
      <c r="K30" s="19">
        <v>2.5e-6</v>
      </c>
      <c r="L30" s="19">
        <v>0</v>
      </c>
    </row>
    <row r="31" spans="1:14">
      <c r="A31" s="10" t="s">
        <v>113</v>
      </c>
      <c r="B31" s="28">
        <v>0.0008006</v>
      </c>
      <c r="C31" s="28">
        <v>0.001417</v>
      </c>
      <c r="D31" s="28">
        <v>0.0019513</v>
      </c>
      <c r="E31" s="28">
        <v>0.0027661</v>
      </c>
      <c r="F31" s="28">
        <v>0.0040043</v>
      </c>
      <c r="G31" s="20">
        <v>0.0117712</v>
      </c>
      <c r="H31" s="28">
        <v>0.0035951</v>
      </c>
      <c r="I31" s="28">
        <v>0.0021186</v>
      </c>
      <c r="J31" s="28">
        <v>0.0007757</v>
      </c>
      <c r="K31" s="28">
        <v>0.0003286</v>
      </c>
      <c r="L31" s="28">
        <v>0.0001616</v>
      </c>
    </row>
    <row r="32" spans="1:14">
      <c r="A32" s="7" t="s">
        <v>114</v>
      </c>
      <c r="B32" s="19">
        <v>0.0010976</v>
      </c>
      <c r="C32" s="19">
        <v>0.0019777</v>
      </c>
      <c r="D32" s="19">
        <v>0.0027026</v>
      </c>
      <c r="E32" s="19">
        <v>0.0037417</v>
      </c>
      <c r="F32" s="19">
        <v>0.0052062</v>
      </c>
      <c r="G32" s="20">
        <v>0.0144501</v>
      </c>
      <c r="H32" s="19">
        <v>0.0048913</v>
      </c>
      <c r="I32" s="19">
        <v>0.0031963</v>
      </c>
      <c r="J32" s="19">
        <v>0.0013186</v>
      </c>
      <c r="K32" s="19">
        <v>0.0005722</v>
      </c>
      <c r="L32" s="19">
        <v>0.0002714</v>
      </c>
    </row>
    <row r="33" spans="1:14">
      <c r="A33" s="10" t="s">
        <v>115</v>
      </c>
      <c r="B33" s="28">
        <v>0.0013423</v>
      </c>
      <c r="C33" s="28">
        <v>0.0024093</v>
      </c>
      <c r="D33" s="28">
        <v>0.0032683</v>
      </c>
      <c r="E33" s="28">
        <v>0.0044465</v>
      </c>
      <c r="F33" s="28">
        <v>0.0060289</v>
      </c>
      <c r="G33" s="20">
        <v>0.0162364</v>
      </c>
      <c r="H33" s="28">
        <v>0.005766</v>
      </c>
      <c r="I33" s="28">
        <v>0.0039702</v>
      </c>
      <c r="J33" s="28">
        <v>0.0017907</v>
      </c>
      <c r="K33" s="28">
        <v>0.0007968</v>
      </c>
      <c r="L33" s="28">
        <v>0.0003734</v>
      </c>
    </row>
    <row r="34" spans="1:14">
      <c r="A34" s="7" t="s">
        <v>116</v>
      </c>
      <c r="B34" s="19">
        <v>0.002043</v>
      </c>
      <c r="C34" s="19">
        <v>0.0028945</v>
      </c>
      <c r="D34" s="19">
        <v>0.0035571</v>
      </c>
      <c r="E34" s="19">
        <v>0.0044694</v>
      </c>
      <c r="F34" s="19">
        <v>0.0057904</v>
      </c>
      <c r="G34" s="20">
        <v>0.0153914</v>
      </c>
      <c r="H34" s="19">
        <v>0.005343</v>
      </c>
      <c r="I34" s="19">
        <v>0.0037183</v>
      </c>
      <c r="J34" s="19">
        <v>0.0019919</v>
      </c>
      <c r="K34" s="19">
        <v>0.0012198</v>
      </c>
      <c r="L34" s="19">
        <v>0.0008217</v>
      </c>
    </row>
    <row r="35" spans="1:14">
      <c r="A35" s="10" t="s">
        <v>117</v>
      </c>
      <c r="B35" s="28">
        <v>0.0028576</v>
      </c>
      <c r="C35" s="28">
        <v>0.0041445</v>
      </c>
      <c r="D35" s="28">
        <v>0.0050806</v>
      </c>
      <c r="E35" s="28">
        <v>0.0063064</v>
      </c>
      <c r="F35" s="28">
        <v>0.0079041</v>
      </c>
      <c r="G35" s="20">
        <v>0.019933</v>
      </c>
      <c r="H35" s="28">
        <v>0.0075542</v>
      </c>
      <c r="I35" s="28">
        <v>0.0056735</v>
      </c>
      <c r="J35" s="28">
        <v>0.0032324</v>
      </c>
      <c r="K35" s="28">
        <v>0.0019537</v>
      </c>
      <c r="L35" s="28">
        <v>0.0012477</v>
      </c>
    </row>
    <row r="36" spans="1:14">
      <c r="A36" s="7" t="s">
        <v>118</v>
      </c>
      <c r="B36" s="19">
        <v>0.0033888</v>
      </c>
      <c r="C36" s="19">
        <v>0.0049204</v>
      </c>
      <c r="D36" s="19">
        <v>0.0060004</v>
      </c>
      <c r="E36" s="19">
        <v>0.0073673</v>
      </c>
      <c r="F36" s="19">
        <v>0.0090908</v>
      </c>
      <c r="G36" s="20">
        <v>0.0224549</v>
      </c>
      <c r="H36" s="19">
        <v>0.0088159</v>
      </c>
      <c r="I36" s="19">
        <v>0.0068626</v>
      </c>
      <c r="J36" s="19">
        <v>0.0041437</v>
      </c>
      <c r="K36" s="19">
        <v>0.0025681</v>
      </c>
      <c r="L36" s="19">
        <v>0.0016639</v>
      </c>
    </row>
    <row r="37" spans="1:14">
      <c r="A37" s="12" t="s">
        <v>119</v>
      </c>
      <c r="B37" s="12" t="s">
        <v>119</v>
      </c>
      <c r="C37" s="12" t="s">
        <v>119</v>
      </c>
      <c r="D37" s="12" t="s">
        <v>119</v>
      </c>
      <c r="E37" s="12" t="s">
        <v>119</v>
      </c>
      <c r="F37" s="12" t="s">
        <v>119</v>
      </c>
      <c r="G37" s="12" t="s">
        <v>119</v>
      </c>
      <c r="H37" s="12" t="s">
        <v>119</v>
      </c>
      <c r="I37" s="12" t="s">
        <v>119</v>
      </c>
      <c r="J37" s="12" t="s">
        <v>119</v>
      </c>
      <c r="K37" s="12" t="s">
        <v>119</v>
      </c>
      <c r="L37" s="12" t="s">
        <v>119</v>
      </c>
      <c r="M37" s="12" t="s">
        <v>119</v>
      </c>
      <c r="N37" s="12" t="s">
        <v>119</v>
      </c>
    </row>
    <row r="38" spans="1:14">
      <c r="A38" s="4" t="s">
        <v>122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</row>
    <row r="39" spans="1:14">
      <c r="A39" s="6" t="s">
        <v>95</v>
      </c>
      <c r="B39" s="6" t="s">
        <v>96</v>
      </c>
      <c r="C39" s="6" t="s">
        <v>97</v>
      </c>
      <c r="D39" s="6" t="s">
        <v>98</v>
      </c>
      <c r="E39" s="6" t="s">
        <v>99</v>
      </c>
      <c r="F39" s="6" t="s">
        <v>100</v>
      </c>
      <c r="G39" s="6" t="s">
        <v>47</v>
      </c>
      <c r="H39" s="6" t="s">
        <v>101</v>
      </c>
      <c r="I39" s="6" t="s">
        <v>102</v>
      </c>
      <c r="J39" s="6" t="s">
        <v>103</v>
      </c>
      <c r="K39" s="6" t="s">
        <v>104</v>
      </c>
      <c r="L39" s="6" t="s">
        <v>105</v>
      </c>
    </row>
    <row r="40" spans="1:14">
      <c r="A40" s="7" t="s">
        <v>108</v>
      </c>
      <c r="B40" s="19">
        <v>2.4e-6</v>
      </c>
      <c r="C40" s="19">
        <v>2.12e-5</v>
      </c>
      <c r="D40" s="19">
        <v>7.05e-5</v>
      </c>
      <c r="E40" s="19">
        <v>0.000245</v>
      </c>
      <c r="F40" s="19">
        <v>0.0008343</v>
      </c>
      <c r="G40" s="20">
        <v>0.0049085</v>
      </c>
      <c r="H40" s="19">
        <v>0.0006677</v>
      </c>
      <c r="I40" s="19">
        <v>0.0001171</v>
      </c>
      <c r="J40" s="19">
        <v>2.6e-6</v>
      </c>
      <c r="K40" s="19">
        <v>2.3e-6</v>
      </c>
      <c r="L40" s="19">
        <v>0</v>
      </c>
    </row>
    <row r="41" spans="1:14">
      <c r="A41" s="10" t="s">
        <v>111</v>
      </c>
      <c r="B41" s="28">
        <v>6.3e-6</v>
      </c>
      <c r="C41" s="28">
        <v>5.06e-5</v>
      </c>
      <c r="D41" s="28">
        <v>0.0001575</v>
      </c>
      <c r="E41" s="28">
        <v>0.0004712</v>
      </c>
      <c r="F41" s="28">
        <v>0.0012812</v>
      </c>
      <c r="G41" s="20">
        <v>0.0061054</v>
      </c>
      <c r="H41" s="28">
        <v>0.0011255</v>
      </c>
      <c r="I41" s="28">
        <v>0.0003054</v>
      </c>
      <c r="J41" s="28">
        <v>1.29e-5</v>
      </c>
      <c r="K41" s="28">
        <v>7e-7</v>
      </c>
      <c r="L41" s="28">
        <v>0</v>
      </c>
    </row>
    <row r="42" spans="1:14">
      <c r="A42" s="7" t="s">
        <v>112</v>
      </c>
      <c r="B42" s="19">
        <v>9.2e-6</v>
      </c>
      <c r="C42" s="19">
        <v>8.44e-5</v>
      </c>
      <c r="D42" s="19">
        <v>0.0002424</v>
      </c>
      <c r="E42" s="19">
        <v>0.0006484</v>
      </c>
      <c r="F42" s="19">
        <v>0.0015988</v>
      </c>
      <c r="G42" s="20">
        <v>0.0068997</v>
      </c>
      <c r="H42" s="19">
        <v>0.0014576</v>
      </c>
      <c r="I42" s="19">
        <v>0.0004915</v>
      </c>
      <c r="J42" s="19">
        <v>3.16e-5</v>
      </c>
      <c r="K42" s="19">
        <v>2.4e-6</v>
      </c>
      <c r="L42" s="19">
        <v>1.3e-6</v>
      </c>
    </row>
    <row r="43" spans="1:14">
      <c r="A43" s="10" t="s">
        <v>113</v>
      </c>
      <c r="B43" s="28">
        <v>0.0008159</v>
      </c>
      <c r="C43" s="28">
        <v>0.0014392</v>
      </c>
      <c r="D43" s="28">
        <v>0.0019824</v>
      </c>
      <c r="E43" s="28">
        <v>0.0027964</v>
      </c>
      <c r="F43" s="28">
        <v>0.0040469</v>
      </c>
      <c r="G43" s="20">
        <v>0.0118641</v>
      </c>
      <c r="H43" s="28">
        <v>0.0036344</v>
      </c>
      <c r="I43" s="28">
        <v>0.0021524</v>
      </c>
      <c r="J43" s="28">
        <v>0.0007917</v>
      </c>
      <c r="K43" s="28">
        <v>0.0003374</v>
      </c>
      <c r="L43" s="28">
        <v>0.0001647</v>
      </c>
    </row>
    <row r="44" spans="1:14">
      <c r="A44" s="7" t="s">
        <v>114</v>
      </c>
      <c r="B44" s="19">
        <v>0.0011153</v>
      </c>
      <c r="C44" s="19">
        <v>0.0020038</v>
      </c>
      <c r="D44" s="19">
        <v>0.0027368</v>
      </c>
      <c r="E44" s="19">
        <v>0.0037798</v>
      </c>
      <c r="F44" s="19">
        <v>0.0052504</v>
      </c>
      <c r="G44" s="20">
        <v>0.0145377</v>
      </c>
      <c r="H44" s="19">
        <v>0.0049275</v>
      </c>
      <c r="I44" s="19">
        <v>0.003231</v>
      </c>
      <c r="J44" s="19">
        <v>0.0013432</v>
      </c>
      <c r="K44" s="19">
        <v>0.000583</v>
      </c>
      <c r="L44" s="19">
        <v>0.0002766</v>
      </c>
    </row>
    <row r="45" spans="1:14">
      <c r="A45" s="10" t="s">
        <v>115</v>
      </c>
      <c r="B45" s="28">
        <v>0.001362</v>
      </c>
      <c r="C45" s="28">
        <v>0.0024413</v>
      </c>
      <c r="D45" s="28">
        <v>0.0033037</v>
      </c>
      <c r="E45" s="28">
        <v>0.0044814</v>
      </c>
      <c r="F45" s="28">
        <v>0.0060734</v>
      </c>
      <c r="G45" s="20">
        <v>0.0163242</v>
      </c>
      <c r="H45" s="28">
        <v>0.0058082</v>
      </c>
      <c r="I45" s="28">
        <v>0.004009</v>
      </c>
      <c r="J45" s="28">
        <v>0.0018177</v>
      </c>
      <c r="K45" s="28">
        <v>0.0008213</v>
      </c>
      <c r="L45" s="28">
        <v>0.0003834</v>
      </c>
    </row>
    <row r="46" spans="1:14">
      <c r="A46" s="7" t="s">
        <v>116</v>
      </c>
      <c r="B46" s="19">
        <v>0.002077</v>
      </c>
      <c r="C46" s="19">
        <v>0.0029405</v>
      </c>
      <c r="D46" s="19">
        <v>0.0036011</v>
      </c>
      <c r="E46" s="19">
        <v>0.0045273</v>
      </c>
      <c r="F46" s="19">
        <v>0.0058518</v>
      </c>
      <c r="G46" s="20">
        <v>0.0155175</v>
      </c>
      <c r="H46" s="19">
        <v>0.0053985</v>
      </c>
      <c r="I46" s="19">
        <v>0.0037731</v>
      </c>
      <c r="J46" s="19">
        <v>0.002025</v>
      </c>
      <c r="K46" s="19">
        <v>0.0012458</v>
      </c>
      <c r="L46" s="19">
        <v>0.000842</v>
      </c>
    </row>
    <row r="47" spans="1:14">
      <c r="A47" s="10" t="s">
        <v>117</v>
      </c>
      <c r="B47" s="28">
        <v>0.0028981</v>
      </c>
      <c r="C47" s="28">
        <v>0.0041896</v>
      </c>
      <c r="D47" s="28">
        <v>0.005136</v>
      </c>
      <c r="E47" s="28">
        <v>0.0063642</v>
      </c>
      <c r="F47" s="28">
        <v>0.0079708</v>
      </c>
      <c r="G47" s="20">
        <v>0.0200573</v>
      </c>
      <c r="H47" s="28">
        <v>0.0076126</v>
      </c>
      <c r="I47" s="28">
        <v>0.0057257</v>
      </c>
      <c r="J47" s="28">
        <v>0.0032732</v>
      </c>
      <c r="K47" s="28">
        <v>0.0019783</v>
      </c>
      <c r="L47" s="28">
        <v>0.0012712</v>
      </c>
    </row>
    <row r="48" spans="1:14">
      <c r="A48" s="7" t="s">
        <v>118</v>
      </c>
      <c r="B48" s="19">
        <v>0.0034288</v>
      </c>
      <c r="C48" s="19">
        <v>0.0049691</v>
      </c>
      <c r="D48" s="19">
        <v>0.0060578</v>
      </c>
      <c r="E48" s="19">
        <v>0.0074291</v>
      </c>
      <c r="F48" s="19">
        <v>0.0091519</v>
      </c>
      <c r="G48" s="20">
        <v>0.0225802</v>
      </c>
      <c r="H48" s="19">
        <v>0.0088798</v>
      </c>
      <c r="I48" s="19">
        <v>0.0069164</v>
      </c>
      <c r="J48" s="19">
        <v>0.004193</v>
      </c>
      <c r="K48" s="19">
        <v>0.0026062</v>
      </c>
      <c r="L48" s="19">
        <v>0.0016861</v>
      </c>
    </row>
    <row r="49" spans="1:14">
      <c r="A49" s="12" t="s">
        <v>119</v>
      </c>
      <c r="B49" s="12" t="s">
        <v>119</v>
      </c>
      <c r="C49" s="12" t="s">
        <v>119</v>
      </c>
      <c r="D49" s="12" t="s">
        <v>119</v>
      </c>
      <c r="E49" s="12" t="s">
        <v>119</v>
      </c>
      <c r="F49" s="12" t="s">
        <v>119</v>
      </c>
      <c r="G49" s="12" t="s">
        <v>119</v>
      </c>
      <c r="H49" s="12" t="s">
        <v>119</v>
      </c>
      <c r="I49" s="12" t="s">
        <v>119</v>
      </c>
      <c r="J49" s="12" t="s">
        <v>119</v>
      </c>
      <c r="K49" s="12" t="s">
        <v>119</v>
      </c>
      <c r="L49" s="12" t="s">
        <v>119</v>
      </c>
      <c r="M49" s="12" t="s">
        <v>119</v>
      </c>
      <c r="N49" s="12" t="s">
        <v>119</v>
      </c>
    </row>
    <row r="50" spans="1:14">
      <c r="A50" s="4" t="s">
        <v>123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3"/>
    </row>
    <row r="51" spans="1:14">
      <c r="A51" s="6" t="s">
        <v>95</v>
      </c>
      <c r="B51" s="6" t="s">
        <v>96</v>
      </c>
      <c r="C51" s="6" t="s">
        <v>97</v>
      </c>
      <c r="D51" s="6" t="s">
        <v>98</v>
      </c>
      <c r="E51" s="6" t="s">
        <v>99</v>
      </c>
      <c r="F51" s="6" t="s">
        <v>100</v>
      </c>
      <c r="G51" s="6" t="s">
        <v>47</v>
      </c>
      <c r="H51" s="6" t="s">
        <v>101</v>
      </c>
      <c r="I51" s="6" t="s">
        <v>102</v>
      </c>
      <c r="J51" s="6" t="s">
        <v>103</v>
      </c>
      <c r="K51" s="6" t="s">
        <v>104</v>
      </c>
      <c r="L51" s="6" t="s">
        <v>105</v>
      </c>
    </row>
    <row r="52" spans="1:14">
      <c r="A52" s="7" t="s">
        <v>108</v>
      </c>
      <c r="B52" s="19">
        <v>0</v>
      </c>
      <c r="C52" s="19">
        <v>2.33e-5</v>
      </c>
      <c r="D52" s="19">
        <v>7.18e-5</v>
      </c>
      <c r="E52" s="19">
        <v>0.0002562</v>
      </c>
      <c r="F52" s="19">
        <v>0.000847</v>
      </c>
      <c r="G52" s="20">
        <v>0.0049457</v>
      </c>
      <c r="H52" s="19">
        <v>0.0006803</v>
      </c>
      <c r="I52" s="19">
        <v>0.0001219</v>
      </c>
      <c r="J52" s="19">
        <v>1.3e-6</v>
      </c>
      <c r="K52" s="19">
        <v>1.3e-6</v>
      </c>
      <c r="L52" s="19">
        <v>0</v>
      </c>
    </row>
    <row r="53" spans="1:14">
      <c r="A53" s="10" t="s">
        <v>111</v>
      </c>
      <c r="B53" s="28">
        <v>5.2e-6</v>
      </c>
      <c r="C53" s="28">
        <v>5.32e-5</v>
      </c>
      <c r="D53" s="28">
        <v>0.0001635</v>
      </c>
      <c r="E53" s="28">
        <v>0.00048</v>
      </c>
      <c r="F53" s="28">
        <v>0.0012936</v>
      </c>
      <c r="G53" s="20">
        <v>0.0061406</v>
      </c>
      <c r="H53" s="28">
        <v>0.0011413</v>
      </c>
      <c r="I53" s="28">
        <v>0.0003139</v>
      </c>
      <c r="J53" s="28">
        <v>1.07e-5</v>
      </c>
      <c r="K53" s="28">
        <v>3.5e-6</v>
      </c>
      <c r="L53" s="28">
        <v>2e-7</v>
      </c>
    </row>
    <row r="54" spans="1:14">
      <c r="A54" s="7" t="s">
        <v>112</v>
      </c>
      <c r="B54" s="19">
        <v>1.22e-5</v>
      </c>
      <c r="C54" s="19">
        <v>8.69e-5</v>
      </c>
      <c r="D54" s="19">
        <v>0.0002511</v>
      </c>
      <c r="E54" s="19">
        <v>0.0006645</v>
      </c>
      <c r="F54" s="19">
        <v>0.001611</v>
      </c>
      <c r="G54" s="20">
        <v>0.0069435</v>
      </c>
      <c r="H54" s="19">
        <v>0.0014781</v>
      </c>
      <c r="I54" s="19">
        <v>0.0005016</v>
      </c>
      <c r="J54" s="19">
        <v>2.94e-5</v>
      </c>
      <c r="K54" s="19">
        <v>2.6e-6</v>
      </c>
      <c r="L54" s="19">
        <v>2.2e-6</v>
      </c>
    </row>
    <row r="55" spans="1:14">
      <c r="A55" s="10" t="s">
        <v>113</v>
      </c>
      <c r="B55" s="28">
        <v>0.0008283</v>
      </c>
      <c r="C55" s="28">
        <v>0.0014628</v>
      </c>
      <c r="D55" s="28">
        <v>0.002008</v>
      </c>
      <c r="E55" s="28">
        <v>0.0028334</v>
      </c>
      <c r="F55" s="28">
        <v>0.0040883</v>
      </c>
      <c r="G55" s="20">
        <v>0.0119566</v>
      </c>
      <c r="H55" s="28">
        <v>0.0036776</v>
      </c>
      <c r="I55" s="28">
        <v>0.0021896</v>
      </c>
      <c r="J55" s="28">
        <v>0.0008052</v>
      </c>
      <c r="K55" s="28">
        <v>0.0003436</v>
      </c>
      <c r="L55" s="28">
        <v>0.0001708</v>
      </c>
    </row>
    <row r="56" spans="1:14">
      <c r="A56" s="7" t="s">
        <v>114</v>
      </c>
      <c r="B56" s="19">
        <v>0.001134</v>
      </c>
      <c r="C56" s="19">
        <v>0.0020306</v>
      </c>
      <c r="D56" s="19">
        <v>0.0027665</v>
      </c>
      <c r="E56" s="19">
        <v>0.0038189</v>
      </c>
      <c r="F56" s="19">
        <v>0.0052901</v>
      </c>
      <c r="G56" s="20">
        <v>0.0146312</v>
      </c>
      <c r="H56" s="19">
        <v>0.0049736</v>
      </c>
      <c r="I56" s="19">
        <v>0.0032676</v>
      </c>
      <c r="J56" s="19">
        <v>0.0013653</v>
      </c>
      <c r="K56" s="19">
        <v>0.0005925</v>
      </c>
      <c r="L56" s="19">
        <v>0.00028</v>
      </c>
    </row>
    <row r="57" spans="1:14">
      <c r="A57" s="10" t="s">
        <v>115</v>
      </c>
      <c r="B57" s="28">
        <v>0.0013824</v>
      </c>
      <c r="C57" s="28">
        <v>0.002469</v>
      </c>
      <c r="D57" s="28">
        <v>0.0033394</v>
      </c>
      <c r="E57" s="28">
        <v>0.0045218</v>
      </c>
      <c r="F57" s="28">
        <v>0.0061151</v>
      </c>
      <c r="G57" s="20">
        <v>0.0164137</v>
      </c>
      <c r="H57" s="28">
        <v>0.0058485</v>
      </c>
      <c r="I57" s="28">
        <v>0.0040483</v>
      </c>
      <c r="J57" s="28">
        <v>0.0018403</v>
      </c>
      <c r="K57" s="28">
        <v>0.0008371</v>
      </c>
      <c r="L57" s="28">
        <v>0.000392</v>
      </c>
    </row>
    <row r="58" spans="1:14">
      <c r="A58" s="7" t="s">
        <v>116</v>
      </c>
      <c r="B58" s="19">
        <v>0.0021078</v>
      </c>
      <c r="C58" s="19">
        <v>0.0029819</v>
      </c>
      <c r="D58" s="19">
        <v>0.00365</v>
      </c>
      <c r="E58" s="19">
        <v>0.0045811</v>
      </c>
      <c r="F58" s="19">
        <v>0.0059134</v>
      </c>
      <c r="G58" s="20">
        <v>0.0156449</v>
      </c>
      <c r="H58" s="19">
        <v>0.005459</v>
      </c>
      <c r="I58" s="19">
        <v>0.0038239</v>
      </c>
      <c r="J58" s="19">
        <v>0.0020581</v>
      </c>
      <c r="K58" s="19">
        <v>0.0012617</v>
      </c>
      <c r="L58" s="19">
        <v>0.0008537</v>
      </c>
    </row>
    <row r="59" spans="1:14">
      <c r="A59" s="10" t="s">
        <v>117</v>
      </c>
      <c r="B59" s="28">
        <v>0.0029338</v>
      </c>
      <c r="C59" s="28">
        <v>0.0042416</v>
      </c>
      <c r="D59" s="28">
        <v>0.0051863</v>
      </c>
      <c r="E59" s="28">
        <v>0.0064227</v>
      </c>
      <c r="F59" s="28">
        <v>0.0080286</v>
      </c>
      <c r="G59" s="20">
        <v>0.0201912</v>
      </c>
      <c r="H59" s="28">
        <v>0.0076779</v>
      </c>
      <c r="I59" s="28">
        <v>0.0057833</v>
      </c>
      <c r="J59" s="28">
        <v>0.0033183</v>
      </c>
      <c r="K59" s="28">
        <v>0.0020063</v>
      </c>
      <c r="L59" s="28">
        <v>0.0012945</v>
      </c>
    </row>
    <row r="60" spans="1:14">
      <c r="A60" s="7" t="s">
        <v>118</v>
      </c>
      <c r="B60" s="19">
        <v>0.0034666</v>
      </c>
      <c r="C60" s="19">
        <v>0.0050149</v>
      </c>
      <c r="D60" s="19">
        <v>0.0061071</v>
      </c>
      <c r="E60" s="19">
        <v>0.0074838</v>
      </c>
      <c r="F60" s="19">
        <v>0.0092184</v>
      </c>
      <c r="G60" s="20">
        <v>0.02271</v>
      </c>
      <c r="H60" s="19">
        <v>0.0089406</v>
      </c>
      <c r="I60" s="19">
        <v>0.0069801</v>
      </c>
      <c r="J60" s="19">
        <v>0.0042361</v>
      </c>
      <c r="K60" s="19">
        <v>0.0026367</v>
      </c>
      <c r="L60" s="19">
        <v>0.0017151</v>
      </c>
    </row>
    <row r="61" spans="1:14">
      <c r="A61" s="12" t="s">
        <v>119</v>
      </c>
      <c r="B61" s="12" t="s">
        <v>119</v>
      </c>
      <c r="C61" s="12" t="s">
        <v>119</v>
      </c>
      <c r="D61" s="12" t="s">
        <v>119</v>
      </c>
      <c r="E61" s="12" t="s">
        <v>119</v>
      </c>
      <c r="F61" s="12" t="s">
        <v>119</v>
      </c>
      <c r="G61" s="12" t="s">
        <v>119</v>
      </c>
      <c r="H61" s="12" t="s">
        <v>119</v>
      </c>
      <c r="I61" s="12" t="s">
        <v>119</v>
      </c>
      <c r="J61" s="12" t="s">
        <v>119</v>
      </c>
      <c r="K61" s="12" t="s">
        <v>119</v>
      </c>
      <c r="L61" s="12" t="s">
        <v>119</v>
      </c>
      <c r="M61" s="12" t="s">
        <v>119</v>
      </c>
      <c r="N61" s="12" t="s">
        <v>119</v>
      </c>
    </row>
    <row r="62" spans="1:14">
      <c r="A62" s="5" t="s">
        <v>124</v>
      </c>
      <c r="B62" s="2"/>
      <c r="C62" s="2"/>
      <c r="D62" s="2"/>
      <c r="E62" s="2"/>
      <c r="F62" s="3"/>
    </row>
    <row r="63" spans="1:14">
      <c r="A63" s="6" t="s">
        <v>95</v>
      </c>
      <c r="B63" s="6" t="s">
        <v>125</v>
      </c>
      <c r="C63" s="6" t="s">
        <v>126</v>
      </c>
      <c r="D63" s="6" t="s">
        <v>127</v>
      </c>
      <c r="E63" s="6" t="s">
        <v>128</v>
      </c>
      <c r="F63" s="6" t="s">
        <v>129</v>
      </c>
    </row>
    <row r="64" spans="1:14">
      <c r="A64" s="7" t="s">
        <v>108</v>
      </c>
      <c r="B64" s="50">
        <v>0.048</v>
      </c>
      <c r="C64" s="50">
        <v>0.0482</v>
      </c>
      <c r="D64" s="50">
        <v>0.0484</v>
      </c>
      <c r="E64" s="50">
        <v>0.0486</v>
      </c>
      <c r="F64" s="50">
        <v>0.0488</v>
      </c>
    </row>
    <row r="65" spans="1:6">
      <c r="A65" s="10" t="s">
        <v>111</v>
      </c>
      <c r="B65" s="51">
        <v>0.049</v>
      </c>
      <c r="C65" s="51">
        <v>0.0492</v>
      </c>
      <c r="D65" s="51">
        <v>0.0494</v>
      </c>
      <c r="E65" s="51">
        <v>0.0496</v>
      </c>
      <c r="F65" s="51">
        <v>0.0498</v>
      </c>
    </row>
    <row r="66" spans="1:6">
      <c r="A66" s="7" t="s">
        <v>112</v>
      </c>
      <c r="B66" s="50">
        <v>0.0495</v>
      </c>
      <c r="C66" s="50">
        <v>0.0497</v>
      </c>
      <c r="D66" s="50">
        <v>0.0499</v>
      </c>
      <c r="E66" s="50">
        <v>0.0501</v>
      </c>
      <c r="F66" s="50">
        <v>0.0503</v>
      </c>
    </row>
    <row r="67" spans="1:6">
      <c r="A67" s="10" t="s">
        <v>113</v>
      </c>
      <c r="B67" s="51">
        <v>0.05</v>
      </c>
      <c r="C67" s="51">
        <v>0.0502</v>
      </c>
      <c r="D67" s="51">
        <v>0.0504</v>
      </c>
      <c r="E67" s="51">
        <v>0.0506</v>
      </c>
      <c r="F67" s="51">
        <v>0.0508</v>
      </c>
    </row>
    <row r="68" spans="1:6">
      <c r="A68" s="7" t="s">
        <v>114</v>
      </c>
      <c r="B68" s="50">
        <v>0.051</v>
      </c>
      <c r="C68" s="50">
        <v>0.0512</v>
      </c>
      <c r="D68" s="50">
        <v>0.0514</v>
      </c>
      <c r="E68" s="50">
        <v>0.0516</v>
      </c>
      <c r="F68" s="50">
        <v>0.0518</v>
      </c>
    </row>
    <row r="69" spans="1:6">
      <c r="A69" s="10" t="s">
        <v>115</v>
      </c>
      <c r="B69" s="51">
        <v>0.0515</v>
      </c>
      <c r="C69" s="51">
        <v>0.0517</v>
      </c>
      <c r="D69" s="51">
        <v>0.0519</v>
      </c>
      <c r="E69" s="51">
        <v>0.0521</v>
      </c>
      <c r="F69" s="51">
        <v>0.0523</v>
      </c>
    </row>
    <row r="70" spans="1:6">
      <c r="A70" s="7" t="s">
        <v>116</v>
      </c>
      <c r="B70" s="50">
        <v>0.0495</v>
      </c>
      <c r="C70" s="50">
        <v>0.0497</v>
      </c>
      <c r="D70" s="50">
        <v>0.0499</v>
      </c>
      <c r="E70" s="50">
        <v>0.0501</v>
      </c>
      <c r="F70" s="50">
        <v>0.0503</v>
      </c>
    </row>
    <row r="71" spans="1:6">
      <c r="A71" s="10" t="s">
        <v>117</v>
      </c>
      <c r="B71" s="51">
        <v>0.0505</v>
      </c>
      <c r="C71" s="51">
        <v>0.0507</v>
      </c>
      <c r="D71" s="51">
        <v>0.0509</v>
      </c>
      <c r="E71" s="51">
        <v>0.0511</v>
      </c>
      <c r="F71" s="51">
        <v>0.0513</v>
      </c>
    </row>
    <row r="72" spans="1:6">
      <c r="A72" s="7" t="s">
        <v>118</v>
      </c>
      <c r="B72" s="50">
        <v>0.051</v>
      </c>
      <c r="C72" s="50">
        <v>0.0512</v>
      </c>
      <c r="D72" s="50">
        <v>0.0514</v>
      </c>
      <c r="E72" s="50">
        <v>0.0516</v>
      </c>
      <c r="F72" s="50">
        <v>0.0518</v>
      </c>
    </row>
  </sheetData>
  <mergeCells count="8">
    <mergeCell ref="A1:L1"/>
    <mergeCell ref="A2:L2"/>
    <mergeCell ref="N2:O2"/>
    <mergeCell ref="A14:L14"/>
    <mergeCell ref="A26:L26"/>
    <mergeCell ref="A38:L38"/>
    <mergeCell ref="A50:L50"/>
    <mergeCell ref="A62:F6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1"/>
  <sheetViews>
    <sheetView workbookViewId="0">
      <pane ySplit="1" topLeftCell="A2" activePane="bottomLeft" state="frozen"/>
      <selection/>
      <selection pane="bottomLeft" activeCell="A1" sqref="A1:L1"/>
    </sheetView>
  </sheetViews>
  <sheetFormatPr defaultColWidth="9" defaultRowHeight="16.8"/>
  <cols>
    <col min="1" max="12" width="9" customWidth="1"/>
    <col min="14" max="14" width="10" customWidth="1"/>
    <col min="15" max="15" width="40" customWidth="1"/>
  </cols>
  <sheetData>
    <row r="1" ht="30" customHeight="1" spans="1:15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5">
      <c r="A2" s="4" t="s">
        <v>93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N2" s="6" t="s">
        <v>94</v>
      </c>
      <c r="O2" s="3"/>
    </row>
    <row r="3" ht="50" customHeight="1" spans="1:15">
      <c r="A3" s="6" t="s">
        <v>95</v>
      </c>
      <c r="B3" s="6" t="s">
        <v>96</v>
      </c>
      <c r="C3" s="6" t="s">
        <v>97</v>
      </c>
      <c r="D3" s="6" t="s">
        <v>98</v>
      </c>
      <c r="E3" s="6" t="s">
        <v>99</v>
      </c>
      <c r="F3" s="6" t="s">
        <v>100</v>
      </c>
      <c r="G3" s="6" t="s">
        <v>47</v>
      </c>
      <c r="H3" s="6" t="s">
        <v>101</v>
      </c>
      <c r="I3" s="6" t="s">
        <v>102</v>
      </c>
      <c r="J3" s="6" t="s">
        <v>103</v>
      </c>
      <c r="K3" s="6" t="s">
        <v>104</v>
      </c>
      <c r="L3" s="6" t="s">
        <v>105</v>
      </c>
      <c r="N3" s="17" t="s">
        <v>106</v>
      </c>
      <c r="O3" s="18" t="s">
        <v>131</v>
      </c>
    </row>
    <row r="4" ht="50" customHeight="1" spans="1:15">
      <c r="A4" s="7" t="s">
        <v>108</v>
      </c>
      <c r="B4" s="8">
        <v>96.19</v>
      </c>
      <c r="C4" s="8">
        <v>80.32</v>
      </c>
      <c r="D4" s="8">
        <v>74.82</v>
      </c>
      <c r="E4" s="8">
        <v>69.16</v>
      </c>
      <c r="F4" s="8">
        <v>63.86</v>
      </c>
      <c r="G4" s="9">
        <v>59.99</v>
      </c>
      <c r="H4" s="8">
        <v>58.17</v>
      </c>
      <c r="I4" s="8">
        <v>58.59</v>
      </c>
      <c r="J4" s="8">
        <v>62.25</v>
      </c>
      <c r="K4" s="8">
        <v>87.69</v>
      </c>
      <c r="L4" s="8">
        <v>101.84</v>
      </c>
      <c r="N4" s="7" t="s">
        <v>132</v>
      </c>
      <c r="O4" s="18" t="s">
        <v>133</v>
      </c>
    </row>
    <row r="5" spans="1:15">
      <c r="A5" s="10" t="s">
        <v>111</v>
      </c>
      <c r="B5" s="11">
        <v>99.49</v>
      </c>
      <c r="C5" s="11">
        <v>91.4</v>
      </c>
      <c r="D5" s="11">
        <v>85.99</v>
      </c>
      <c r="E5" s="11">
        <v>81.76</v>
      </c>
      <c r="F5" s="11">
        <v>77.99</v>
      </c>
      <c r="G5" s="9">
        <v>74.97</v>
      </c>
      <c r="H5" s="11">
        <v>73.2</v>
      </c>
      <c r="I5" s="11">
        <v>72.66</v>
      </c>
      <c r="J5" s="11">
        <v>73.22</v>
      </c>
      <c r="K5" s="11">
        <v>98.5</v>
      </c>
      <c r="L5" s="11">
        <v>117.49</v>
      </c>
    </row>
    <row r="6" spans="1:15">
      <c r="A6" s="7" t="s">
        <v>112</v>
      </c>
      <c r="B6" s="8">
        <v>107.45</v>
      </c>
      <c r="C6" s="8">
        <v>97.85</v>
      </c>
      <c r="D6" s="8">
        <v>94.24</v>
      </c>
      <c r="E6" s="8">
        <v>90.64</v>
      </c>
      <c r="F6" s="8">
        <v>87.38</v>
      </c>
      <c r="G6" s="9">
        <v>85.01</v>
      </c>
      <c r="H6" s="8">
        <v>83.44</v>
      </c>
      <c r="I6" s="8">
        <v>82.94</v>
      </c>
      <c r="J6" s="8">
        <v>84.46</v>
      </c>
      <c r="K6" s="8">
        <v>101.83</v>
      </c>
      <c r="L6" s="8">
        <v>112.12</v>
      </c>
    </row>
    <row r="7" spans="1:15">
      <c r="A7" s="10" t="s">
        <v>113</v>
      </c>
      <c r="B7" s="11">
        <v>95.27</v>
      </c>
      <c r="C7" s="11">
        <v>83.8</v>
      </c>
      <c r="D7" s="11">
        <v>78.12</v>
      </c>
      <c r="E7" s="11">
        <v>72.91</v>
      </c>
      <c r="F7" s="11">
        <v>68.29</v>
      </c>
      <c r="G7" s="9">
        <v>64.99</v>
      </c>
      <c r="H7" s="11">
        <v>63.5</v>
      </c>
      <c r="I7" s="11">
        <v>64.09</v>
      </c>
      <c r="J7" s="11">
        <v>69.85</v>
      </c>
      <c r="K7" s="11">
        <v>78.48</v>
      </c>
      <c r="L7" s="11">
        <v>87.96</v>
      </c>
    </row>
    <row r="8" spans="1:15">
      <c r="A8" s="7" t="s">
        <v>114</v>
      </c>
      <c r="B8" s="8">
        <v>103.38</v>
      </c>
      <c r="C8" s="8">
        <v>94.03</v>
      </c>
      <c r="D8" s="8">
        <v>89.67</v>
      </c>
      <c r="E8" s="8">
        <v>85.77</v>
      </c>
      <c r="F8" s="8">
        <v>82.43</v>
      </c>
      <c r="G8" s="9">
        <v>79.98</v>
      </c>
      <c r="H8" s="8">
        <v>78.72</v>
      </c>
      <c r="I8" s="8">
        <v>78.65</v>
      </c>
      <c r="J8" s="8">
        <v>81.88</v>
      </c>
      <c r="K8" s="8">
        <v>88.1</v>
      </c>
      <c r="L8" s="8">
        <v>95.74</v>
      </c>
    </row>
    <row r="9" spans="1:15">
      <c r="A9" s="10" t="s">
        <v>115</v>
      </c>
      <c r="B9" s="11">
        <v>109.46</v>
      </c>
      <c r="C9" s="11">
        <v>101.39</v>
      </c>
      <c r="D9" s="11">
        <v>97.8</v>
      </c>
      <c r="E9" s="11">
        <v>94.61</v>
      </c>
      <c r="F9" s="11">
        <v>91.97</v>
      </c>
      <c r="G9" s="9">
        <v>89.99</v>
      </c>
      <c r="H9" s="11">
        <v>88.88</v>
      </c>
      <c r="I9" s="11">
        <v>88.64</v>
      </c>
      <c r="J9" s="11">
        <v>90.74</v>
      </c>
      <c r="K9" s="11">
        <v>95.53</v>
      </c>
      <c r="L9" s="11">
        <v>101.83</v>
      </c>
    </row>
    <row r="10" spans="1:15">
      <c r="A10" s="7" t="s">
        <v>116</v>
      </c>
      <c r="B10" s="8">
        <v>87.78</v>
      </c>
      <c r="C10" s="8">
        <v>76.97</v>
      </c>
      <c r="D10" s="8">
        <v>71.73</v>
      </c>
      <c r="E10" s="8">
        <v>66.87</v>
      </c>
      <c r="F10" s="8">
        <v>62.79</v>
      </c>
      <c r="G10" s="9">
        <v>60.01</v>
      </c>
      <c r="H10" s="8">
        <v>59.09</v>
      </c>
      <c r="I10" s="8">
        <v>60.22</v>
      </c>
      <c r="J10" s="8">
        <v>66.43</v>
      </c>
      <c r="K10" s="8">
        <v>75.23</v>
      </c>
      <c r="L10" s="8">
        <v>84.57</v>
      </c>
    </row>
    <row r="11" spans="1:15">
      <c r="A11" s="10" t="s">
        <v>117</v>
      </c>
      <c r="B11" s="11">
        <v>98.5</v>
      </c>
      <c r="C11" s="11">
        <v>90.03</v>
      </c>
      <c r="D11" s="11">
        <v>86.13</v>
      </c>
      <c r="E11" s="11">
        <v>82.73</v>
      </c>
      <c r="F11" s="11">
        <v>79.95</v>
      </c>
      <c r="G11" s="9">
        <v>78.01</v>
      </c>
      <c r="H11" s="11">
        <v>77.09</v>
      </c>
      <c r="I11" s="11">
        <v>77.29</v>
      </c>
      <c r="J11" s="11">
        <v>80.62</v>
      </c>
      <c r="K11" s="11">
        <v>86.54</v>
      </c>
      <c r="L11" s="11">
        <v>93.67</v>
      </c>
    </row>
    <row r="12" spans="1:15">
      <c r="A12" s="7" t="s">
        <v>118</v>
      </c>
      <c r="B12" s="8">
        <v>104.96</v>
      </c>
      <c r="C12" s="8">
        <v>97.71</v>
      </c>
      <c r="D12" s="8">
        <v>94.49</v>
      </c>
      <c r="E12" s="8">
        <v>91.73</v>
      </c>
      <c r="F12" s="8">
        <v>89.49</v>
      </c>
      <c r="G12" s="9">
        <v>88</v>
      </c>
      <c r="H12" s="8">
        <v>87.29</v>
      </c>
      <c r="I12" s="8">
        <v>87.42</v>
      </c>
      <c r="J12" s="8">
        <v>90.04</v>
      </c>
      <c r="K12" s="8">
        <v>94.9</v>
      </c>
      <c r="L12" s="8">
        <v>101.09</v>
      </c>
    </row>
    <row r="13" spans="1:15">
      <c r="A13" s="12" t="s">
        <v>119</v>
      </c>
      <c r="B13" s="12" t="s">
        <v>119</v>
      </c>
      <c r="C13" s="12" t="s">
        <v>119</v>
      </c>
      <c r="D13" s="12" t="s">
        <v>119</v>
      </c>
      <c r="E13" s="12" t="s">
        <v>119</v>
      </c>
      <c r="F13" s="12" t="s">
        <v>119</v>
      </c>
      <c r="G13" s="12" t="s">
        <v>119</v>
      </c>
      <c r="H13" s="12" t="s">
        <v>119</v>
      </c>
      <c r="I13" s="12" t="s">
        <v>119</v>
      </c>
      <c r="J13" s="12" t="s">
        <v>119</v>
      </c>
      <c r="K13" s="12" t="s">
        <v>119</v>
      </c>
      <c r="L13" s="12" t="s">
        <v>119</v>
      </c>
      <c r="M13" s="12" t="s">
        <v>119</v>
      </c>
    </row>
    <row r="14" spans="1:15">
      <c r="A14" s="4" t="s">
        <v>120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</row>
    <row r="15" spans="1:15">
      <c r="A15" s="6" t="s">
        <v>95</v>
      </c>
      <c r="B15" s="6" t="s">
        <v>96</v>
      </c>
      <c r="C15" s="6" t="s">
        <v>97</v>
      </c>
      <c r="D15" s="6" t="s">
        <v>98</v>
      </c>
      <c r="E15" s="6" t="s">
        <v>99</v>
      </c>
      <c r="F15" s="6" t="s">
        <v>100</v>
      </c>
      <c r="G15" s="6" t="s">
        <v>47</v>
      </c>
      <c r="H15" s="6" t="s">
        <v>101</v>
      </c>
      <c r="I15" s="6" t="s">
        <v>102</v>
      </c>
      <c r="J15" s="6" t="s">
        <v>103</v>
      </c>
      <c r="K15" s="6" t="s">
        <v>104</v>
      </c>
      <c r="L15" s="6" t="s">
        <v>105</v>
      </c>
    </row>
    <row r="16" spans="1:15">
      <c r="A16" s="7" t="s">
        <v>108</v>
      </c>
      <c r="B16" s="8">
        <v>90.57</v>
      </c>
      <c r="C16" s="8">
        <v>79.34</v>
      </c>
      <c r="D16" s="8">
        <v>74.91</v>
      </c>
      <c r="E16" s="8">
        <v>69.38</v>
      </c>
      <c r="F16" s="8">
        <v>64.32</v>
      </c>
      <c r="G16" s="9">
        <v>60.5</v>
      </c>
      <c r="H16" s="8">
        <v>58.57</v>
      </c>
      <c r="I16" s="8">
        <v>59.29</v>
      </c>
      <c r="J16" s="8">
        <v>65.58</v>
      </c>
      <c r="K16" s="8">
        <v>86.76</v>
      </c>
      <c r="L16" s="8">
        <v>60.5</v>
      </c>
    </row>
    <row r="17" spans="1:13">
      <c r="A17" s="10" t="s">
        <v>111</v>
      </c>
      <c r="B17" s="11">
        <v>89.26</v>
      </c>
      <c r="C17" s="11">
        <v>91.73</v>
      </c>
      <c r="D17" s="11">
        <v>86.92</v>
      </c>
      <c r="E17" s="11">
        <v>82.68</v>
      </c>
      <c r="F17" s="11">
        <v>78.51</v>
      </c>
      <c r="G17" s="9">
        <v>75.51</v>
      </c>
      <c r="H17" s="11">
        <v>73.68</v>
      </c>
      <c r="I17" s="11">
        <v>73.11</v>
      </c>
      <c r="J17" s="11">
        <v>77.94</v>
      </c>
      <c r="K17" s="11">
        <v>94.01</v>
      </c>
      <c r="L17" s="11">
        <v>121.54</v>
      </c>
    </row>
    <row r="18" spans="1:13">
      <c r="A18" s="7" t="s">
        <v>112</v>
      </c>
      <c r="B18" s="8">
        <v>105.31</v>
      </c>
      <c r="C18" s="8">
        <v>99.44</v>
      </c>
      <c r="D18" s="8">
        <v>94.58</v>
      </c>
      <c r="E18" s="8">
        <v>91.17</v>
      </c>
      <c r="F18" s="8">
        <v>88.07</v>
      </c>
      <c r="G18" s="9">
        <v>85.47</v>
      </c>
      <c r="H18" s="8">
        <v>83.93</v>
      </c>
      <c r="I18" s="8">
        <v>83.47</v>
      </c>
      <c r="J18" s="8">
        <v>84.99</v>
      </c>
      <c r="K18" s="8">
        <v>80.84</v>
      </c>
      <c r="L18" s="8">
        <v>85.47</v>
      </c>
    </row>
    <row r="19" spans="1:13">
      <c r="A19" s="10" t="s">
        <v>113</v>
      </c>
      <c r="B19" s="11">
        <v>95.73</v>
      </c>
      <c r="C19" s="11">
        <v>84.25</v>
      </c>
      <c r="D19" s="11">
        <v>78.61</v>
      </c>
      <c r="E19" s="11">
        <v>73.43</v>
      </c>
      <c r="F19" s="11">
        <v>68.81</v>
      </c>
      <c r="G19" s="9">
        <v>65.5</v>
      </c>
      <c r="H19" s="11">
        <v>64.01</v>
      </c>
      <c r="I19" s="11">
        <v>64.51</v>
      </c>
      <c r="J19" s="11">
        <v>70.27</v>
      </c>
      <c r="K19" s="11">
        <v>79</v>
      </c>
      <c r="L19" s="11">
        <v>88.11</v>
      </c>
    </row>
    <row r="20" spans="1:13">
      <c r="A20" s="7" t="s">
        <v>114</v>
      </c>
      <c r="B20" s="8">
        <v>103.93</v>
      </c>
      <c r="C20" s="8">
        <v>94.54</v>
      </c>
      <c r="D20" s="8">
        <v>90.19</v>
      </c>
      <c r="E20" s="8">
        <v>86.2</v>
      </c>
      <c r="F20" s="8">
        <v>82.89</v>
      </c>
      <c r="G20" s="9">
        <v>80.51</v>
      </c>
      <c r="H20" s="8">
        <v>79.21</v>
      </c>
      <c r="I20" s="8">
        <v>79.16</v>
      </c>
      <c r="J20" s="8">
        <v>82.37</v>
      </c>
      <c r="K20" s="8">
        <v>88.43</v>
      </c>
      <c r="L20" s="8">
        <v>96.03</v>
      </c>
    </row>
    <row r="21" spans="1:13">
      <c r="A21" s="10" t="s">
        <v>115</v>
      </c>
      <c r="B21" s="11">
        <v>109.9</v>
      </c>
      <c r="C21" s="11">
        <v>101.88</v>
      </c>
      <c r="D21" s="11">
        <v>98.35</v>
      </c>
      <c r="E21" s="11">
        <v>95.11</v>
      </c>
      <c r="F21" s="11">
        <v>92.42</v>
      </c>
      <c r="G21" s="9">
        <v>90.51</v>
      </c>
      <c r="H21" s="11">
        <v>89.36</v>
      </c>
      <c r="I21" s="11">
        <v>89.18</v>
      </c>
      <c r="J21" s="11">
        <v>91.29</v>
      </c>
      <c r="K21" s="11">
        <v>95.87</v>
      </c>
      <c r="L21" s="11">
        <v>102.21</v>
      </c>
    </row>
    <row r="22" spans="1:13">
      <c r="A22" s="7" t="s">
        <v>116</v>
      </c>
      <c r="B22" s="8">
        <v>88.25</v>
      </c>
      <c r="C22" s="8">
        <v>77.42</v>
      </c>
      <c r="D22" s="8">
        <v>72.23</v>
      </c>
      <c r="E22" s="8">
        <v>67.36</v>
      </c>
      <c r="F22" s="8">
        <v>63.27</v>
      </c>
      <c r="G22" s="9">
        <v>60.49</v>
      </c>
      <c r="H22" s="8">
        <v>59.57</v>
      </c>
      <c r="I22" s="8">
        <v>60.66</v>
      </c>
      <c r="J22" s="8">
        <v>66.93</v>
      </c>
      <c r="K22" s="8">
        <v>75.6</v>
      </c>
      <c r="L22" s="8">
        <v>84.99</v>
      </c>
    </row>
    <row r="23" spans="1:13">
      <c r="A23" s="10" t="s">
        <v>117</v>
      </c>
      <c r="B23" s="11">
        <v>98.97</v>
      </c>
      <c r="C23" s="11">
        <v>90.53</v>
      </c>
      <c r="D23" s="11">
        <v>86.64</v>
      </c>
      <c r="E23" s="11">
        <v>83.27</v>
      </c>
      <c r="F23" s="11">
        <v>80.45</v>
      </c>
      <c r="G23" s="9">
        <v>78.49</v>
      </c>
      <c r="H23" s="11">
        <v>77.58</v>
      </c>
      <c r="I23" s="11">
        <v>77.8</v>
      </c>
      <c r="J23" s="11">
        <v>81.08</v>
      </c>
      <c r="K23" s="11">
        <v>86.96</v>
      </c>
      <c r="L23" s="11">
        <v>94.09</v>
      </c>
    </row>
    <row r="24" spans="1:13">
      <c r="A24" s="7" t="s">
        <v>118</v>
      </c>
      <c r="B24" s="8">
        <v>105.43</v>
      </c>
      <c r="C24" s="8">
        <v>98.16</v>
      </c>
      <c r="D24" s="8">
        <v>94.95</v>
      </c>
      <c r="E24" s="8">
        <v>92.2</v>
      </c>
      <c r="F24" s="8">
        <v>90.02</v>
      </c>
      <c r="G24" s="9">
        <v>88.5</v>
      </c>
      <c r="H24" s="8">
        <v>87.78</v>
      </c>
      <c r="I24" s="8">
        <v>87.93</v>
      </c>
      <c r="J24" s="8">
        <v>90.5</v>
      </c>
      <c r="K24" s="8">
        <v>95.31</v>
      </c>
      <c r="L24" s="8">
        <v>101.52</v>
      </c>
    </row>
    <row r="25" spans="1:13">
      <c r="A25" s="12" t="s">
        <v>119</v>
      </c>
      <c r="B25" s="12" t="s">
        <v>119</v>
      </c>
      <c r="C25" s="12" t="s">
        <v>119</v>
      </c>
      <c r="D25" s="12" t="s">
        <v>119</v>
      </c>
      <c r="E25" s="12" t="s">
        <v>119</v>
      </c>
      <c r="F25" s="12" t="s">
        <v>119</v>
      </c>
      <c r="G25" s="12" t="s">
        <v>119</v>
      </c>
      <c r="H25" s="12" t="s">
        <v>119</v>
      </c>
      <c r="I25" s="12" t="s">
        <v>119</v>
      </c>
      <c r="J25" s="12" t="s">
        <v>119</v>
      </c>
      <c r="K25" s="12" t="s">
        <v>119</v>
      </c>
      <c r="L25" s="12" t="s">
        <v>119</v>
      </c>
      <c r="M25" s="12" t="s">
        <v>119</v>
      </c>
    </row>
    <row r="26" spans="1:13">
      <c r="A26" s="4" t="s">
        <v>121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</row>
    <row r="27" spans="1:13">
      <c r="A27" s="6" t="s">
        <v>95</v>
      </c>
      <c r="B27" s="6" t="s">
        <v>96</v>
      </c>
      <c r="C27" s="6" t="s">
        <v>97</v>
      </c>
      <c r="D27" s="6" t="s">
        <v>98</v>
      </c>
      <c r="E27" s="6" t="s">
        <v>99</v>
      </c>
      <c r="F27" s="6" t="s">
        <v>100</v>
      </c>
      <c r="G27" s="6" t="s">
        <v>47</v>
      </c>
      <c r="H27" s="6" t="s">
        <v>101</v>
      </c>
      <c r="I27" s="6" t="s">
        <v>102</v>
      </c>
      <c r="J27" s="6" t="s">
        <v>103</v>
      </c>
      <c r="K27" s="6" t="s">
        <v>104</v>
      </c>
      <c r="L27" s="6" t="s">
        <v>105</v>
      </c>
    </row>
    <row r="28" spans="1:13">
      <c r="A28" s="7" t="s">
        <v>108</v>
      </c>
      <c r="B28" s="8">
        <v>94.01</v>
      </c>
      <c r="C28" s="8">
        <v>80.21</v>
      </c>
      <c r="D28" s="8">
        <v>75.66</v>
      </c>
      <c r="E28" s="8">
        <v>69.99</v>
      </c>
      <c r="F28" s="8">
        <v>64.94</v>
      </c>
      <c r="G28" s="9">
        <v>61.03</v>
      </c>
      <c r="H28" s="8">
        <v>58.94</v>
      </c>
      <c r="I28" s="8">
        <v>59.15</v>
      </c>
      <c r="J28" s="8">
        <v>67.42</v>
      </c>
      <c r="K28" s="8">
        <v>90.57</v>
      </c>
      <c r="L28" s="8">
        <v>117.49</v>
      </c>
    </row>
    <row r="29" spans="1:13">
      <c r="A29" s="10" t="s">
        <v>111</v>
      </c>
      <c r="B29" s="11">
        <v>111.97</v>
      </c>
      <c r="C29" s="11">
        <v>92.5</v>
      </c>
      <c r="D29" s="11">
        <v>87.64</v>
      </c>
      <c r="E29" s="11">
        <v>83.02</v>
      </c>
      <c r="F29" s="11">
        <v>79.06</v>
      </c>
      <c r="G29" s="9">
        <v>75.99</v>
      </c>
      <c r="H29" s="11">
        <v>74.22</v>
      </c>
      <c r="I29" s="11">
        <v>73.65</v>
      </c>
      <c r="J29" s="11">
        <v>76.35</v>
      </c>
      <c r="K29" s="11">
        <v>80.84</v>
      </c>
      <c r="L29" s="11">
        <v>75.99</v>
      </c>
    </row>
    <row r="30" spans="1:13">
      <c r="A30" s="7" t="s">
        <v>112</v>
      </c>
      <c r="B30" s="8">
        <v>112.85</v>
      </c>
      <c r="C30" s="8">
        <v>98.67</v>
      </c>
      <c r="D30" s="8">
        <v>95.43</v>
      </c>
      <c r="E30" s="8">
        <v>91.46</v>
      </c>
      <c r="F30" s="8">
        <v>88.41</v>
      </c>
      <c r="G30" s="9">
        <v>86.03</v>
      </c>
      <c r="H30" s="8">
        <v>84.47</v>
      </c>
      <c r="I30" s="8">
        <v>83.84</v>
      </c>
      <c r="J30" s="8">
        <v>85.31</v>
      </c>
      <c r="K30" s="8">
        <v>96.51</v>
      </c>
      <c r="L30" s="8">
        <v>86.03</v>
      </c>
    </row>
    <row r="31" spans="1:13">
      <c r="A31" s="10" t="s">
        <v>113</v>
      </c>
      <c r="B31" s="11">
        <v>96.27</v>
      </c>
      <c r="C31" s="11">
        <v>84.7</v>
      </c>
      <c r="D31" s="11">
        <v>79.09</v>
      </c>
      <c r="E31" s="11">
        <v>73.93</v>
      </c>
      <c r="F31" s="11">
        <v>69.34</v>
      </c>
      <c r="G31" s="9">
        <v>65.98</v>
      </c>
      <c r="H31" s="11">
        <v>64.49</v>
      </c>
      <c r="I31" s="11">
        <v>64.99</v>
      </c>
      <c r="J31" s="11">
        <v>70.72</v>
      </c>
      <c r="K31" s="11">
        <v>79.2</v>
      </c>
      <c r="L31" s="11">
        <v>88.75</v>
      </c>
    </row>
    <row r="32" spans="1:13">
      <c r="A32" s="7" t="s">
        <v>114</v>
      </c>
      <c r="B32" s="8">
        <v>104.42</v>
      </c>
      <c r="C32" s="8">
        <v>95.03</v>
      </c>
      <c r="D32" s="8">
        <v>90.62</v>
      </c>
      <c r="E32" s="8">
        <v>86.71</v>
      </c>
      <c r="F32" s="8">
        <v>83.41</v>
      </c>
      <c r="G32" s="9">
        <v>80.99</v>
      </c>
      <c r="H32" s="8">
        <v>79.74</v>
      </c>
      <c r="I32" s="8">
        <v>79.64</v>
      </c>
      <c r="J32" s="8">
        <v>82.75</v>
      </c>
      <c r="K32" s="8">
        <v>88.96</v>
      </c>
      <c r="L32" s="8">
        <v>96.66</v>
      </c>
    </row>
    <row r="33" spans="1:13">
      <c r="A33" s="10" t="s">
        <v>115</v>
      </c>
      <c r="B33" s="11">
        <v>110.4</v>
      </c>
      <c r="C33" s="11">
        <v>102.33</v>
      </c>
      <c r="D33" s="11">
        <v>98.77</v>
      </c>
      <c r="E33" s="11">
        <v>95.62</v>
      </c>
      <c r="F33" s="11">
        <v>92.93</v>
      </c>
      <c r="G33" s="9">
        <v>91</v>
      </c>
      <c r="H33" s="11">
        <v>89.89</v>
      </c>
      <c r="I33" s="11">
        <v>89.62</v>
      </c>
      <c r="J33" s="11">
        <v>91.71</v>
      </c>
      <c r="K33" s="11">
        <v>96.16</v>
      </c>
      <c r="L33" s="11">
        <v>102.41</v>
      </c>
    </row>
    <row r="34" spans="1:13">
      <c r="A34" s="7" t="s">
        <v>116</v>
      </c>
      <c r="B34" s="8">
        <v>88.69</v>
      </c>
      <c r="C34" s="8">
        <v>77.84</v>
      </c>
      <c r="D34" s="8">
        <v>72.7</v>
      </c>
      <c r="E34" s="8">
        <v>67.82</v>
      </c>
      <c r="F34" s="8">
        <v>63.76</v>
      </c>
      <c r="G34" s="9">
        <v>61</v>
      </c>
      <c r="H34" s="8">
        <v>60.1</v>
      </c>
      <c r="I34" s="8">
        <v>61.1</v>
      </c>
      <c r="J34" s="8">
        <v>67.37</v>
      </c>
      <c r="K34" s="8">
        <v>75.99</v>
      </c>
      <c r="L34" s="8">
        <v>85.3</v>
      </c>
    </row>
    <row r="35" spans="1:13">
      <c r="A35" s="10" t="s">
        <v>117</v>
      </c>
      <c r="B35" s="11">
        <v>99.44</v>
      </c>
      <c r="C35" s="11">
        <v>90.98</v>
      </c>
      <c r="D35" s="11">
        <v>87.12</v>
      </c>
      <c r="E35" s="11">
        <v>83.72</v>
      </c>
      <c r="F35" s="11">
        <v>80.93</v>
      </c>
      <c r="G35" s="9">
        <v>79</v>
      </c>
      <c r="H35" s="11">
        <v>78.1</v>
      </c>
      <c r="I35" s="11">
        <v>78.31</v>
      </c>
      <c r="J35" s="11">
        <v>81.51</v>
      </c>
      <c r="K35" s="11">
        <v>87.43</v>
      </c>
      <c r="L35" s="11">
        <v>94.4</v>
      </c>
    </row>
    <row r="36" spans="1:13">
      <c r="A36" s="7" t="s">
        <v>118</v>
      </c>
      <c r="B36" s="8">
        <v>105.9</v>
      </c>
      <c r="C36" s="8">
        <v>98.66</v>
      </c>
      <c r="D36" s="8">
        <v>95.47</v>
      </c>
      <c r="E36" s="8">
        <v>92.69</v>
      </c>
      <c r="F36" s="8">
        <v>90.5</v>
      </c>
      <c r="G36" s="9">
        <v>89</v>
      </c>
      <c r="H36" s="8">
        <v>88.29</v>
      </c>
      <c r="I36" s="8">
        <v>88.44</v>
      </c>
      <c r="J36" s="8">
        <v>90.97</v>
      </c>
      <c r="K36" s="8">
        <v>95.76</v>
      </c>
      <c r="L36" s="8">
        <v>101.97</v>
      </c>
    </row>
    <row r="37" spans="1:13">
      <c r="A37" s="12" t="s">
        <v>119</v>
      </c>
      <c r="B37" s="12" t="s">
        <v>119</v>
      </c>
      <c r="C37" s="12" t="s">
        <v>119</v>
      </c>
      <c r="D37" s="12" t="s">
        <v>119</v>
      </c>
      <c r="E37" s="12" t="s">
        <v>119</v>
      </c>
      <c r="F37" s="12" t="s">
        <v>119</v>
      </c>
      <c r="G37" s="12" t="s">
        <v>119</v>
      </c>
      <c r="H37" s="12" t="s">
        <v>119</v>
      </c>
      <c r="I37" s="12" t="s">
        <v>119</v>
      </c>
      <c r="J37" s="12" t="s">
        <v>119</v>
      </c>
      <c r="K37" s="12" t="s">
        <v>119</v>
      </c>
      <c r="L37" s="12" t="s">
        <v>119</v>
      </c>
      <c r="M37" s="12" t="s">
        <v>119</v>
      </c>
    </row>
    <row r="38" spans="1:13">
      <c r="A38" s="4" t="s">
        <v>122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</row>
    <row r="39" spans="1:13">
      <c r="A39" s="6" t="s">
        <v>95</v>
      </c>
      <c r="B39" s="6" t="s">
        <v>96</v>
      </c>
      <c r="C39" s="6" t="s">
        <v>97</v>
      </c>
      <c r="D39" s="6" t="s">
        <v>98</v>
      </c>
      <c r="E39" s="6" t="s">
        <v>99</v>
      </c>
      <c r="F39" s="6" t="s">
        <v>100</v>
      </c>
      <c r="G39" s="6" t="s">
        <v>47</v>
      </c>
      <c r="H39" s="6" t="s">
        <v>101</v>
      </c>
      <c r="I39" s="6" t="s">
        <v>102</v>
      </c>
      <c r="J39" s="6" t="s">
        <v>103</v>
      </c>
      <c r="K39" s="6" t="s">
        <v>104</v>
      </c>
      <c r="L39" s="6" t="s">
        <v>105</v>
      </c>
    </row>
    <row r="40" spans="1:13">
      <c r="A40" s="7" t="s">
        <v>108</v>
      </c>
      <c r="B40" s="8">
        <v>96.19</v>
      </c>
      <c r="C40" s="8">
        <v>82.66</v>
      </c>
      <c r="D40" s="8">
        <v>76.22</v>
      </c>
      <c r="E40" s="8">
        <v>70.28</v>
      </c>
      <c r="F40" s="8">
        <v>65.33</v>
      </c>
      <c r="G40" s="9">
        <v>61.52</v>
      </c>
      <c r="H40" s="8">
        <v>59.57</v>
      </c>
      <c r="I40" s="8">
        <v>59.81</v>
      </c>
      <c r="J40" s="8">
        <v>66.78</v>
      </c>
      <c r="K40" s="8">
        <v>95.86</v>
      </c>
      <c r="L40" s="8">
        <v>61.52</v>
      </c>
    </row>
    <row r="41" spans="1:13">
      <c r="A41" s="10" t="s">
        <v>111</v>
      </c>
      <c r="B41" s="11">
        <v>104.57</v>
      </c>
      <c r="C41" s="11">
        <v>92.57</v>
      </c>
      <c r="D41" s="11">
        <v>87.82</v>
      </c>
      <c r="E41" s="11">
        <v>83.52</v>
      </c>
      <c r="F41" s="11">
        <v>79.57</v>
      </c>
      <c r="G41" s="9">
        <v>76.52</v>
      </c>
      <c r="H41" s="11">
        <v>74.75</v>
      </c>
      <c r="I41" s="11">
        <v>74.23</v>
      </c>
      <c r="J41" s="11">
        <v>78.07</v>
      </c>
      <c r="K41" s="11">
        <v>87.69</v>
      </c>
      <c r="L41" s="11">
        <v>76.52</v>
      </c>
    </row>
    <row r="42" spans="1:13">
      <c r="A42" s="7" t="s">
        <v>112</v>
      </c>
      <c r="B42" s="8">
        <v>108.4</v>
      </c>
      <c r="C42" s="8">
        <v>99.91</v>
      </c>
      <c r="D42" s="8">
        <v>95.9</v>
      </c>
      <c r="E42" s="8">
        <v>92.03</v>
      </c>
      <c r="F42" s="8">
        <v>89.06</v>
      </c>
      <c r="G42" s="9">
        <v>86.47</v>
      </c>
      <c r="H42" s="8">
        <v>84.89</v>
      </c>
      <c r="I42" s="8">
        <v>84.56</v>
      </c>
      <c r="J42" s="8">
        <v>86.87</v>
      </c>
      <c r="K42" s="8">
        <v>96.19</v>
      </c>
      <c r="L42" s="8">
        <v>119.7</v>
      </c>
    </row>
    <row r="43" spans="1:13">
      <c r="A43" s="10" t="s">
        <v>113</v>
      </c>
      <c r="B43" s="11">
        <v>96.72</v>
      </c>
      <c r="C43" s="11">
        <v>85.14</v>
      </c>
      <c r="D43" s="11">
        <v>79.59</v>
      </c>
      <c r="E43" s="11">
        <v>74.34</v>
      </c>
      <c r="F43" s="11">
        <v>69.84</v>
      </c>
      <c r="G43" s="9">
        <v>66.5</v>
      </c>
      <c r="H43" s="11">
        <v>64.96</v>
      </c>
      <c r="I43" s="11">
        <v>65.47</v>
      </c>
      <c r="J43" s="11">
        <v>71.12</v>
      </c>
      <c r="K43" s="11">
        <v>79.61</v>
      </c>
      <c r="L43" s="11">
        <v>89.02</v>
      </c>
    </row>
    <row r="44" spans="1:13">
      <c r="A44" s="7" t="s">
        <v>114</v>
      </c>
      <c r="B44" s="8">
        <v>104.87</v>
      </c>
      <c r="C44" s="8">
        <v>95.49</v>
      </c>
      <c r="D44" s="8">
        <v>91.12</v>
      </c>
      <c r="E44" s="8">
        <v>87.2</v>
      </c>
      <c r="F44" s="8">
        <v>83.92</v>
      </c>
      <c r="G44" s="9">
        <v>81.48</v>
      </c>
      <c r="H44" s="8">
        <v>80.16</v>
      </c>
      <c r="I44" s="8">
        <v>80.1</v>
      </c>
      <c r="J44" s="8">
        <v>83.25</v>
      </c>
      <c r="K44" s="8">
        <v>89.33</v>
      </c>
      <c r="L44" s="8">
        <v>96.99</v>
      </c>
    </row>
    <row r="45" spans="1:13">
      <c r="A45" s="10" t="s">
        <v>115</v>
      </c>
      <c r="B45" s="11">
        <v>110.86</v>
      </c>
      <c r="C45" s="11">
        <v>102.85</v>
      </c>
      <c r="D45" s="11">
        <v>99.27</v>
      </c>
      <c r="E45" s="11">
        <v>96.06</v>
      </c>
      <c r="F45" s="11">
        <v>93.44</v>
      </c>
      <c r="G45" s="9">
        <v>91.5</v>
      </c>
      <c r="H45" s="11">
        <v>90.38</v>
      </c>
      <c r="I45" s="11">
        <v>90.12</v>
      </c>
      <c r="J45" s="11">
        <v>92.2</v>
      </c>
      <c r="K45" s="11">
        <v>96.88</v>
      </c>
      <c r="L45" s="11">
        <v>102.92</v>
      </c>
    </row>
    <row r="46" spans="1:13">
      <c r="A46" s="7" t="s">
        <v>116</v>
      </c>
      <c r="B46" s="8">
        <v>89.17</v>
      </c>
      <c r="C46" s="8">
        <v>78.35</v>
      </c>
      <c r="D46" s="8">
        <v>73.13</v>
      </c>
      <c r="E46" s="8">
        <v>68.33</v>
      </c>
      <c r="F46" s="8">
        <v>64.27</v>
      </c>
      <c r="G46" s="9">
        <v>61.5</v>
      </c>
      <c r="H46" s="8">
        <v>60.56</v>
      </c>
      <c r="I46" s="8">
        <v>61.6</v>
      </c>
      <c r="J46" s="8">
        <v>67.78</v>
      </c>
      <c r="K46" s="8">
        <v>76.44</v>
      </c>
      <c r="L46" s="8">
        <v>85.78</v>
      </c>
    </row>
    <row r="47" spans="1:13">
      <c r="A47" s="10" t="s">
        <v>117</v>
      </c>
      <c r="B47" s="11">
        <v>99.95</v>
      </c>
      <c r="C47" s="11">
        <v>91.43</v>
      </c>
      <c r="D47" s="11">
        <v>87.63</v>
      </c>
      <c r="E47" s="11">
        <v>84.21</v>
      </c>
      <c r="F47" s="11">
        <v>81.47</v>
      </c>
      <c r="G47" s="9">
        <v>79.49</v>
      </c>
      <c r="H47" s="11">
        <v>78.57</v>
      </c>
      <c r="I47" s="11">
        <v>78.75</v>
      </c>
      <c r="J47" s="11">
        <v>81.95</v>
      </c>
      <c r="K47" s="11">
        <v>87.78</v>
      </c>
      <c r="L47" s="11">
        <v>94.86</v>
      </c>
    </row>
    <row r="48" spans="1:13">
      <c r="A48" s="7" t="s">
        <v>118</v>
      </c>
      <c r="B48" s="8">
        <v>106.37</v>
      </c>
      <c r="C48" s="8">
        <v>99.14</v>
      </c>
      <c r="D48" s="8">
        <v>95.98</v>
      </c>
      <c r="E48" s="8">
        <v>93.21</v>
      </c>
      <c r="F48" s="8">
        <v>90.99</v>
      </c>
      <c r="G48" s="9">
        <v>89.49</v>
      </c>
      <c r="H48" s="8">
        <v>88.8</v>
      </c>
      <c r="I48" s="8">
        <v>88.89</v>
      </c>
      <c r="J48" s="8">
        <v>91.47</v>
      </c>
      <c r="K48" s="8">
        <v>96.25</v>
      </c>
      <c r="L48" s="8">
        <v>102.35</v>
      </c>
    </row>
    <row r="49" spans="1:13">
      <c r="A49" s="12" t="s">
        <v>119</v>
      </c>
      <c r="B49" s="12" t="s">
        <v>119</v>
      </c>
      <c r="C49" s="12" t="s">
        <v>119</v>
      </c>
      <c r="D49" s="12" t="s">
        <v>119</v>
      </c>
      <c r="E49" s="12" t="s">
        <v>119</v>
      </c>
      <c r="F49" s="12" t="s">
        <v>119</v>
      </c>
      <c r="G49" s="12" t="s">
        <v>119</v>
      </c>
      <c r="H49" s="12" t="s">
        <v>119</v>
      </c>
      <c r="I49" s="12" t="s">
        <v>119</v>
      </c>
      <c r="J49" s="12" t="s">
        <v>119</v>
      </c>
      <c r="K49" s="12" t="s">
        <v>119</v>
      </c>
      <c r="L49" s="12" t="s">
        <v>119</v>
      </c>
      <c r="M49" s="12" t="s">
        <v>119</v>
      </c>
    </row>
    <row r="50" spans="1:13">
      <c r="A50" s="4" t="s">
        <v>123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3"/>
    </row>
    <row r="51" spans="1:13">
      <c r="A51" s="6" t="s">
        <v>95</v>
      </c>
      <c r="B51" s="6" t="s">
        <v>96</v>
      </c>
      <c r="C51" s="6" t="s">
        <v>97</v>
      </c>
      <c r="D51" s="6" t="s">
        <v>98</v>
      </c>
      <c r="E51" s="6" t="s">
        <v>99</v>
      </c>
      <c r="F51" s="6" t="s">
        <v>100</v>
      </c>
      <c r="G51" s="6" t="s">
        <v>47</v>
      </c>
      <c r="H51" s="6" t="s">
        <v>101</v>
      </c>
      <c r="I51" s="6" t="s">
        <v>102</v>
      </c>
      <c r="J51" s="6" t="s">
        <v>103</v>
      </c>
      <c r="K51" s="6" t="s">
        <v>104</v>
      </c>
      <c r="L51" s="6" t="s">
        <v>105</v>
      </c>
    </row>
    <row r="52" spans="1:13">
      <c r="A52" s="7" t="s">
        <v>108</v>
      </c>
      <c r="B52" s="8">
        <v>61.99</v>
      </c>
      <c r="C52" s="8">
        <v>83.61</v>
      </c>
      <c r="D52" s="8">
        <v>76.45</v>
      </c>
      <c r="E52" s="8">
        <v>71.04</v>
      </c>
      <c r="F52" s="8">
        <v>65.75</v>
      </c>
      <c r="G52" s="9">
        <v>61.99</v>
      </c>
      <c r="H52" s="8">
        <v>60.02</v>
      </c>
      <c r="I52" s="8">
        <v>60.29</v>
      </c>
      <c r="J52" s="8">
        <v>63.07</v>
      </c>
      <c r="K52" s="8">
        <v>91.7</v>
      </c>
      <c r="L52" s="8">
        <v>61.99</v>
      </c>
    </row>
    <row r="53" spans="1:13">
      <c r="A53" s="10" t="s">
        <v>111</v>
      </c>
      <c r="B53" s="11">
        <v>102.75</v>
      </c>
      <c r="C53" s="11">
        <v>93.24</v>
      </c>
      <c r="D53" s="11">
        <v>88.46</v>
      </c>
      <c r="E53" s="11">
        <v>83.97</v>
      </c>
      <c r="F53" s="11">
        <v>79.95</v>
      </c>
      <c r="G53" s="9">
        <v>76.96</v>
      </c>
      <c r="H53" s="11">
        <v>75.25</v>
      </c>
      <c r="I53" s="11">
        <v>74.75</v>
      </c>
      <c r="J53" s="11">
        <v>76.5</v>
      </c>
      <c r="K53" s="11">
        <v>99.25</v>
      </c>
      <c r="L53" s="11">
        <v>105.94</v>
      </c>
    </row>
    <row r="54" spans="1:13">
      <c r="A54" s="7" t="s">
        <v>112</v>
      </c>
      <c r="B54" s="8">
        <v>111.51</v>
      </c>
      <c r="C54" s="8">
        <v>100.37</v>
      </c>
      <c r="D54" s="8">
        <v>96.63</v>
      </c>
      <c r="E54" s="8">
        <v>92.75</v>
      </c>
      <c r="F54" s="8">
        <v>89.42</v>
      </c>
      <c r="G54" s="9">
        <v>87.02</v>
      </c>
      <c r="H54" s="8">
        <v>85.5</v>
      </c>
      <c r="I54" s="8">
        <v>85.06</v>
      </c>
      <c r="J54" s="8">
        <v>86.07</v>
      </c>
      <c r="K54" s="8">
        <v>96.82</v>
      </c>
      <c r="L54" s="8">
        <v>124.51</v>
      </c>
    </row>
    <row r="55" spans="1:13">
      <c r="A55" s="10" t="s">
        <v>113</v>
      </c>
      <c r="B55" s="11">
        <v>97.09</v>
      </c>
      <c r="C55" s="11">
        <v>85.6</v>
      </c>
      <c r="D55" s="11">
        <v>80</v>
      </c>
      <c r="E55" s="11">
        <v>74.83</v>
      </c>
      <c r="F55" s="11">
        <v>70.33</v>
      </c>
      <c r="G55" s="9">
        <v>67.02</v>
      </c>
      <c r="H55" s="11">
        <v>65.47</v>
      </c>
      <c r="I55" s="11">
        <v>66</v>
      </c>
      <c r="J55" s="11">
        <v>71.45</v>
      </c>
      <c r="K55" s="11">
        <v>79.9</v>
      </c>
      <c r="L55" s="11">
        <v>89.52</v>
      </c>
    </row>
    <row r="56" spans="1:13">
      <c r="A56" s="7" t="s">
        <v>114</v>
      </c>
      <c r="B56" s="8">
        <v>105.34</v>
      </c>
      <c r="C56" s="8">
        <v>95.95</v>
      </c>
      <c r="D56" s="8">
        <v>91.56</v>
      </c>
      <c r="E56" s="8">
        <v>87.7</v>
      </c>
      <c r="F56" s="8">
        <v>84.38</v>
      </c>
      <c r="G56" s="9">
        <v>82.01</v>
      </c>
      <c r="H56" s="8">
        <v>80.7</v>
      </c>
      <c r="I56" s="8">
        <v>80.58</v>
      </c>
      <c r="J56" s="8">
        <v>83.69</v>
      </c>
      <c r="K56" s="8">
        <v>89.66</v>
      </c>
      <c r="L56" s="8">
        <v>97.19</v>
      </c>
    </row>
    <row r="57" spans="1:13">
      <c r="A57" s="10" t="s">
        <v>115</v>
      </c>
      <c r="B57" s="11">
        <v>111.34</v>
      </c>
      <c r="C57" s="11">
        <v>103.31</v>
      </c>
      <c r="D57" s="11">
        <v>99.77</v>
      </c>
      <c r="E57" s="11">
        <v>96.56</v>
      </c>
      <c r="F57" s="11">
        <v>93.93</v>
      </c>
      <c r="G57" s="9">
        <v>92</v>
      </c>
      <c r="H57" s="11">
        <v>90.85</v>
      </c>
      <c r="I57" s="11">
        <v>90.61</v>
      </c>
      <c r="J57" s="11">
        <v>92.6</v>
      </c>
      <c r="K57" s="11">
        <v>97.34</v>
      </c>
      <c r="L57" s="11">
        <v>103.36</v>
      </c>
    </row>
    <row r="58" spans="1:13">
      <c r="A58" s="7" t="s">
        <v>116</v>
      </c>
      <c r="B58" s="8">
        <v>89.6</v>
      </c>
      <c r="C58" s="8">
        <v>78.8</v>
      </c>
      <c r="D58" s="8">
        <v>73.61</v>
      </c>
      <c r="E58" s="8">
        <v>68.8</v>
      </c>
      <c r="F58" s="8">
        <v>64.77</v>
      </c>
      <c r="G58" s="9">
        <v>62.01</v>
      </c>
      <c r="H58" s="8">
        <v>61.05</v>
      </c>
      <c r="I58" s="8">
        <v>62.06</v>
      </c>
      <c r="J58" s="8">
        <v>68.18</v>
      </c>
      <c r="K58" s="8">
        <v>76.71</v>
      </c>
      <c r="L58" s="8">
        <v>86.05</v>
      </c>
    </row>
    <row r="59" spans="1:13">
      <c r="A59" s="10" t="s">
        <v>117</v>
      </c>
      <c r="B59" s="11">
        <v>100.39</v>
      </c>
      <c r="C59" s="11">
        <v>91.96</v>
      </c>
      <c r="D59" s="11">
        <v>88.09</v>
      </c>
      <c r="E59" s="11">
        <v>84.71</v>
      </c>
      <c r="F59" s="11">
        <v>81.94</v>
      </c>
      <c r="G59" s="9">
        <v>80.02</v>
      </c>
      <c r="H59" s="11">
        <v>79.1</v>
      </c>
      <c r="I59" s="11">
        <v>79.25</v>
      </c>
      <c r="J59" s="11">
        <v>82.43</v>
      </c>
      <c r="K59" s="11">
        <v>88.18</v>
      </c>
      <c r="L59" s="11">
        <v>95.3</v>
      </c>
    </row>
    <row r="60" spans="1:13">
      <c r="A60" s="7" t="s">
        <v>118</v>
      </c>
      <c r="B60" s="8">
        <v>106.81</v>
      </c>
      <c r="C60" s="8">
        <v>99.58</v>
      </c>
      <c r="D60" s="8">
        <v>96.42</v>
      </c>
      <c r="E60" s="8">
        <v>93.67</v>
      </c>
      <c r="F60" s="8">
        <v>91.53</v>
      </c>
      <c r="G60" s="9">
        <v>90.01</v>
      </c>
      <c r="H60" s="8">
        <v>89.29</v>
      </c>
      <c r="I60" s="8">
        <v>89.43</v>
      </c>
      <c r="J60" s="8">
        <v>91.9</v>
      </c>
      <c r="K60" s="8">
        <v>96.65</v>
      </c>
      <c r="L60" s="8">
        <v>102.84</v>
      </c>
    </row>
    <row r="61" spans="1:13">
      <c r="A61" s="12" t="s">
        <v>119</v>
      </c>
      <c r="B61" s="12" t="s">
        <v>119</v>
      </c>
      <c r="C61" s="12" t="s">
        <v>119</v>
      </c>
      <c r="D61" s="12" t="s">
        <v>119</v>
      </c>
      <c r="E61" s="12" t="s">
        <v>119</v>
      </c>
      <c r="F61" s="12" t="s">
        <v>119</v>
      </c>
      <c r="G61" s="12" t="s">
        <v>119</v>
      </c>
      <c r="H61" s="12" t="s">
        <v>119</v>
      </c>
      <c r="I61" s="12" t="s">
        <v>119</v>
      </c>
      <c r="J61" s="12" t="s">
        <v>119</v>
      </c>
      <c r="K61" s="12" t="s">
        <v>119</v>
      </c>
      <c r="L61" s="12" t="s">
        <v>119</v>
      </c>
      <c r="M61" s="12" t="s">
        <v>119</v>
      </c>
    </row>
  </sheetData>
  <mergeCells count="7">
    <mergeCell ref="A1:L1"/>
    <mergeCell ref="A2:L2"/>
    <mergeCell ref="N2:O2"/>
    <mergeCell ref="A14:L14"/>
    <mergeCell ref="A26:L26"/>
    <mergeCell ref="A38:L38"/>
    <mergeCell ref="A50:L5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1"/>
  <sheetViews>
    <sheetView workbookViewId="0">
      <pane ySplit="1" topLeftCell="A2" activePane="bottomLeft" state="frozen"/>
      <selection/>
      <selection pane="bottomLeft" activeCell="M12" sqref="M12"/>
    </sheetView>
  </sheetViews>
  <sheetFormatPr defaultColWidth="9" defaultRowHeight="16.8"/>
  <cols>
    <col min="1" max="12" width="9" customWidth="1"/>
    <col min="13" max="13" width="5.328125" customWidth="1"/>
    <col min="14" max="14" width="10" customWidth="1"/>
    <col min="15" max="15" width="40" customWidth="1"/>
  </cols>
  <sheetData>
    <row r="1" ht="30" customHeight="1" spans="1:15">
      <c r="A1" s="1" t="s">
        <v>134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5">
      <c r="A2" s="4" t="s">
        <v>93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N2" s="6" t="s">
        <v>94</v>
      </c>
      <c r="O2" s="3"/>
    </row>
    <row r="3" ht="50" customHeight="1" spans="1:15">
      <c r="A3" s="6" t="s">
        <v>95</v>
      </c>
      <c r="B3" s="6" t="s">
        <v>96</v>
      </c>
      <c r="C3" s="6" t="s">
        <v>97</v>
      </c>
      <c r="D3" s="6" t="s">
        <v>98</v>
      </c>
      <c r="E3" s="6" t="s">
        <v>99</v>
      </c>
      <c r="F3" s="6" t="s">
        <v>100</v>
      </c>
      <c r="G3" s="6" t="s">
        <v>47</v>
      </c>
      <c r="H3" s="6" t="s">
        <v>101</v>
      </c>
      <c r="I3" s="6" t="s">
        <v>102</v>
      </c>
      <c r="J3" s="6" t="s">
        <v>103</v>
      </c>
      <c r="K3" s="6" t="s">
        <v>104</v>
      </c>
      <c r="L3" s="6" t="s">
        <v>105</v>
      </c>
      <c r="N3" s="15" t="s">
        <v>135</v>
      </c>
      <c r="O3" s="18" t="s">
        <v>136</v>
      </c>
    </row>
    <row r="4" ht="47" customHeight="1" spans="1:15">
      <c r="A4" s="7" t="s">
        <v>108</v>
      </c>
      <c r="B4" s="46">
        <v>0.0031</v>
      </c>
      <c r="C4" s="46">
        <v>0.018</v>
      </c>
      <c r="D4" s="22">
        <v>0.0535</v>
      </c>
      <c r="E4" s="22">
        <v>0.1403</v>
      </c>
      <c r="F4" s="22">
        <v>0.2936</v>
      </c>
      <c r="G4" s="22">
        <v>0.3989</v>
      </c>
      <c r="H4" s="22">
        <v>0.2757</v>
      </c>
      <c r="I4" s="22">
        <v>0.093</v>
      </c>
      <c r="J4" s="46">
        <v>0.0023</v>
      </c>
      <c r="K4" s="46">
        <v>0.0011</v>
      </c>
      <c r="L4" s="46">
        <v>0.0002</v>
      </c>
      <c r="N4" s="17" t="s">
        <v>106</v>
      </c>
      <c r="O4" s="18" t="s">
        <v>137</v>
      </c>
    </row>
    <row r="5" ht="50" customHeight="1" spans="1:15">
      <c r="A5" s="10" t="s">
        <v>111</v>
      </c>
      <c r="B5" s="46">
        <v>0.0042</v>
      </c>
      <c r="C5" s="46">
        <v>0.0364</v>
      </c>
      <c r="D5" s="22">
        <v>0.0871</v>
      </c>
      <c r="E5" s="22">
        <v>0.1888</v>
      </c>
      <c r="F5" s="21">
        <v>0.3248</v>
      </c>
      <c r="G5" s="22">
        <v>0.3989</v>
      </c>
      <c r="H5" s="21">
        <v>0.3159</v>
      </c>
      <c r="I5" s="22">
        <v>0.1548</v>
      </c>
      <c r="J5" s="46">
        <v>0.0096</v>
      </c>
      <c r="K5" s="46">
        <v>0.0039</v>
      </c>
      <c r="L5" s="46">
        <v>0.0012</v>
      </c>
      <c r="N5" s="10" t="s">
        <v>138</v>
      </c>
      <c r="O5" s="18" t="s">
        <v>139</v>
      </c>
    </row>
    <row r="6" spans="1:15">
      <c r="A6" s="7" t="s">
        <v>112</v>
      </c>
      <c r="B6" s="46">
        <v>0.0081</v>
      </c>
      <c r="C6" s="46">
        <v>0.0494</v>
      </c>
      <c r="D6" s="22">
        <v>0.1124</v>
      </c>
      <c r="E6" s="22">
        <v>0.2171</v>
      </c>
      <c r="F6" s="21">
        <v>0.3387</v>
      </c>
      <c r="G6" s="22">
        <v>0.3989</v>
      </c>
      <c r="H6" s="21">
        <v>0.3334</v>
      </c>
      <c r="I6" s="22">
        <v>0.1929</v>
      </c>
      <c r="J6" s="46">
        <v>0.0242</v>
      </c>
      <c r="K6" s="46">
        <v>0.0052</v>
      </c>
      <c r="L6" s="46">
        <v>0.0007</v>
      </c>
    </row>
    <row r="7" spans="1:15">
      <c r="A7" s="10" t="s">
        <v>113</v>
      </c>
      <c r="B7" s="21">
        <v>0.3309</v>
      </c>
      <c r="C7" s="21">
        <v>0.5047</v>
      </c>
      <c r="D7" s="21">
        <v>0.617</v>
      </c>
      <c r="E7" s="21">
        <v>0.7391</v>
      </c>
      <c r="F7" s="21">
        <v>0.8455</v>
      </c>
      <c r="G7" s="22">
        <v>0.8921</v>
      </c>
      <c r="H7" s="21">
        <v>0.8384</v>
      </c>
      <c r="I7" s="21">
        <v>0.6993</v>
      </c>
      <c r="J7" s="21">
        <v>0.393</v>
      </c>
      <c r="K7" s="22">
        <v>0.2069</v>
      </c>
      <c r="L7" s="22">
        <v>0.1128</v>
      </c>
    </row>
    <row r="8" spans="1:15">
      <c r="A8" s="7" t="s">
        <v>114</v>
      </c>
      <c r="B8" s="21">
        <v>0.3843</v>
      </c>
      <c r="C8" s="21">
        <v>0.5674</v>
      </c>
      <c r="D8" s="21">
        <v>0.6743</v>
      </c>
      <c r="E8" s="21">
        <v>0.7787</v>
      </c>
      <c r="F8" s="21">
        <v>0.8598</v>
      </c>
      <c r="G8" s="22">
        <v>0.8921</v>
      </c>
      <c r="H8" s="21">
        <v>0.8568</v>
      </c>
      <c r="I8" s="21">
        <v>0.7589</v>
      </c>
      <c r="J8" s="21">
        <v>0.4912</v>
      </c>
      <c r="K8" s="22">
        <v>0.2798</v>
      </c>
      <c r="L8" s="22">
        <v>0.1557</v>
      </c>
    </row>
    <row r="9" spans="1:15">
      <c r="A9" s="10" t="s">
        <v>115</v>
      </c>
      <c r="B9" s="21">
        <v>0.4209</v>
      </c>
      <c r="C9" s="21">
        <v>0.6045</v>
      </c>
      <c r="D9" s="21">
        <v>0.7051</v>
      </c>
      <c r="E9" s="21">
        <v>0.7978</v>
      </c>
      <c r="F9" s="21">
        <v>0.8661</v>
      </c>
      <c r="G9" s="22">
        <v>0.8921</v>
      </c>
      <c r="H9" s="21">
        <v>0.8643</v>
      </c>
      <c r="I9" s="21">
        <v>0.7855</v>
      </c>
      <c r="J9" s="21">
        <v>0.5488</v>
      </c>
      <c r="K9" s="21">
        <v>0.3327</v>
      </c>
      <c r="L9" s="22">
        <v>0.1907</v>
      </c>
    </row>
    <row r="10" spans="1:15">
      <c r="A10" s="7" t="s">
        <v>116</v>
      </c>
      <c r="B10" s="21">
        <v>0.7035</v>
      </c>
      <c r="C10" s="21">
        <v>0.9001</v>
      </c>
      <c r="D10" s="21">
        <v>1.0138</v>
      </c>
      <c r="E10" s="21">
        <v>1.1281</v>
      </c>
      <c r="F10" s="21">
        <v>1.2222</v>
      </c>
      <c r="G10" s="22">
        <v>1.2616</v>
      </c>
      <c r="H10" s="21">
        <v>1.2172</v>
      </c>
      <c r="I10" s="21">
        <v>1.0991</v>
      </c>
      <c r="J10" s="21">
        <v>0.8019</v>
      </c>
      <c r="K10" s="21">
        <v>0.5696</v>
      </c>
      <c r="L10" s="21">
        <v>0.4122</v>
      </c>
    </row>
    <row r="11" spans="1:15">
      <c r="A11" s="10" t="s">
        <v>117</v>
      </c>
      <c r="B11" s="21">
        <v>0.7934</v>
      </c>
      <c r="C11" s="21">
        <v>0.9857</v>
      </c>
      <c r="D11" s="21">
        <v>1.084</v>
      </c>
      <c r="E11" s="21">
        <v>1.1727</v>
      </c>
      <c r="F11" s="21">
        <v>1.2371</v>
      </c>
      <c r="G11" s="22">
        <v>1.2616</v>
      </c>
      <c r="H11" s="21">
        <v>1.2353</v>
      </c>
      <c r="I11" s="21">
        <v>1.1603</v>
      </c>
      <c r="J11" s="21">
        <v>0.9274</v>
      </c>
      <c r="K11" s="21">
        <v>0.6918</v>
      </c>
      <c r="L11" s="21">
        <v>0.5069</v>
      </c>
    </row>
    <row r="12" spans="1:15">
      <c r="A12" s="7" t="s">
        <v>118</v>
      </c>
      <c r="B12" s="21">
        <v>0.8385</v>
      </c>
      <c r="C12" s="21">
        <v>1.0231</v>
      </c>
      <c r="D12" s="21">
        <v>1.1122</v>
      </c>
      <c r="E12" s="21">
        <v>1.1888</v>
      </c>
      <c r="F12" s="21">
        <v>1.242</v>
      </c>
      <c r="G12" s="22">
        <v>1.2616</v>
      </c>
      <c r="H12" s="21">
        <v>1.241</v>
      </c>
      <c r="I12" s="21">
        <v>1.1817</v>
      </c>
      <c r="J12" s="21">
        <v>0.9857</v>
      </c>
      <c r="K12" s="21">
        <v>0.7654</v>
      </c>
      <c r="L12" s="21">
        <v>0.5767</v>
      </c>
    </row>
    <row r="13" spans="1:15">
      <c r="A13" s="12" t="s">
        <v>119</v>
      </c>
      <c r="B13" s="12" t="s">
        <v>119</v>
      </c>
      <c r="C13" s="12" t="s">
        <v>119</v>
      </c>
      <c r="D13" s="12" t="s">
        <v>119</v>
      </c>
      <c r="E13" s="12" t="s">
        <v>119</v>
      </c>
      <c r="F13" s="12" t="s">
        <v>119</v>
      </c>
      <c r="G13" s="12" t="s">
        <v>119</v>
      </c>
      <c r="H13" s="12" t="s">
        <v>119</v>
      </c>
      <c r="I13" s="12" t="s">
        <v>119</v>
      </c>
      <c r="J13" s="12" t="s">
        <v>119</v>
      </c>
      <c r="K13" s="12" t="s">
        <v>119</v>
      </c>
      <c r="L13" s="12" t="s">
        <v>119</v>
      </c>
      <c r="M13" s="12" t="s">
        <v>119</v>
      </c>
    </row>
    <row r="14" spans="1:15">
      <c r="A14" s="4" t="s">
        <v>120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</row>
    <row r="15" spans="1:15">
      <c r="A15" s="6" t="s">
        <v>95</v>
      </c>
      <c r="B15" s="6" t="s">
        <v>96</v>
      </c>
      <c r="C15" s="6" t="s">
        <v>97</v>
      </c>
      <c r="D15" s="6" t="s">
        <v>98</v>
      </c>
      <c r="E15" s="6" t="s">
        <v>99</v>
      </c>
      <c r="F15" s="6" t="s">
        <v>100</v>
      </c>
      <c r="G15" s="6" t="s">
        <v>47</v>
      </c>
      <c r="H15" s="6" t="s">
        <v>101</v>
      </c>
      <c r="I15" s="6" t="s">
        <v>102</v>
      </c>
      <c r="J15" s="6" t="s">
        <v>103</v>
      </c>
      <c r="K15" s="6" t="s">
        <v>104</v>
      </c>
      <c r="L15" s="6" t="s">
        <v>105</v>
      </c>
    </row>
    <row r="16" spans="1:15">
      <c r="A16" s="7" t="s">
        <v>108</v>
      </c>
      <c r="B16" s="46">
        <v>0.0017</v>
      </c>
      <c r="C16" s="46">
        <v>0.0166</v>
      </c>
      <c r="D16" s="22">
        <v>0.0537</v>
      </c>
      <c r="E16" s="22">
        <v>0.1412</v>
      </c>
      <c r="F16" s="22">
        <v>0.2949</v>
      </c>
      <c r="G16" s="22">
        <v>0.3989</v>
      </c>
      <c r="H16" s="22">
        <v>0.2771</v>
      </c>
      <c r="I16" s="22">
        <v>0.0962</v>
      </c>
      <c r="J16" s="46">
        <v>0.0038</v>
      </c>
      <c r="K16" s="46">
        <v>0.001</v>
      </c>
      <c r="L16" s="46">
        <v>0</v>
      </c>
    </row>
    <row r="17" spans="1:13">
      <c r="A17" s="10" t="s">
        <v>111</v>
      </c>
      <c r="B17" s="46">
        <v>0.0014</v>
      </c>
      <c r="C17" s="46">
        <v>0.037</v>
      </c>
      <c r="D17" s="22">
        <v>0.09</v>
      </c>
      <c r="E17" s="22">
        <v>0.192</v>
      </c>
      <c r="F17" s="21">
        <v>0.3257</v>
      </c>
      <c r="G17" s="22">
        <v>0.3989</v>
      </c>
      <c r="H17" s="21">
        <v>0.3169</v>
      </c>
      <c r="I17" s="22">
        <v>0.1566</v>
      </c>
      <c r="J17" s="46">
        <v>0.0148</v>
      </c>
      <c r="K17" s="46">
        <v>0.0025</v>
      </c>
      <c r="L17" s="46">
        <v>0.0018</v>
      </c>
    </row>
    <row r="18" spans="1:13">
      <c r="A18" s="7" t="s">
        <v>112</v>
      </c>
      <c r="B18" s="46">
        <v>0.0069</v>
      </c>
      <c r="C18" s="22">
        <v>0.0528</v>
      </c>
      <c r="D18" s="22">
        <v>0.1134</v>
      </c>
      <c r="E18" s="22">
        <v>0.2186</v>
      </c>
      <c r="F18" s="21">
        <v>0.3396</v>
      </c>
      <c r="G18" s="22">
        <v>0.3989</v>
      </c>
      <c r="H18" s="21">
        <v>0.3341</v>
      </c>
      <c r="I18" s="22">
        <v>0.1946</v>
      </c>
      <c r="J18" s="46">
        <v>0.025</v>
      </c>
      <c r="K18" s="46">
        <v>0.0004</v>
      </c>
      <c r="L18" s="46">
        <v>0</v>
      </c>
    </row>
    <row r="19" spans="1:13">
      <c r="A19" s="10" t="s">
        <v>113</v>
      </c>
      <c r="B19" s="21">
        <v>0.3341</v>
      </c>
      <c r="C19" s="21">
        <v>0.5078</v>
      </c>
      <c r="D19" s="21">
        <v>0.6198</v>
      </c>
      <c r="E19" s="21">
        <v>0.741</v>
      </c>
      <c r="F19" s="21">
        <v>0.8462</v>
      </c>
      <c r="G19" s="22">
        <v>0.8921</v>
      </c>
      <c r="H19" s="21">
        <v>0.8393</v>
      </c>
      <c r="I19" s="21">
        <v>0.7015</v>
      </c>
      <c r="J19" s="21">
        <v>0.3968</v>
      </c>
      <c r="K19" s="22">
        <v>0.2109</v>
      </c>
      <c r="L19" s="22">
        <v>0.1136</v>
      </c>
    </row>
    <row r="20" spans="1:13">
      <c r="A20" s="7" t="s">
        <v>114</v>
      </c>
      <c r="B20" s="21">
        <v>0.3878</v>
      </c>
      <c r="C20" s="21">
        <v>0.5702</v>
      </c>
      <c r="D20" s="21">
        <v>0.6765</v>
      </c>
      <c r="E20" s="21">
        <v>0.7797</v>
      </c>
      <c r="F20" s="21">
        <v>0.8602</v>
      </c>
      <c r="G20" s="22">
        <v>0.8921</v>
      </c>
      <c r="H20" s="21">
        <v>0.8572</v>
      </c>
      <c r="I20" s="21">
        <v>0.7605</v>
      </c>
      <c r="J20" s="21">
        <v>0.4947</v>
      </c>
      <c r="K20" s="22">
        <v>0.2822</v>
      </c>
      <c r="L20" s="22">
        <v>0.1574</v>
      </c>
    </row>
    <row r="21" spans="1:13">
      <c r="A21" s="10" t="s">
        <v>115</v>
      </c>
      <c r="B21" s="21">
        <v>0.4234</v>
      </c>
      <c r="C21" s="21">
        <v>0.6068</v>
      </c>
      <c r="D21" s="21">
        <v>0.7069</v>
      </c>
      <c r="E21" s="21">
        <v>0.7987</v>
      </c>
      <c r="F21" s="21">
        <v>0.8663</v>
      </c>
      <c r="G21" s="22">
        <v>0.8921</v>
      </c>
      <c r="H21" s="21">
        <v>0.8646</v>
      </c>
      <c r="I21" s="21">
        <v>0.7867</v>
      </c>
      <c r="J21" s="21">
        <v>0.552</v>
      </c>
      <c r="K21" s="21">
        <v>0.335</v>
      </c>
      <c r="L21" s="22">
        <v>0.1928</v>
      </c>
    </row>
    <row r="22" spans="1:13">
      <c r="A22" s="7" t="s">
        <v>116</v>
      </c>
      <c r="B22" s="21">
        <v>0.7079</v>
      </c>
      <c r="C22" s="21">
        <v>0.9037</v>
      </c>
      <c r="D22" s="21">
        <v>1.0169</v>
      </c>
      <c r="E22" s="21">
        <v>1.1299</v>
      </c>
      <c r="F22" s="21">
        <v>1.2228</v>
      </c>
      <c r="G22" s="22">
        <v>1.2616</v>
      </c>
      <c r="H22" s="21">
        <v>1.2179</v>
      </c>
      <c r="I22" s="21">
        <v>1.1013</v>
      </c>
      <c r="J22" s="21">
        <v>0.8073</v>
      </c>
      <c r="K22" s="21">
        <v>0.5741</v>
      </c>
      <c r="L22" s="21">
        <v>0.4168</v>
      </c>
    </row>
    <row r="23" spans="1:13">
      <c r="A23" s="10" t="s">
        <v>117</v>
      </c>
      <c r="B23" s="21">
        <v>0.7969</v>
      </c>
      <c r="C23" s="21">
        <v>0.9884</v>
      </c>
      <c r="D23" s="21">
        <v>1.086</v>
      </c>
      <c r="E23" s="21">
        <v>1.1738</v>
      </c>
      <c r="F23" s="21">
        <v>1.2374</v>
      </c>
      <c r="G23" s="22">
        <v>1.2616</v>
      </c>
      <c r="H23" s="21">
        <v>1.2356</v>
      </c>
      <c r="I23" s="21">
        <v>1.1615</v>
      </c>
      <c r="J23" s="21">
        <v>0.9306</v>
      </c>
      <c r="K23" s="21">
        <v>0.6958</v>
      </c>
      <c r="L23" s="21">
        <v>0.511</v>
      </c>
    </row>
    <row r="24" spans="1:13">
      <c r="A24" s="7" t="s">
        <v>118</v>
      </c>
      <c r="B24" s="21">
        <v>0.8416</v>
      </c>
      <c r="C24" s="21">
        <v>1.0251</v>
      </c>
      <c r="D24" s="21">
        <v>1.1136</v>
      </c>
      <c r="E24" s="21">
        <v>1.1895</v>
      </c>
      <c r="F24" s="21">
        <v>1.2423</v>
      </c>
      <c r="G24" s="22">
        <v>1.2616</v>
      </c>
      <c r="H24" s="21">
        <v>1.2413</v>
      </c>
      <c r="I24" s="21">
        <v>1.1826</v>
      </c>
      <c r="J24" s="21">
        <v>0.9883</v>
      </c>
      <c r="K24" s="21">
        <v>0.7688</v>
      </c>
      <c r="L24" s="21">
        <v>0.5805</v>
      </c>
    </row>
    <row r="25" spans="1:13">
      <c r="A25" s="12" t="s">
        <v>119</v>
      </c>
      <c r="B25" s="12" t="s">
        <v>119</v>
      </c>
      <c r="C25" s="12" t="s">
        <v>119</v>
      </c>
      <c r="D25" s="12" t="s">
        <v>119</v>
      </c>
      <c r="E25" s="12" t="s">
        <v>119</v>
      </c>
      <c r="F25" s="12" t="s">
        <v>119</v>
      </c>
      <c r="G25" s="12" t="s">
        <v>119</v>
      </c>
      <c r="H25" s="12" t="s">
        <v>119</v>
      </c>
      <c r="I25" s="12" t="s">
        <v>119</v>
      </c>
      <c r="J25" s="12" t="s">
        <v>119</v>
      </c>
      <c r="K25" s="12" t="s">
        <v>119</v>
      </c>
      <c r="L25" s="12" t="s">
        <v>119</v>
      </c>
      <c r="M25" s="12" t="s">
        <v>119</v>
      </c>
    </row>
    <row r="26" spans="1:13">
      <c r="A26" s="4" t="s">
        <v>121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</row>
    <row r="27" spans="1:13">
      <c r="A27" s="6" t="s">
        <v>95</v>
      </c>
      <c r="B27" s="6" t="s">
        <v>96</v>
      </c>
      <c r="C27" s="6" t="s">
        <v>97</v>
      </c>
      <c r="D27" s="6" t="s">
        <v>98</v>
      </c>
      <c r="E27" s="6" t="s">
        <v>99</v>
      </c>
      <c r="F27" s="6" t="s">
        <v>100</v>
      </c>
      <c r="G27" s="6" t="s">
        <v>47</v>
      </c>
      <c r="H27" s="6" t="s">
        <v>101</v>
      </c>
      <c r="I27" s="6" t="s">
        <v>102</v>
      </c>
      <c r="J27" s="6" t="s">
        <v>103</v>
      </c>
      <c r="K27" s="6" t="s">
        <v>104</v>
      </c>
      <c r="L27" s="6" t="s">
        <v>105</v>
      </c>
    </row>
    <row r="28" spans="1:13">
      <c r="A28" s="7" t="s">
        <v>108</v>
      </c>
      <c r="B28" s="46">
        <v>0.0025</v>
      </c>
      <c r="C28" s="46">
        <v>0.0178</v>
      </c>
      <c r="D28" s="22">
        <v>0.0559</v>
      </c>
      <c r="E28" s="22">
        <v>0.1438</v>
      </c>
      <c r="F28" s="22">
        <v>0.2966</v>
      </c>
      <c r="G28" s="22">
        <v>0.3989</v>
      </c>
      <c r="H28" s="22">
        <v>0.2784</v>
      </c>
      <c r="I28" s="22">
        <v>0.0956</v>
      </c>
      <c r="J28" s="46">
        <v>0.0049</v>
      </c>
      <c r="K28" s="46">
        <v>0.0017</v>
      </c>
      <c r="L28" s="46">
        <v>0.0012</v>
      </c>
    </row>
    <row r="29" spans="1:13">
      <c r="A29" s="10" t="s">
        <v>111</v>
      </c>
      <c r="B29" s="46">
        <v>0.011</v>
      </c>
      <c r="C29" s="46">
        <v>0.0385</v>
      </c>
      <c r="D29" s="22">
        <v>0.0922</v>
      </c>
      <c r="E29" s="22">
        <v>0.1931</v>
      </c>
      <c r="F29" s="21">
        <v>0.3266</v>
      </c>
      <c r="G29" s="22">
        <v>0.3989</v>
      </c>
      <c r="H29" s="21">
        <v>0.318</v>
      </c>
      <c r="I29" s="22">
        <v>0.1587</v>
      </c>
      <c r="J29" s="46">
        <v>0.0129</v>
      </c>
      <c r="K29" s="46">
        <v>0.0004</v>
      </c>
      <c r="L29" s="46">
        <v>0</v>
      </c>
    </row>
    <row r="30" spans="1:13">
      <c r="A30" s="7" t="s">
        <v>112</v>
      </c>
      <c r="B30" s="46">
        <v>0.0117</v>
      </c>
      <c r="C30" s="22">
        <v>0.0511</v>
      </c>
      <c r="D30" s="22">
        <v>0.116</v>
      </c>
      <c r="E30" s="22">
        <v>0.2194</v>
      </c>
      <c r="F30" s="21">
        <v>0.34</v>
      </c>
      <c r="G30" s="22">
        <v>0.3989</v>
      </c>
      <c r="H30" s="21">
        <v>0.3348</v>
      </c>
      <c r="I30" s="22">
        <v>0.1959</v>
      </c>
      <c r="J30" s="46">
        <v>0.0255</v>
      </c>
      <c r="K30" s="46">
        <v>0.0032</v>
      </c>
      <c r="L30" s="46">
        <v>0</v>
      </c>
    </row>
    <row r="31" spans="1:13">
      <c r="A31" s="10" t="s">
        <v>113</v>
      </c>
      <c r="B31" s="21">
        <v>0.3378</v>
      </c>
      <c r="C31" s="21">
        <v>0.5108</v>
      </c>
      <c r="D31" s="21">
        <v>0.6226</v>
      </c>
      <c r="E31" s="21">
        <v>0.7429</v>
      </c>
      <c r="F31" s="21">
        <v>0.8469</v>
      </c>
      <c r="G31" s="22">
        <v>0.8921</v>
      </c>
      <c r="H31" s="21">
        <v>0.84</v>
      </c>
      <c r="I31" s="21">
        <v>0.704</v>
      </c>
      <c r="J31" s="21">
        <v>0.4009</v>
      </c>
      <c r="K31" s="22">
        <v>0.2124</v>
      </c>
      <c r="L31" s="22">
        <v>0.117</v>
      </c>
    </row>
    <row r="32" spans="1:13">
      <c r="A32" s="7" t="s">
        <v>114</v>
      </c>
      <c r="B32" s="21">
        <v>0.3907</v>
      </c>
      <c r="C32" s="21">
        <v>0.5728</v>
      </c>
      <c r="D32" s="21">
        <v>0.6783</v>
      </c>
      <c r="E32" s="21">
        <v>0.781</v>
      </c>
      <c r="F32" s="21">
        <v>0.8606</v>
      </c>
      <c r="G32" s="22">
        <v>0.8921</v>
      </c>
      <c r="H32" s="21">
        <v>0.8577</v>
      </c>
      <c r="I32" s="21">
        <v>0.762</v>
      </c>
      <c r="J32" s="21">
        <v>0.4974</v>
      </c>
      <c r="K32" s="22">
        <v>0.2861</v>
      </c>
      <c r="L32" s="22">
        <v>0.161</v>
      </c>
    </row>
    <row r="33" spans="1:13">
      <c r="A33" s="10" t="s">
        <v>115</v>
      </c>
      <c r="B33" s="21">
        <v>0.4263</v>
      </c>
      <c r="C33" s="21">
        <v>0.6088</v>
      </c>
      <c r="D33" s="21">
        <v>0.7083</v>
      </c>
      <c r="E33" s="21">
        <v>0.7996</v>
      </c>
      <c r="F33" s="21">
        <v>0.8666</v>
      </c>
      <c r="G33" s="22">
        <v>0.8921</v>
      </c>
      <c r="H33" s="21">
        <v>0.8649</v>
      </c>
      <c r="I33" s="21">
        <v>0.7876</v>
      </c>
      <c r="J33" s="21">
        <v>0.5545</v>
      </c>
      <c r="K33" s="21">
        <v>0.3371</v>
      </c>
      <c r="L33" s="22">
        <v>0.194</v>
      </c>
    </row>
    <row r="34" spans="1:13">
      <c r="A34" s="7" t="s">
        <v>116</v>
      </c>
      <c r="B34" s="21">
        <v>0.712</v>
      </c>
      <c r="C34" s="21">
        <v>0.9069</v>
      </c>
      <c r="D34" s="21">
        <v>1.0197</v>
      </c>
      <c r="E34" s="21">
        <v>1.1316</v>
      </c>
      <c r="F34" s="21">
        <v>1.2234</v>
      </c>
      <c r="G34" s="22">
        <v>1.2616</v>
      </c>
      <c r="H34" s="21">
        <v>1.2187</v>
      </c>
      <c r="I34" s="21">
        <v>1.1034</v>
      </c>
      <c r="J34" s="21">
        <v>0.812</v>
      </c>
      <c r="K34" s="21">
        <v>0.5788</v>
      </c>
      <c r="L34" s="21">
        <v>0.4201</v>
      </c>
    </row>
    <row r="35" spans="1:13">
      <c r="A35" s="10" t="s">
        <v>117</v>
      </c>
      <c r="B35" s="21">
        <v>0.8003</v>
      </c>
      <c r="C35" s="21">
        <v>0.9908</v>
      </c>
      <c r="D35" s="21">
        <v>1.0878</v>
      </c>
      <c r="E35" s="21">
        <v>1.1747</v>
      </c>
      <c r="F35" s="21">
        <v>1.2377</v>
      </c>
      <c r="G35" s="22">
        <v>1.2616</v>
      </c>
      <c r="H35" s="21">
        <v>1.236</v>
      </c>
      <c r="I35" s="21">
        <v>1.1628</v>
      </c>
      <c r="J35" s="21">
        <v>0.9337</v>
      </c>
      <c r="K35" s="21">
        <v>0.7002</v>
      </c>
      <c r="L35" s="21">
        <v>0.5141</v>
      </c>
    </row>
    <row r="36" spans="1:13">
      <c r="A36" s="7" t="s">
        <v>118</v>
      </c>
      <c r="B36" s="21">
        <v>0.8446</v>
      </c>
      <c r="C36" s="21">
        <v>1.0273</v>
      </c>
      <c r="D36" s="21">
        <v>1.1151</v>
      </c>
      <c r="E36" s="21">
        <v>1.1902</v>
      </c>
      <c r="F36" s="21">
        <v>1.2425</v>
      </c>
      <c r="G36" s="22">
        <v>1.2616</v>
      </c>
      <c r="H36" s="21">
        <v>1.2415</v>
      </c>
      <c r="I36" s="21">
        <v>1.1834</v>
      </c>
      <c r="J36" s="21">
        <v>0.9907</v>
      </c>
      <c r="K36" s="21">
        <v>0.7723</v>
      </c>
      <c r="L36" s="21">
        <v>0.5845</v>
      </c>
    </row>
    <row r="37" spans="1:13">
      <c r="A37" s="12" t="s">
        <v>119</v>
      </c>
      <c r="B37" s="12" t="s">
        <v>119</v>
      </c>
      <c r="C37" s="12" t="s">
        <v>119</v>
      </c>
      <c r="D37" s="12" t="s">
        <v>119</v>
      </c>
      <c r="E37" s="12" t="s">
        <v>119</v>
      </c>
      <c r="F37" s="12" t="s">
        <v>119</v>
      </c>
      <c r="G37" s="12" t="s">
        <v>119</v>
      </c>
      <c r="H37" s="12" t="s">
        <v>119</v>
      </c>
      <c r="I37" s="12" t="s">
        <v>119</v>
      </c>
      <c r="J37" s="12" t="s">
        <v>119</v>
      </c>
      <c r="K37" s="12" t="s">
        <v>119</v>
      </c>
      <c r="L37" s="12" t="s">
        <v>119</v>
      </c>
      <c r="M37" s="12" t="s">
        <v>119</v>
      </c>
    </row>
    <row r="38" spans="1:13">
      <c r="A38" s="4" t="s">
        <v>122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</row>
    <row r="39" spans="1:13">
      <c r="A39" s="6" t="s">
        <v>95</v>
      </c>
      <c r="B39" s="6" t="s">
        <v>96</v>
      </c>
      <c r="C39" s="6" t="s">
        <v>97</v>
      </c>
      <c r="D39" s="6" t="s">
        <v>98</v>
      </c>
      <c r="E39" s="6" t="s">
        <v>99</v>
      </c>
      <c r="F39" s="6" t="s">
        <v>100</v>
      </c>
      <c r="G39" s="6" t="s">
        <v>47</v>
      </c>
      <c r="H39" s="6" t="s">
        <v>101</v>
      </c>
      <c r="I39" s="6" t="s">
        <v>102</v>
      </c>
      <c r="J39" s="6" t="s">
        <v>103</v>
      </c>
      <c r="K39" s="6" t="s">
        <v>104</v>
      </c>
      <c r="L39" s="6" t="s">
        <v>105</v>
      </c>
    </row>
    <row r="40" spans="1:13">
      <c r="A40" s="7" t="s">
        <v>108</v>
      </c>
      <c r="B40" s="46">
        <v>0.0031</v>
      </c>
      <c r="C40" s="46">
        <v>0.0214</v>
      </c>
      <c r="D40" s="22">
        <v>0.0575</v>
      </c>
      <c r="E40" s="22">
        <v>0.145</v>
      </c>
      <c r="F40" s="22">
        <v>0.2976</v>
      </c>
      <c r="G40" s="22">
        <v>0.3989</v>
      </c>
      <c r="H40" s="22">
        <v>0.2805</v>
      </c>
      <c r="I40" s="22">
        <v>0.0986</v>
      </c>
      <c r="J40" s="46">
        <v>0.0045</v>
      </c>
      <c r="K40" s="46">
        <v>0.003</v>
      </c>
      <c r="L40" s="46">
        <v>0</v>
      </c>
    </row>
    <row r="41" spans="1:13">
      <c r="A41" s="10" t="s">
        <v>111</v>
      </c>
      <c r="B41" s="46">
        <v>0.0065</v>
      </c>
      <c r="C41" s="46">
        <v>0.0387</v>
      </c>
      <c r="D41" s="22">
        <v>0.0928</v>
      </c>
      <c r="E41" s="22">
        <v>0.1948</v>
      </c>
      <c r="F41" s="21">
        <v>0.3275</v>
      </c>
      <c r="G41" s="22">
        <v>0.3989</v>
      </c>
      <c r="H41" s="21">
        <v>0.319</v>
      </c>
      <c r="I41" s="22">
        <v>0.161</v>
      </c>
      <c r="J41" s="46">
        <v>0.015</v>
      </c>
      <c r="K41" s="46">
        <v>0.0011</v>
      </c>
      <c r="L41" s="46">
        <v>0</v>
      </c>
    </row>
    <row r="42" spans="1:13">
      <c r="A42" s="7" t="s">
        <v>112</v>
      </c>
      <c r="B42" s="46">
        <v>0.0087</v>
      </c>
      <c r="C42" s="22">
        <v>0.0538</v>
      </c>
      <c r="D42" s="22">
        <v>0.1174</v>
      </c>
      <c r="E42" s="22">
        <v>0.2211</v>
      </c>
      <c r="F42" s="21">
        <v>0.3408</v>
      </c>
      <c r="G42" s="22">
        <v>0.3989</v>
      </c>
      <c r="H42" s="21">
        <v>0.3354</v>
      </c>
      <c r="I42" s="22">
        <v>0.1982</v>
      </c>
      <c r="J42" s="46">
        <v>0.0282</v>
      </c>
      <c r="K42" s="46">
        <v>0.0031</v>
      </c>
      <c r="L42" s="46">
        <v>0.0015</v>
      </c>
    </row>
    <row r="43" spans="1:13">
      <c r="A43" s="10" t="s">
        <v>113</v>
      </c>
      <c r="B43" s="21">
        <v>0.3409</v>
      </c>
      <c r="C43" s="21">
        <v>0.5137</v>
      </c>
      <c r="D43" s="21">
        <v>0.6254</v>
      </c>
      <c r="E43" s="21">
        <v>0.7444</v>
      </c>
      <c r="F43" s="21">
        <v>0.8475</v>
      </c>
      <c r="G43" s="22">
        <v>0.8921</v>
      </c>
      <c r="H43" s="21">
        <v>0.8407</v>
      </c>
      <c r="I43" s="21">
        <v>0.7064</v>
      </c>
      <c r="J43" s="21">
        <v>0.4045</v>
      </c>
      <c r="K43" s="22">
        <v>0.2156</v>
      </c>
      <c r="L43" s="22">
        <v>0.1184</v>
      </c>
    </row>
    <row r="44" spans="1:13">
      <c r="A44" s="7" t="s">
        <v>114</v>
      </c>
      <c r="B44" s="21">
        <v>0.3935</v>
      </c>
      <c r="C44" s="21">
        <v>0.5753</v>
      </c>
      <c r="D44" s="21">
        <v>0.6803</v>
      </c>
      <c r="E44" s="21">
        <v>0.7821</v>
      </c>
      <c r="F44" s="21">
        <v>0.861</v>
      </c>
      <c r="G44" s="22">
        <v>0.8921</v>
      </c>
      <c r="H44" s="21">
        <v>0.858</v>
      </c>
      <c r="I44" s="21">
        <v>0.7633</v>
      </c>
      <c r="J44" s="21">
        <v>0.5009</v>
      </c>
      <c r="K44" s="22">
        <v>0.2888</v>
      </c>
      <c r="L44" s="22">
        <v>0.1628</v>
      </c>
    </row>
    <row r="45" spans="1:13">
      <c r="A45" s="10" t="s">
        <v>115</v>
      </c>
      <c r="B45" s="21">
        <v>0.4289</v>
      </c>
      <c r="C45" s="21">
        <v>0.6112</v>
      </c>
      <c r="D45" s="21">
        <v>0.71</v>
      </c>
      <c r="E45" s="21">
        <v>0.8004</v>
      </c>
      <c r="F45" s="21">
        <v>0.8669</v>
      </c>
      <c r="G45" s="22">
        <v>0.8921</v>
      </c>
      <c r="H45" s="21">
        <v>0.8652</v>
      </c>
      <c r="I45" s="21">
        <v>0.7887</v>
      </c>
      <c r="J45" s="21">
        <v>0.5572</v>
      </c>
      <c r="K45" s="21">
        <v>0.342</v>
      </c>
      <c r="L45" s="22">
        <v>0.197</v>
      </c>
    </row>
    <row r="46" spans="1:13">
      <c r="A46" s="7" t="s">
        <v>116</v>
      </c>
      <c r="B46" s="21">
        <v>0.7163</v>
      </c>
      <c r="C46" s="21">
        <v>0.9108</v>
      </c>
      <c r="D46" s="21">
        <v>1.0222</v>
      </c>
      <c r="E46" s="21">
        <v>1.1334</v>
      </c>
      <c r="F46" s="21">
        <v>1.224</v>
      </c>
      <c r="G46" s="22">
        <v>1.2616</v>
      </c>
      <c r="H46" s="21">
        <v>1.2193</v>
      </c>
      <c r="I46" s="21">
        <v>1.1058</v>
      </c>
      <c r="J46" s="21">
        <v>0.8163</v>
      </c>
      <c r="K46" s="21">
        <v>0.584</v>
      </c>
      <c r="L46" s="21">
        <v>0.4253</v>
      </c>
    </row>
    <row r="47" spans="1:13">
      <c r="A47" s="10" t="s">
        <v>117</v>
      </c>
      <c r="B47" s="21">
        <v>0.804</v>
      </c>
      <c r="C47" s="21">
        <v>0.9932</v>
      </c>
      <c r="D47" s="21">
        <v>1.0896</v>
      </c>
      <c r="E47" s="21">
        <v>1.1757</v>
      </c>
      <c r="F47" s="21">
        <v>1.238</v>
      </c>
      <c r="G47" s="22">
        <v>1.2616</v>
      </c>
      <c r="H47" s="21">
        <v>1.2363</v>
      </c>
      <c r="I47" s="21">
        <v>1.1639</v>
      </c>
      <c r="J47" s="21">
        <v>0.9366</v>
      </c>
      <c r="K47" s="21">
        <v>0.7035</v>
      </c>
      <c r="L47" s="21">
        <v>0.5185</v>
      </c>
    </row>
    <row r="48" spans="1:13">
      <c r="A48" s="7" t="s">
        <v>118</v>
      </c>
      <c r="B48" s="21">
        <v>0.8476</v>
      </c>
      <c r="C48" s="21">
        <v>1.0293</v>
      </c>
      <c r="D48" s="21">
        <v>1.1165</v>
      </c>
      <c r="E48" s="21">
        <v>1.191</v>
      </c>
      <c r="F48" s="21">
        <v>1.2427</v>
      </c>
      <c r="G48" s="22">
        <v>1.2616</v>
      </c>
      <c r="H48" s="21">
        <v>1.2417</v>
      </c>
      <c r="I48" s="21">
        <v>1.1842</v>
      </c>
      <c r="J48" s="21">
        <v>0.9933</v>
      </c>
      <c r="K48" s="21">
        <v>0.7762</v>
      </c>
      <c r="L48" s="21">
        <v>0.5878</v>
      </c>
    </row>
    <row r="49" spans="1:13">
      <c r="A49" s="12" t="s">
        <v>119</v>
      </c>
      <c r="B49" s="12" t="s">
        <v>119</v>
      </c>
      <c r="C49" s="12" t="s">
        <v>119</v>
      </c>
      <c r="D49" s="12" t="s">
        <v>119</v>
      </c>
      <c r="E49" s="12" t="s">
        <v>119</v>
      </c>
      <c r="F49" s="12" t="s">
        <v>119</v>
      </c>
      <c r="G49" s="12" t="s">
        <v>119</v>
      </c>
      <c r="H49" s="12" t="s">
        <v>119</v>
      </c>
      <c r="I49" s="12" t="s">
        <v>119</v>
      </c>
      <c r="J49" s="12" t="s">
        <v>119</v>
      </c>
      <c r="K49" s="12" t="s">
        <v>119</v>
      </c>
      <c r="L49" s="12" t="s">
        <v>119</v>
      </c>
      <c r="M49" s="12" t="s">
        <v>119</v>
      </c>
    </row>
    <row r="50" spans="1:13">
      <c r="A50" s="4" t="s">
        <v>123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3"/>
    </row>
    <row r="51" spans="1:13">
      <c r="A51" s="6" t="s">
        <v>95</v>
      </c>
      <c r="B51" s="6" t="s">
        <v>96</v>
      </c>
      <c r="C51" s="6" t="s">
        <v>97</v>
      </c>
      <c r="D51" s="6" t="s">
        <v>98</v>
      </c>
      <c r="E51" s="6" t="s">
        <v>99</v>
      </c>
      <c r="F51" s="6" t="s">
        <v>100</v>
      </c>
      <c r="G51" s="6" t="s">
        <v>47</v>
      </c>
      <c r="H51" s="6" t="s">
        <v>101</v>
      </c>
      <c r="I51" s="6" t="s">
        <v>102</v>
      </c>
      <c r="J51" s="6" t="s">
        <v>103</v>
      </c>
      <c r="K51" s="6" t="s">
        <v>104</v>
      </c>
      <c r="L51" s="6" t="s">
        <v>105</v>
      </c>
    </row>
    <row r="52" spans="1:13">
      <c r="A52" s="7" t="s">
        <v>108</v>
      </c>
      <c r="B52" s="46">
        <v>0</v>
      </c>
      <c r="C52" s="46">
        <v>0.0228</v>
      </c>
      <c r="D52" s="22">
        <v>0.0582</v>
      </c>
      <c r="E52" s="22">
        <v>0.1481</v>
      </c>
      <c r="F52" s="22">
        <v>0.2988</v>
      </c>
      <c r="G52" s="22">
        <v>0.3989</v>
      </c>
      <c r="H52" s="22">
        <v>0.282</v>
      </c>
      <c r="I52" s="22">
        <v>0.1008</v>
      </c>
      <c r="J52" s="46">
        <v>0.0026</v>
      </c>
      <c r="K52" s="46">
        <v>0.0019</v>
      </c>
      <c r="L52" s="46">
        <v>0</v>
      </c>
    </row>
    <row r="53" spans="1:13">
      <c r="A53" s="10" t="s">
        <v>111</v>
      </c>
      <c r="B53" s="46">
        <v>0.0056</v>
      </c>
      <c r="C53" s="46">
        <v>0.04</v>
      </c>
      <c r="D53" s="22">
        <v>0.0947</v>
      </c>
      <c r="E53" s="22">
        <v>0.1963</v>
      </c>
      <c r="F53" s="21">
        <v>0.3281</v>
      </c>
      <c r="G53" s="22">
        <v>0.3989</v>
      </c>
      <c r="H53" s="21">
        <v>0.3199</v>
      </c>
      <c r="I53" s="22">
        <v>0.163</v>
      </c>
      <c r="J53" s="46">
        <v>0.0131</v>
      </c>
      <c r="K53" s="46">
        <v>0.0041</v>
      </c>
      <c r="L53" s="46">
        <v>0.0003</v>
      </c>
    </row>
    <row r="54" spans="1:13">
      <c r="A54" s="7" t="s">
        <v>112</v>
      </c>
      <c r="B54" s="46">
        <v>0.0107</v>
      </c>
      <c r="C54" s="22">
        <v>0.0548</v>
      </c>
      <c r="D54" s="22">
        <v>0.1196</v>
      </c>
      <c r="E54" s="22">
        <v>0.2231</v>
      </c>
      <c r="F54" s="21">
        <v>0.3412</v>
      </c>
      <c r="G54" s="22">
        <v>0.3989</v>
      </c>
      <c r="H54" s="21">
        <v>0.3362</v>
      </c>
      <c r="I54" s="22">
        <v>0.1999</v>
      </c>
      <c r="J54" s="46">
        <v>0.0268</v>
      </c>
      <c r="K54" s="46">
        <v>0.0033</v>
      </c>
      <c r="L54" s="46">
        <v>0.0023</v>
      </c>
    </row>
    <row r="55" spans="1:13">
      <c r="A55" s="10" t="s">
        <v>113</v>
      </c>
      <c r="B55" s="21">
        <v>0.3433</v>
      </c>
      <c r="C55" s="21">
        <v>0.5168</v>
      </c>
      <c r="D55" s="21">
        <v>0.6276</v>
      </c>
      <c r="E55" s="21">
        <v>0.7462</v>
      </c>
      <c r="F55" s="21">
        <v>0.8481</v>
      </c>
      <c r="G55" s="22">
        <v>0.8921</v>
      </c>
      <c r="H55" s="21">
        <v>0.8415</v>
      </c>
      <c r="I55" s="21">
        <v>0.7091</v>
      </c>
      <c r="J55" s="21">
        <v>0.4075</v>
      </c>
      <c r="K55" s="22">
        <v>0.2178</v>
      </c>
      <c r="L55" s="22">
        <v>0.1212</v>
      </c>
    </row>
    <row r="56" spans="1:13">
      <c r="A56" s="7" t="s">
        <v>114</v>
      </c>
      <c r="B56" s="21">
        <v>0.3964</v>
      </c>
      <c r="C56" s="21">
        <v>0.5777</v>
      </c>
      <c r="D56" s="21">
        <v>0.6821</v>
      </c>
      <c r="E56" s="21">
        <v>0.7833</v>
      </c>
      <c r="F56" s="21">
        <v>0.8613</v>
      </c>
      <c r="G56" s="22">
        <v>0.8921</v>
      </c>
      <c r="H56" s="21">
        <v>0.8585</v>
      </c>
      <c r="I56" s="21">
        <v>0.7647</v>
      </c>
      <c r="J56" s="21">
        <v>0.5039</v>
      </c>
      <c r="K56" s="22">
        <v>0.2912</v>
      </c>
      <c r="L56" s="22">
        <v>0.164</v>
      </c>
    </row>
    <row r="57" spans="1:13">
      <c r="A57" s="10" t="s">
        <v>115</v>
      </c>
      <c r="B57" s="21">
        <v>0.4316</v>
      </c>
      <c r="C57" s="21">
        <v>0.6132</v>
      </c>
      <c r="D57" s="21">
        <v>0.7116</v>
      </c>
      <c r="E57" s="21">
        <v>0.8013</v>
      </c>
      <c r="F57" s="21">
        <v>0.8671</v>
      </c>
      <c r="G57" s="22">
        <v>0.8921</v>
      </c>
      <c r="H57" s="21">
        <v>0.8654</v>
      </c>
      <c r="I57" s="21">
        <v>0.7898</v>
      </c>
      <c r="J57" s="21">
        <v>0.5595</v>
      </c>
      <c r="K57" s="21">
        <v>0.3451</v>
      </c>
      <c r="L57" s="22">
        <v>0.1995</v>
      </c>
    </row>
    <row r="58" spans="1:13">
      <c r="A58" s="7" t="s">
        <v>116</v>
      </c>
      <c r="B58" s="21">
        <v>0.7202</v>
      </c>
      <c r="C58" s="21">
        <v>0.9142</v>
      </c>
      <c r="D58" s="21">
        <v>1.025</v>
      </c>
      <c r="E58" s="21">
        <v>1.1351</v>
      </c>
      <c r="F58" s="21">
        <v>1.2245</v>
      </c>
      <c r="G58" s="22">
        <v>1.2616</v>
      </c>
      <c r="H58" s="21">
        <v>1.22</v>
      </c>
      <c r="I58" s="21">
        <v>1.108</v>
      </c>
      <c r="J58" s="21">
        <v>0.8205</v>
      </c>
      <c r="K58" s="21">
        <v>0.5872</v>
      </c>
      <c r="L58" s="21">
        <v>0.4283</v>
      </c>
    </row>
    <row r="59" spans="1:13">
      <c r="A59" s="10" t="s">
        <v>117</v>
      </c>
      <c r="B59" s="21">
        <v>0.8072</v>
      </c>
      <c r="C59" s="21">
        <v>0.9958</v>
      </c>
      <c r="D59" s="21">
        <v>1.0913</v>
      </c>
      <c r="E59" s="21">
        <v>1.1767</v>
      </c>
      <c r="F59" s="21">
        <v>1.2383</v>
      </c>
      <c r="G59" s="22">
        <v>1.2616</v>
      </c>
      <c r="H59" s="21">
        <v>1.2366</v>
      </c>
      <c r="I59" s="21">
        <v>1.165</v>
      </c>
      <c r="J59" s="21">
        <v>0.9399</v>
      </c>
      <c r="K59" s="21">
        <v>0.7072</v>
      </c>
      <c r="L59" s="21">
        <v>0.5229</v>
      </c>
    </row>
    <row r="60" spans="1:13">
      <c r="A60" s="7" t="s">
        <v>118</v>
      </c>
      <c r="B60" s="21">
        <v>0.8504</v>
      </c>
      <c r="C60" s="21">
        <v>1.0312</v>
      </c>
      <c r="D60" s="21">
        <v>1.1178</v>
      </c>
      <c r="E60" s="21">
        <v>1.1917</v>
      </c>
      <c r="F60" s="21">
        <v>1.2429</v>
      </c>
      <c r="G60" s="22">
        <v>1.2616</v>
      </c>
      <c r="H60" s="21">
        <v>1.2419</v>
      </c>
      <c r="I60" s="21">
        <v>1.1851</v>
      </c>
      <c r="J60" s="21">
        <v>0.9956</v>
      </c>
      <c r="K60" s="21">
        <v>0.7792</v>
      </c>
      <c r="L60" s="21">
        <v>0.5921</v>
      </c>
    </row>
    <row r="61" spans="1:13">
      <c r="A61" s="12" t="s">
        <v>119</v>
      </c>
      <c r="B61" s="12" t="s">
        <v>119</v>
      </c>
      <c r="C61" s="12" t="s">
        <v>119</v>
      </c>
      <c r="D61" s="12" t="s">
        <v>119</v>
      </c>
      <c r="E61" s="12" t="s">
        <v>119</v>
      </c>
      <c r="F61" s="12" t="s">
        <v>119</v>
      </c>
      <c r="G61" s="12" t="s">
        <v>119</v>
      </c>
      <c r="H61" s="12" t="s">
        <v>119</v>
      </c>
      <c r="I61" s="12" t="s">
        <v>119</v>
      </c>
      <c r="J61" s="12" t="s">
        <v>119</v>
      </c>
      <c r="K61" s="12" t="s">
        <v>119</v>
      </c>
      <c r="L61" s="12" t="s">
        <v>119</v>
      </c>
      <c r="M61" s="12" t="s">
        <v>119</v>
      </c>
    </row>
  </sheetData>
  <mergeCells count="7">
    <mergeCell ref="A1:L1"/>
    <mergeCell ref="A2:L2"/>
    <mergeCell ref="N2:O2"/>
    <mergeCell ref="A14:L14"/>
    <mergeCell ref="A26:L26"/>
    <mergeCell ref="A38:L38"/>
    <mergeCell ref="A50:L5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6"/>
  <sheetViews>
    <sheetView workbookViewId="0">
      <pane xSplit="1" ySplit="2" topLeftCell="B4" activePane="bottomRight" state="frozen"/>
      <selection/>
      <selection pane="topRight"/>
      <selection pane="bottomLeft"/>
      <selection pane="bottomRight" activeCell="A1" sqref="A1:Z1"/>
    </sheetView>
  </sheetViews>
  <sheetFormatPr defaultColWidth="9" defaultRowHeight="16.8"/>
  <cols>
    <col min="1" max="1" width="12" customWidth="1"/>
    <col min="2" max="27" width="11" customWidth="1"/>
    <col min="28" max="28" width="10" customWidth="1"/>
    <col min="29" max="29" width="45" customWidth="1"/>
  </cols>
  <sheetData>
    <row r="1" spans="1:29">
      <c r="A1" s="6" t="s">
        <v>140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9">
      <c r="A2" s="6" t="s">
        <v>95</v>
      </c>
      <c r="B2" s="6" t="s">
        <v>141</v>
      </c>
      <c r="C2" s="6" t="s">
        <v>142</v>
      </c>
      <c r="D2" s="6" t="s">
        <v>143</v>
      </c>
      <c r="E2" s="6" t="s">
        <v>144</v>
      </c>
      <c r="F2" s="6" t="s">
        <v>145</v>
      </c>
      <c r="G2" s="6" t="s">
        <v>146</v>
      </c>
      <c r="H2" s="6" t="s">
        <v>147</v>
      </c>
      <c r="I2" s="6" t="s">
        <v>148</v>
      </c>
      <c r="J2" s="6" t="s">
        <v>149</v>
      </c>
      <c r="K2" s="6" t="s">
        <v>150</v>
      </c>
      <c r="L2" s="6" t="s">
        <v>151</v>
      </c>
      <c r="M2" s="6" t="s">
        <v>152</v>
      </c>
      <c r="N2" s="6" t="s">
        <v>153</v>
      </c>
      <c r="O2" s="6" t="s">
        <v>154</v>
      </c>
      <c r="P2" s="6" t="s">
        <v>155</v>
      </c>
      <c r="Q2" s="6" t="s">
        <v>156</v>
      </c>
      <c r="R2" s="6" t="s">
        <v>157</v>
      </c>
      <c r="S2" s="6" t="s">
        <v>158</v>
      </c>
      <c r="T2" s="6" t="s">
        <v>159</v>
      </c>
      <c r="U2" s="6" t="s">
        <v>160</v>
      </c>
      <c r="V2" s="6" t="s">
        <v>161</v>
      </c>
      <c r="W2" s="6" t="s">
        <v>162</v>
      </c>
      <c r="X2" s="6" t="s">
        <v>163</v>
      </c>
      <c r="Y2" s="6" t="s">
        <v>164</v>
      </c>
      <c r="Z2" s="6" t="s">
        <v>165</v>
      </c>
    </row>
    <row r="3" spans="1:29">
      <c r="A3" s="7" t="s">
        <v>108</v>
      </c>
      <c r="B3" s="9">
        <v>59.99</v>
      </c>
      <c r="C3" s="8">
        <v>59.23</v>
      </c>
      <c r="D3" s="44">
        <v>-0.2814</v>
      </c>
      <c r="E3" s="44">
        <v>0.4181</v>
      </c>
      <c r="F3" s="45">
        <v>3.09609182773125e-9</v>
      </c>
      <c r="G3" s="9">
        <v>60.5</v>
      </c>
      <c r="H3" s="8">
        <v>59.78</v>
      </c>
      <c r="I3" s="44">
        <v>-0.2798</v>
      </c>
      <c r="J3" s="44">
        <v>0.4049</v>
      </c>
      <c r="K3" s="45">
        <v>2.07574044919738e-9</v>
      </c>
      <c r="L3" s="9">
        <v>61.03</v>
      </c>
      <c r="M3" s="8">
        <v>60.2</v>
      </c>
      <c r="N3" s="44">
        <v>-0.2626</v>
      </c>
      <c r="O3" s="44">
        <v>0.4294</v>
      </c>
      <c r="P3" s="45">
        <v>1.67661913179674e-8</v>
      </c>
      <c r="Q3" s="9">
        <v>61.52</v>
      </c>
      <c r="R3" s="8">
        <v>60.68</v>
      </c>
      <c r="S3" s="44">
        <v>-0.2615</v>
      </c>
      <c r="T3" s="44">
        <v>0.4308</v>
      </c>
      <c r="U3" s="45">
        <v>1.15388635271008e-8</v>
      </c>
      <c r="V3" s="9">
        <v>61.99</v>
      </c>
      <c r="W3" s="8">
        <v>61.2</v>
      </c>
      <c r="X3" s="44">
        <v>-0.2813</v>
      </c>
      <c r="Y3" s="44">
        <v>0.4191</v>
      </c>
      <c r="Z3" s="45">
        <v>5.41797776516479e-9</v>
      </c>
      <c r="AB3" s="6" t="s">
        <v>94</v>
      </c>
      <c r="AC3" s="3"/>
    </row>
    <row r="4" ht="50" customHeight="1" spans="1:29">
      <c r="A4" s="10" t="s">
        <v>111</v>
      </c>
      <c r="B4" s="9">
        <v>74.97</v>
      </c>
      <c r="C4" s="11">
        <v>74.18</v>
      </c>
      <c r="D4" s="46">
        <v>-0.2385</v>
      </c>
      <c r="E4" s="46">
        <v>0.3752</v>
      </c>
      <c r="F4" s="47">
        <v>1.78289649228469e-8</v>
      </c>
      <c r="G4" s="9">
        <v>75.51</v>
      </c>
      <c r="H4" s="11">
        <v>74.67</v>
      </c>
      <c r="I4" s="46">
        <v>-0.2368</v>
      </c>
      <c r="J4" s="46">
        <v>0.3832</v>
      </c>
      <c r="K4" s="47">
        <v>1.92216706341233e-8</v>
      </c>
      <c r="L4" s="9">
        <v>75.99</v>
      </c>
      <c r="M4" s="11">
        <v>75.22</v>
      </c>
      <c r="N4" s="46">
        <v>-0.2751</v>
      </c>
      <c r="O4" s="46">
        <v>0.3734</v>
      </c>
      <c r="P4" s="47">
        <v>7.89654698159213e-9</v>
      </c>
      <c r="Q4" s="9">
        <v>76.52</v>
      </c>
      <c r="R4" s="11">
        <v>75.8</v>
      </c>
      <c r="S4" s="46">
        <v>-0.2712</v>
      </c>
      <c r="T4" s="46">
        <v>0.3573</v>
      </c>
      <c r="U4" s="47">
        <v>4.33891193828264e-10</v>
      </c>
      <c r="V4" s="9">
        <v>76.96</v>
      </c>
      <c r="W4" s="11">
        <v>76.16</v>
      </c>
      <c r="X4" s="46">
        <v>-0.2488</v>
      </c>
      <c r="Y4" s="46">
        <v>0.3733</v>
      </c>
      <c r="Z4" s="47">
        <v>8.99381546024804e-9</v>
      </c>
      <c r="AB4" s="17" t="s">
        <v>106</v>
      </c>
      <c r="AC4" s="18" t="s">
        <v>166</v>
      </c>
    </row>
    <row r="5" ht="50" customHeight="1" spans="1:29">
      <c r="A5" s="7" t="s">
        <v>112</v>
      </c>
      <c r="B5" s="9">
        <v>85.01</v>
      </c>
      <c r="C5" s="8">
        <v>84.28</v>
      </c>
      <c r="D5" s="44">
        <v>-0.2224</v>
      </c>
      <c r="E5" s="44">
        <v>0.3362</v>
      </c>
      <c r="F5" s="45">
        <v>8.12006448844372e-9</v>
      </c>
      <c r="G5" s="9">
        <v>85.47</v>
      </c>
      <c r="H5" s="8">
        <v>84.84</v>
      </c>
      <c r="I5" s="44">
        <v>-0.2574</v>
      </c>
      <c r="J5" s="44">
        <v>0.3156</v>
      </c>
      <c r="K5" s="45">
        <v>1.04289188202868e-9</v>
      </c>
      <c r="L5" s="9">
        <v>86.03</v>
      </c>
      <c r="M5" s="8">
        <v>85.33</v>
      </c>
      <c r="N5" s="44">
        <v>-0.2447</v>
      </c>
      <c r="O5" s="44">
        <v>0.3273</v>
      </c>
      <c r="P5" s="45">
        <v>3.90770070892157e-9</v>
      </c>
      <c r="Q5" s="9">
        <v>86.47</v>
      </c>
      <c r="R5" s="8">
        <v>85.7</v>
      </c>
      <c r="S5" s="44">
        <v>-0.222</v>
      </c>
      <c r="T5" s="44">
        <v>0.3415</v>
      </c>
      <c r="U5" s="45">
        <v>6.60614055981092e-9</v>
      </c>
      <c r="V5" s="9">
        <v>87.02</v>
      </c>
      <c r="W5" s="8">
        <v>86.2</v>
      </c>
      <c r="X5" s="44">
        <v>-0.2178</v>
      </c>
      <c r="Y5" s="44">
        <v>0.3511</v>
      </c>
      <c r="Z5" s="45">
        <v>1.42581622827676e-8</v>
      </c>
      <c r="AB5" s="38" t="s">
        <v>135</v>
      </c>
      <c r="AC5" s="18" t="s">
        <v>167</v>
      </c>
    </row>
    <row r="6" ht="50" customHeight="1" spans="1:29">
      <c r="A6" s="10" t="s">
        <v>113</v>
      </c>
      <c r="B6" s="9">
        <v>64.99</v>
      </c>
      <c r="C6" s="11">
        <v>61.62</v>
      </c>
      <c r="D6" s="46">
        <v>-0.2496</v>
      </c>
      <c r="E6" s="46">
        <v>0.38</v>
      </c>
      <c r="F6" s="47">
        <v>4.67498591009153e-11</v>
      </c>
      <c r="G6" s="9">
        <v>65.5</v>
      </c>
      <c r="H6" s="11">
        <v>62.11</v>
      </c>
      <c r="I6" s="46">
        <v>-0.2502</v>
      </c>
      <c r="J6" s="46">
        <v>0.3798</v>
      </c>
      <c r="K6" s="47">
        <v>1.64744480756237e-10</v>
      </c>
      <c r="L6" s="9">
        <v>65.98</v>
      </c>
      <c r="M6" s="11">
        <v>62.56</v>
      </c>
      <c r="N6" s="46">
        <v>-0.2504</v>
      </c>
      <c r="O6" s="46">
        <v>0.3803</v>
      </c>
      <c r="P6" s="47">
        <v>7.50605251123457e-11</v>
      </c>
      <c r="Q6" s="9">
        <v>66.5</v>
      </c>
      <c r="R6" s="11">
        <v>63.07</v>
      </c>
      <c r="S6" s="46">
        <v>-0.2504</v>
      </c>
      <c r="T6" s="46">
        <v>0.3797</v>
      </c>
      <c r="U6" s="47">
        <v>3.09194110110623e-11</v>
      </c>
      <c r="V6" s="9">
        <v>67.02</v>
      </c>
      <c r="W6" s="11">
        <v>63.57</v>
      </c>
      <c r="X6" s="46">
        <v>-0.2501</v>
      </c>
      <c r="Y6" s="46">
        <v>0.3788</v>
      </c>
      <c r="Z6" s="47">
        <v>5.27769338723456e-11</v>
      </c>
      <c r="AB6" s="27" t="s">
        <v>168</v>
      </c>
      <c r="AC6" s="18" t="s">
        <v>169</v>
      </c>
    </row>
    <row r="7" spans="1:29">
      <c r="A7" s="7" t="s">
        <v>114</v>
      </c>
      <c r="B7" s="9">
        <v>79.98</v>
      </c>
      <c r="C7" s="8">
        <v>76.74</v>
      </c>
      <c r="D7" s="44">
        <v>-0.2192</v>
      </c>
      <c r="E7" s="44">
        <v>0.3303</v>
      </c>
      <c r="F7" s="45">
        <v>6.86403711078808e-11</v>
      </c>
      <c r="G7" s="9">
        <v>80.51</v>
      </c>
      <c r="H7" s="8">
        <v>77.26</v>
      </c>
      <c r="I7" s="44">
        <v>-0.22</v>
      </c>
      <c r="J7" s="44">
        <v>0.3299</v>
      </c>
      <c r="K7" s="45">
        <v>3.28574364277321e-11</v>
      </c>
      <c r="L7" s="9">
        <v>80.99</v>
      </c>
      <c r="M7" s="8">
        <v>77.71</v>
      </c>
      <c r="N7" s="44">
        <v>-0.219</v>
      </c>
      <c r="O7" s="44">
        <v>0.3307</v>
      </c>
      <c r="P7" s="45">
        <v>1.11794925552197e-10</v>
      </c>
      <c r="Q7" s="9">
        <v>81.48</v>
      </c>
      <c r="R7" s="8">
        <v>78.18</v>
      </c>
      <c r="S7" s="44">
        <v>-0.2195</v>
      </c>
      <c r="T7" s="44">
        <v>0.3306</v>
      </c>
      <c r="U7" s="45">
        <v>3.67330029233406e-11</v>
      </c>
      <c r="V7" s="9">
        <v>82.01</v>
      </c>
      <c r="W7" s="8">
        <v>78.71</v>
      </c>
      <c r="X7" s="44">
        <v>-0.2203</v>
      </c>
      <c r="Y7" s="44">
        <v>0.3296</v>
      </c>
      <c r="Z7" s="45">
        <v>5.39384856686823e-11</v>
      </c>
    </row>
    <row r="8" spans="1:29">
      <c r="A8" s="10" t="s">
        <v>115</v>
      </c>
      <c r="B8" s="9">
        <v>89.99</v>
      </c>
      <c r="C8" s="11">
        <v>86.92</v>
      </c>
      <c r="D8" s="46">
        <v>-0.1997</v>
      </c>
      <c r="E8" s="46">
        <v>0.3005</v>
      </c>
      <c r="F8" s="47">
        <v>6.18624444951338e-11</v>
      </c>
      <c r="G8" s="9">
        <v>90.51</v>
      </c>
      <c r="H8" s="11">
        <v>87.42</v>
      </c>
      <c r="I8" s="46">
        <v>-0.1998</v>
      </c>
      <c r="J8" s="46">
        <v>0.3002</v>
      </c>
      <c r="K8" s="47">
        <v>7.13822016357408e-11</v>
      </c>
      <c r="L8" s="9">
        <v>91</v>
      </c>
      <c r="M8" s="11">
        <v>87.92</v>
      </c>
      <c r="N8" s="46">
        <v>-0.2014</v>
      </c>
      <c r="O8" s="46">
        <v>0.2992</v>
      </c>
      <c r="P8" s="47">
        <v>9.85945461044675e-11</v>
      </c>
      <c r="Q8" s="9">
        <v>91.5</v>
      </c>
      <c r="R8" s="11">
        <v>88.37</v>
      </c>
      <c r="S8" s="46">
        <v>-0.1996</v>
      </c>
      <c r="T8" s="46">
        <v>0.3004</v>
      </c>
      <c r="U8" s="47">
        <v>3.23318489692873e-11</v>
      </c>
      <c r="V8" s="9">
        <v>92</v>
      </c>
      <c r="W8" s="11">
        <v>88.86</v>
      </c>
      <c r="X8" s="46">
        <v>-0.1998</v>
      </c>
      <c r="Y8" s="46">
        <v>0.3003</v>
      </c>
      <c r="Z8" s="47">
        <v>7.16837082494287e-11</v>
      </c>
    </row>
    <row r="9" spans="1:29">
      <c r="A9" s="7" t="s">
        <v>116</v>
      </c>
      <c r="B9" s="9">
        <v>60.01</v>
      </c>
      <c r="C9" s="8">
        <v>54.76</v>
      </c>
      <c r="D9" s="44">
        <v>-0.2002</v>
      </c>
      <c r="E9" s="44">
        <v>0.3499</v>
      </c>
      <c r="F9" s="45">
        <v>5.67337561338996e-11</v>
      </c>
      <c r="G9" s="9">
        <v>60.49</v>
      </c>
      <c r="H9" s="8">
        <v>55.19</v>
      </c>
      <c r="I9" s="44">
        <v>-0.2001</v>
      </c>
      <c r="J9" s="44">
        <v>0.3503</v>
      </c>
      <c r="K9" s="45">
        <v>1.27439141800954e-11</v>
      </c>
      <c r="L9" s="9">
        <v>61</v>
      </c>
      <c r="M9" s="8">
        <v>55.66</v>
      </c>
      <c r="N9" s="44">
        <v>-0.1999</v>
      </c>
      <c r="O9" s="44">
        <v>0.3499</v>
      </c>
      <c r="P9" s="45">
        <v>5.16238062407624e-11</v>
      </c>
      <c r="Q9" s="9">
        <v>61.5</v>
      </c>
      <c r="R9" s="8">
        <v>56.11</v>
      </c>
      <c r="S9" s="44">
        <v>-0.1997</v>
      </c>
      <c r="T9" s="44">
        <v>0.3502</v>
      </c>
      <c r="U9" s="45">
        <v>9.47671118944434e-12</v>
      </c>
      <c r="V9" s="9">
        <v>62.01</v>
      </c>
      <c r="W9" s="8">
        <v>56.59</v>
      </c>
      <c r="X9" s="44">
        <v>-0.2007</v>
      </c>
      <c r="Y9" s="44">
        <v>0.3496</v>
      </c>
      <c r="Z9" s="45">
        <v>1.23262115066859e-11</v>
      </c>
    </row>
    <row r="10" spans="1:29">
      <c r="A10" s="10" t="s">
        <v>117</v>
      </c>
      <c r="B10" s="9">
        <v>78.01</v>
      </c>
      <c r="C10" s="11">
        <v>72.82</v>
      </c>
      <c r="D10" s="46">
        <v>-0.1797</v>
      </c>
      <c r="E10" s="46">
        <v>0.2998</v>
      </c>
      <c r="F10" s="47">
        <v>3.96141603643071e-11</v>
      </c>
      <c r="G10" s="9">
        <v>78.49</v>
      </c>
      <c r="H10" s="11">
        <v>73.26</v>
      </c>
      <c r="I10" s="46">
        <v>-0.1801</v>
      </c>
      <c r="J10" s="46">
        <v>0.3003</v>
      </c>
      <c r="K10" s="47">
        <v>3.91511439761876e-11</v>
      </c>
      <c r="L10" s="9">
        <v>79</v>
      </c>
      <c r="M10" s="11">
        <v>73.74</v>
      </c>
      <c r="N10" s="46">
        <v>-0.1801</v>
      </c>
      <c r="O10" s="46">
        <v>0.2999</v>
      </c>
      <c r="P10" s="47">
        <v>7.47824341238237e-11</v>
      </c>
      <c r="Q10" s="9">
        <v>79.49</v>
      </c>
      <c r="R10" s="11">
        <v>74.2</v>
      </c>
      <c r="S10" s="46">
        <v>-0.1808</v>
      </c>
      <c r="T10" s="46">
        <v>0.3001</v>
      </c>
      <c r="U10" s="47">
        <v>3.78713428896089e-11</v>
      </c>
      <c r="V10" s="9">
        <v>80.02</v>
      </c>
      <c r="W10" s="11">
        <v>74.7</v>
      </c>
      <c r="X10" s="46">
        <v>-0.1806</v>
      </c>
      <c r="Y10" s="46">
        <v>0.2998</v>
      </c>
      <c r="Z10" s="47">
        <v>4.12817394532444e-11</v>
      </c>
    </row>
    <row r="11" spans="1:29">
      <c r="A11" s="7" t="s">
        <v>118</v>
      </c>
      <c r="B11" s="9">
        <v>88</v>
      </c>
      <c r="C11" s="8">
        <v>82.77</v>
      </c>
      <c r="D11" s="44">
        <v>-0.1501</v>
      </c>
      <c r="E11" s="44">
        <v>0.2801</v>
      </c>
      <c r="F11" s="45">
        <v>1.43277389733374e-11</v>
      </c>
      <c r="G11" s="9">
        <v>88.5</v>
      </c>
      <c r="H11" s="8">
        <v>83.25</v>
      </c>
      <c r="I11" s="44">
        <v>-0.1499</v>
      </c>
      <c r="J11" s="44">
        <v>0.2799</v>
      </c>
      <c r="K11" s="45">
        <v>2.13445774027905e-11</v>
      </c>
      <c r="L11" s="9">
        <v>89</v>
      </c>
      <c r="M11" s="8">
        <v>83.71</v>
      </c>
      <c r="N11" s="44">
        <v>-0.1499</v>
      </c>
      <c r="O11" s="44">
        <v>0.2801</v>
      </c>
      <c r="P11" s="45">
        <v>1.36347389826134e-11</v>
      </c>
      <c r="Q11" s="9">
        <v>89.49</v>
      </c>
      <c r="R11" s="8">
        <v>84.17</v>
      </c>
      <c r="S11" s="44">
        <v>-0.15</v>
      </c>
      <c r="T11" s="44">
        <v>0.2803</v>
      </c>
      <c r="U11" s="45">
        <v>4.54398758818101e-11</v>
      </c>
      <c r="V11" s="9">
        <v>90.01</v>
      </c>
      <c r="W11" s="8">
        <v>84.67</v>
      </c>
      <c r="X11" s="44">
        <v>-0.1495</v>
      </c>
      <c r="Y11" s="44">
        <v>0.2798</v>
      </c>
      <c r="Z11" s="45">
        <v>3.72370901838822e-11</v>
      </c>
    </row>
    <row r="14" spans="1:29">
      <c r="A14" s="5" t="s">
        <v>170</v>
      </c>
      <c r="B14" s="2"/>
      <c r="C14" s="2"/>
      <c r="D14" s="2"/>
      <c r="E14" s="2"/>
      <c r="F14" s="2"/>
      <c r="G14" s="2"/>
      <c r="H14" s="2"/>
      <c r="I14" s="2"/>
      <c r="J14" s="2"/>
      <c r="K14" s="3"/>
    </row>
    <row r="15" spans="1:29">
      <c r="A15" s="6" t="s">
        <v>95</v>
      </c>
      <c r="B15" s="6" t="s">
        <v>171</v>
      </c>
      <c r="C15" s="6" t="s">
        <v>172</v>
      </c>
      <c r="D15" s="6" t="s">
        <v>173</v>
      </c>
      <c r="E15" s="6" t="s">
        <v>174</v>
      </c>
      <c r="F15" s="6" t="s">
        <v>175</v>
      </c>
      <c r="G15" s="6" t="s">
        <v>176</v>
      </c>
      <c r="H15" s="6" t="s">
        <v>177</v>
      </c>
      <c r="I15" s="6" t="s">
        <v>178</v>
      </c>
      <c r="J15" s="6" t="s">
        <v>179</v>
      </c>
      <c r="K15" s="6" t="s">
        <v>180</v>
      </c>
    </row>
    <row r="16" spans="1:29">
      <c r="A16" s="10" t="s">
        <v>108</v>
      </c>
      <c r="B16" s="9">
        <v>59.99</v>
      </c>
      <c r="C16" s="9">
        <v>61.99</v>
      </c>
      <c r="D16" s="48">
        <v>1.99</v>
      </c>
      <c r="E16" s="46">
        <v>-0.2814</v>
      </c>
      <c r="F16" s="46">
        <v>-0.2615</v>
      </c>
      <c r="G16" s="46">
        <v>0.0199</v>
      </c>
      <c r="H16" s="38" t="s">
        <v>84</v>
      </c>
      <c r="I16" s="46">
        <v>0.4049</v>
      </c>
      <c r="J16" s="46">
        <v>0.4308</v>
      </c>
      <c r="K16" s="38" t="s">
        <v>84</v>
      </c>
    </row>
    <row r="17" spans="1:11">
      <c r="A17" s="7" t="s">
        <v>111</v>
      </c>
      <c r="B17" s="9">
        <v>74.97</v>
      </c>
      <c r="C17" s="9">
        <v>76.96</v>
      </c>
      <c r="D17" s="48">
        <v>1.99</v>
      </c>
      <c r="E17" s="44">
        <v>-0.2751</v>
      </c>
      <c r="F17" s="44">
        <v>-0.2368</v>
      </c>
      <c r="G17" s="44">
        <v>0.0383</v>
      </c>
      <c r="H17" s="38" t="s">
        <v>84</v>
      </c>
      <c r="I17" s="44">
        <v>0.3573</v>
      </c>
      <c r="J17" s="44">
        <v>0.3832</v>
      </c>
      <c r="K17" s="38" t="s">
        <v>84</v>
      </c>
    </row>
    <row r="18" spans="1:11">
      <c r="A18" s="10" t="s">
        <v>112</v>
      </c>
      <c r="B18" s="9">
        <v>85.01</v>
      </c>
      <c r="C18" s="9">
        <v>87.02</v>
      </c>
      <c r="D18" s="48">
        <v>2.01</v>
      </c>
      <c r="E18" s="46">
        <v>-0.2574</v>
      </c>
      <c r="F18" s="46">
        <v>-0.2178</v>
      </c>
      <c r="G18" s="46">
        <v>0.0397</v>
      </c>
      <c r="H18" s="38" t="s">
        <v>84</v>
      </c>
      <c r="I18" s="46">
        <v>0.3156</v>
      </c>
      <c r="J18" s="46">
        <v>0.3511</v>
      </c>
      <c r="K18" s="38" t="s">
        <v>84</v>
      </c>
    </row>
    <row r="19" spans="1:11">
      <c r="A19" s="7" t="s">
        <v>113</v>
      </c>
      <c r="B19" s="9">
        <v>64.99</v>
      </c>
      <c r="C19" s="9">
        <v>67.02</v>
      </c>
      <c r="D19" s="48">
        <v>2.03</v>
      </c>
      <c r="E19" s="44">
        <v>-0.2504</v>
      </c>
      <c r="F19" s="44">
        <v>-0.2496</v>
      </c>
      <c r="G19" s="44">
        <v>0.0008</v>
      </c>
      <c r="H19" s="38" t="s">
        <v>84</v>
      </c>
      <c r="I19" s="44">
        <v>0.3788</v>
      </c>
      <c r="J19" s="44">
        <v>0.3803</v>
      </c>
      <c r="K19" s="38" t="s">
        <v>84</v>
      </c>
    </row>
    <row r="20" spans="1:11">
      <c r="A20" s="10" t="s">
        <v>114</v>
      </c>
      <c r="B20" s="9">
        <v>79.98</v>
      </c>
      <c r="C20" s="9">
        <v>82.01</v>
      </c>
      <c r="D20" s="48">
        <v>2.03</v>
      </c>
      <c r="E20" s="46">
        <v>-0.2203</v>
      </c>
      <c r="F20" s="46">
        <v>-0.219</v>
      </c>
      <c r="G20" s="46">
        <v>0.0013</v>
      </c>
      <c r="H20" s="38" t="s">
        <v>84</v>
      </c>
      <c r="I20" s="46">
        <v>0.3296</v>
      </c>
      <c r="J20" s="46">
        <v>0.3307</v>
      </c>
      <c r="K20" s="38" t="s">
        <v>84</v>
      </c>
    </row>
    <row r="21" spans="1:11">
      <c r="A21" s="7" t="s">
        <v>115</v>
      </c>
      <c r="B21" s="9">
        <v>89.99</v>
      </c>
      <c r="C21" s="9">
        <v>92</v>
      </c>
      <c r="D21" s="48">
        <v>2</v>
      </c>
      <c r="E21" s="44">
        <v>-0.2014</v>
      </c>
      <c r="F21" s="44">
        <v>-0.1996</v>
      </c>
      <c r="G21" s="44">
        <v>0.0019</v>
      </c>
      <c r="H21" s="38" t="s">
        <v>84</v>
      </c>
      <c r="I21" s="44">
        <v>0.2992</v>
      </c>
      <c r="J21" s="44">
        <v>0.3005</v>
      </c>
      <c r="K21" s="38" t="s">
        <v>84</v>
      </c>
    </row>
    <row r="22" spans="1:11">
      <c r="A22" s="10" t="s">
        <v>116</v>
      </c>
      <c r="B22" s="9">
        <v>60.01</v>
      </c>
      <c r="C22" s="9">
        <v>62.01</v>
      </c>
      <c r="D22" s="48">
        <v>1.99</v>
      </c>
      <c r="E22" s="46">
        <v>-0.2007</v>
      </c>
      <c r="F22" s="46">
        <v>-0.1997</v>
      </c>
      <c r="G22" s="46">
        <v>0.001</v>
      </c>
      <c r="H22" s="38" t="s">
        <v>84</v>
      </c>
      <c r="I22" s="46">
        <v>0.3496</v>
      </c>
      <c r="J22" s="46">
        <v>0.3503</v>
      </c>
      <c r="K22" s="38" t="s">
        <v>84</v>
      </c>
    </row>
    <row r="23" spans="1:11">
      <c r="A23" s="7" t="s">
        <v>117</v>
      </c>
      <c r="B23" s="9">
        <v>78.01</v>
      </c>
      <c r="C23" s="9">
        <v>80.02</v>
      </c>
      <c r="D23" s="48">
        <v>2.01</v>
      </c>
      <c r="E23" s="44">
        <v>-0.1808</v>
      </c>
      <c r="F23" s="44">
        <v>-0.1797</v>
      </c>
      <c r="G23" s="44">
        <v>0.0011</v>
      </c>
      <c r="H23" s="38" t="s">
        <v>84</v>
      </c>
      <c r="I23" s="44">
        <v>0.2998</v>
      </c>
      <c r="J23" s="44">
        <v>0.3003</v>
      </c>
      <c r="K23" s="38" t="s">
        <v>84</v>
      </c>
    </row>
    <row r="24" spans="1:11">
      <c r="A24" s="10" t="s">
        <v>118</v>
      </c>
      <c r="B24" s="9">
        <v>88</v>
      </c>
      <c r="C24" s="9">
        <v>90.01</v>
      </c>
      <c r="D24" s="48">
        <v>2.01</v>
      </c>
      <c r="E24" s="46">
        <v>-0.1501</v>
      </c>
      <c r="F24" s="46">
        <v>-0.1495</v>
      </c>
      <c r="G24" s="46">
        <v>0.0005</v>
      </c>
      <c r="H24" s="38" t="s">
        <v>84</v>
      </c>
      <c r="I24" s="46">
        <v>0.2798</v>
      </c>
      <c r="J24" s="46">
        <v>0.2803</v>
      </c>
      <c r="K24" s="38" t="s">
        <v>84</v>
      </c>
    </row>
    <row r="26" spans="1:11">
      <c r="A26" s="30" t="s">
        <v>181</v>
      </c>
      <c r="B26" s="2"/>
      <c r="C26" s="2"/>
      <c r="D26" s="2"/>
      <c r="E26" s="2"/>
      <c r="F26" s="2"/>
      <c r="G26" s="2"/>
      <c r="H26" s="2"/>
      <c r="I26" s="2"/>
      <c r="J26" s="2"/>
      <c r="K26" s="3"/>
    </row>
  </sheetData>
  <mergeCells count="4">
    <mergeCell ref="A1:Z1"/>
    <mergeCell ref="AB3:AC3"/>
    <mergeCell ref="A14:K14"/>
    <mergeCell ref="A26:K26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pane ySplit="2" topLeftCell="A3" activePane="bottomLeft" state="frozen"/>
      <selection/>
      <selection pane="bottomLeft" activeCell="A6" sqref="A6"/>
    </sheetView>
  </sheetViews>
  <sheetFormatPr defaultColWidth="9" defaultRowHeight="16.8"/>
  <cols>
    <col min="1" max="1" width="12" customWidth="1"/>
    <col min="2" max="7" width="11" customWidth="1"/>
    <col min="8" max="8" width="3" customWidth="1"/>
    <col min="9" max="9" width="10" customWidth="1"/>
    <col min="10" max="10" width="35" customWidth="1"/>
    <col min="11" max="11" width="55" customWidth="1"/>
  </cols>
  <sheetData>
    <row r="1" ht="28" customHeight="1" spans="1:11">
      <c r="A1" s="37" t="s">
        <v>182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>
      <c r="A2" s="4" t="s">
        <v>183</v>
      </c>
      <c r="B2" s="2"/>
      <c r="C2" s="2"/>
      <c r="D2" s="2"/>
      <c r="E2" s="2"/>
      <c r="F2" s="3"/>
      <c r="I2" s="4" t="s">
        <v>184</v>
      </c>
      <c r="J2" s="4" t="s">
        <v>185</v>
      </c>
      <c r="K2" s="4" t="s">
        <v>186</v>
      </c>
    </row>
    <row r="3" ht="55" customHeight="1" spans="1:11">
      <c r="A3" s="6" t="s">
        <v>95</v>
      </c>
      <c r="B3" s="6" t="s">
        <v>125</v>
      </c>
      <c r="C3" s="6" t="s">
        <v>126</v>
      </c>
      <c r="D3" s="6" t="s">
        <v>127</v>
      </c>
      <c r="E3" s="6" t="s">
        <v>128</v>
      </c>
      <c r="F3" s="6" t="s">
        <v>129</v>
      </c>
      <c r="I3" s="38">
        <v>1</v>
      </c>
      <c r="J3" s="39" t="s">
        <v>187</v>
      </c>
      <c r="K3" s="16" t="s">
        <v>188</v>
      </c>
    </row>
    <row r="4" ht="55" customHeight="1" spans="1:11">
      <c r="A4" s="7" t="s">
        <v>108</v>
      </c>
      <c r="B4" s="38">
        <v>1</v>
      </c>
      <c r="C4" s="38">
        <v>1</v>
      </c>
      <c r="D4" s="38">
        <v>1</v>
      </c>
      <c r="E4" s="38">
        <v>1</v>
      </c>
      <c r="F4" s="38">
        <v>1</v>
      </c>
      <c r="I4" s="38">
        <v>2</v>
      </c>
      <c r="J4" s="39" t="s">
        <v>189</v>
      </c>
      <c r="K4" s="16" t="s">
        <v>190</v>
      </c>
    </row>
    <row r="5" ht="55" customHeight="1" spans="1:11">
      <c r="A5" s="10" t="s">
        <v>111</v>
      </c>
      <c r="B5" s="38">
        <v>1</v>
      </c>
      <c r="C5" s="38">
        <v>1</v>
      </c>
      <c r="D5" s="38">
        <v>1</v>
      </c>
      <c r="E5" s="38">
        <v>1</v>
      </c>
      <c r="F5" s="38">
        <v>1</v>
      </c>
      <c r="I5" s="38">
        <v>3</v>
      </c>
      <c r="J5" s="39" t="s">
        <v>191</v>
      </c>
      <c r="K5" s="16" t="s">
        <v>192</v>
      </c>
    </row>
    <row r="6" ht="55" customHeight="1" spans="1:11">
      <c r="A6" s="7" t="s">
        <v>112</v>
      </c>
      <c r="B6" s="38">
        <v>1</v>
      </c>
      <c r="C6" s="38">
        <v>1</v>
      </c>
      <c r="D6" s="38">
        <v>1</v>
      </c>
      <c r="E6" s="38">
        <v>1</v>
      </c>
      <c r="F6" s="38">
        <v>1</v>
      </c>
      <c r="I6" s="27">
        <v>4</v>
      </c>
      <c r="J6" s="40" t="s">
        <v>193</v>
      </c>
      <c r="K6" s="41" t="s">
        <v>194</v>
      </c>
    </row>
    <row r="7" spans="1:11">
      <c r="A7" s="10" t="s">
        <v>113</v>
      </c>
      <c r="B7" s="38">
        <v>1</v>
      </c>
      <c r="C7" s="38">
        <v>1</v>
      </c>
      <c r="D7" s="38">
        <v>1</v>
      </c>
      <c r="E7" s="38">
        <v>1</v>
      </c>
      <c r="F7" s="38">
        <v>1</v>
      </c>
    </row>
    <row r="8" spans="1:11">
      <c r="A8" s="7" t="s">
        <v>114</v>
      </c>
      <c r="B8" s="38">
        <v>1</v>
      </c>
      <c r="C8" s="38">
        <v>1</v>
      </c>
      <c r="D8" s="38">
        <v>1</v>
      </c>
      <c r="E8" s="38">
        <v>1</v>
      </c>
      <c r="F8" s="38">
        <v>1</v>
      </c>
    </row>
    <row r="9" spans="1:11">
      <c r="A9" s="10" t="s">
        <v>115</v>
      </c>
      <c r="B9" s="38">
        <v>1</v>
      </c>
      <c r="C9" s="38">
        <v>1</v>
      </c>
      <c r="D9" s="38">
        <v>1</v>
      </c>
      <c r="E9" s="38">
        <v>1</v>
      </c>
      <c r="F9" s="38">
        <v>1</v>
      </c>
    </row>
    <row r="10" spans="1:11">
      <c r="A10" s="7" t="s">
        <v>116</v>
      </c>
      <c r="B10" s="38">
        <v>1</v>
      </c>
      <c r="C10" s="38">
        <v>1</v>
      </c>
      <c r="D10" s="38">
        <v>1</v>
      </c>
      <c r="E10" s="38">
        <v>1</v>
      </c>
      <c r="F10" s="38">
        <v>1</v>
      </c>
    </row>
    <row r="11" spans="1:11">
      <c r="A11" s="10" t="s">
        <v>117</v>
      </c>
      <c r="B11" s="38">
        <v>1</v>
      </c>
      <c r="C11" s="38">
        <v>1</v>
      </c>
      <c r="D11" s="38">
        <v>1</v>
      </c>
      <c r="E11" s="38">
        <v>1</v>
      </c>
      <c r="F11" s="38">
        <v>1</v>
      </c>
    </row>
    <row r="12" spans="1:11">
      <c r="A12" s="7" t="s">
        <v>118</v>
      </c>
      <c r="B12" s="38">
        <v>1</v>
      </c>
      <c r="C12" s="38">
        <v>1</v>
      </c>
      <c r="D12" s="38">
        <v>1</v>
      </c>
      <c r="E12" s="38">
        <v>1</v>
      </c>
      <c r="F12" s="38">
        <v>1</v>
      </c>
    </row>
    <row r="15" spans="1:11">
      <c r="A15" s="5" t="s">
        <v>195</v>
      </c>
      <c r="B15" s="2"/>
      <c r="C15" s="2"/>
      <c r="D15" s="2"/>
      <c r="E15" s="2"/>
      <c r="F15" s="2"/>
      <c r="G15" s="2"/>
      <c r="H15" s="2"/>
      <c r="I15" s="2"/>
      <c r="J15" s="2"/>
      <c r="K15" s="3"/>
    </row>
    <row r="16" spans="1:11">
      <c r="A16" s="6" t="s">
        <v>196</v>
      </c>
      <c r="B16" s="6" t="s">
        <v>197</v>
      </c>
      <c r="C16" s="6" t="s">
        <v>125</v>
      </c>
      <c r="D16" s="6" t="s">
        <v>126</v>
      </c>
      <c r="E16" s="6" t="s">
        <v>127</v>
      </c>
      <c r="F16" s="6" t="s">
        <v>128</v>
      </c>
      <c r="G16" s="6" t="s">
        <v>129</v>
      </c>
    </row>
    <row r="17" spans="1:11">
      <c r="A17" s="39" t="s">
        <v>198</v>
      </c>
      <c r="B17" s="42" t="s">
        <v>199</v>
      </c>
      <c r="C17" s="38" t="s">
        <v>84</v>
      </c>
      <c r="D17" s="38" t="s">
        <v>84</v>
      </c>
      <c r="E17" s="38" t="s">
        <v>84</v>
      </c>
      <c r="F17" s="38" t="s">
        <v>84</v>
      </c>
      <c r="G17" s="38" t="s">
        <v>84</v>
      </c>
    </row>
    <row r="18" spans="1:11">
      <c r="A18" s="43" t="s">
        <v>200</v>
      </c>
      <c r="B18" s="42" t="s">
        <v>201</v>
      </c>
      <c r="C18" s="38" t="s">
        <v>84</v>
      </c>
      <c r="D18" s="38" t="s">
        <v>84</v>
      </c>
      <c r="E18" s="38" t="s">
        <v>84</v>
      </c>
      <c r="F18" s="38" t="s">
        <v>84</v>
      </c>
      <c r="G18" s="38" t="s">
        <v>84</v>
      </c>
    </row>
    <row r="19" spans="1:11">
      <c r="A19" s="39" t="s">
        <v>202</v>
      </c>
      <c r="B19" s="42" t="s">
        <v>203</v>
      </c>
      <c r="C19" s="38" t="s">
        <v>84</v>
      </c>
      <c r="D19" s="38" t="s">
        <v>84</v>
      </c>
      <c r="E19" s="38" t="s">
        <v>84</v>
      </c>
      <c r="F19" s="38" t="s">
        <v>84</v>
      </c>
      <c r="G19" s="38" t="s">
        <v>84</v>
      </c>
    </row>
    <row r="20" spans="1:11">
      <c r="A20" s="43" t="s">
        <v>204</v>
      </c>
      <c r="B20" s="42" t="s">
        <v>205</v>
      </c>
      <c r="C20" s="38" t="s">
        <v>84</v>
      </c>
      <c r="D20" s="38" t="s">
        <v>84</v>
      </c>
      <c r="E20" s="38" t="s">
        <v>84</v>
      </c>
      <c r="F20" s="38" t="s">
        <v>84</v>
      </c>
      <c r="G20" s="38" t="s">
        <v>84</v>
      </c>
    </row>
    <row r="22" spans="1:11">
      <c r="A22" s="30" t="s">
        <v>206</v>
      </c>
      <c r="B22" s="2"/>
      <c r="C22" s="2"/>
      <c r="D22" s="2"/>
      <c r="E22" s="2"/>
      <c r="F22" s="2"/>
      <c r="G22" s="2"/>
      <c r="H22" s="2"/>
      <c r="I22" s="2"/>
      <c r="J22" s="2"/>
      <c r="K22" s="3"/>
    </row>
  </sheetData>
  <mergeCells count="4">
    <mergeCell ref="A1:K1"/>
    <mergeCell ref="A2:F2"/>
    <mergeCell ref="A15:K15"/>
    <mergeCell ref="A22:K2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1"/>
  <sheetViews>
    <sheetView workbookViewId="0">
      <pane ySplit="1" topLeftCell="A2" activePane="bottomLeft" state="frozen"/>
      <selection/>
      <selection pane="bottomLeft" activeCell="A1" sqref="A1:L1"/>
    </sheetView>
  </sheetViews>
  <sheetFormatPr defaultColWidth="9" defaultRowHeight="16.8"/>
  <cols>
    <col min="1" max="12" width="9" customWidth="1"/>
    <col min="14" max="14" width="10" customWidth="1"/>
    <col min="15" max="15" width="45" customWidth="1"/>
  </cols>
  <sheetData>
    <row r="1" ht="30" customHeight="1" spans="1:15">
      <c r="A1" s="36" t="s">
        <v>207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5">
      <c r="A2" s="5" t="s">
        <v>93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N2" s="6" t="s">
        <v>94</v>
      </c>
      <c r="O2" s="3"/>
    </row>
    <row r="3" ht="50" customHeight="1" spans="1:15">
      <c r="A3" s="6" t="s">
        <v>95</v>
      </c>
      <c r="B3" s="6" t="s">
        <v>96</v>
      </c>
      <c r="C3" s="6" t="s">
        <v>97</v>
      </c>
      <c r="D3" s="6" t="s">
        <v>98</v>
      </c>
      <c r="E3" s="6" t="s">
        <v>99</v>
      </c>
      <c r="F3" s="6" t="s">
        <v>100</v>
      </c>
      <c r="G3" s="6" t="s">
        <v>47</v>
      </c>
      <c r="H3" s="6" t="s">
        <v>101</v>
      </c>
      <c r="I3" s="6" t="s">
        <v>102</v>
      </c>
      <c r="J3" s="6" t="s">
        <v>103</v>
      </c>
      <c r="K3" s="6" t="s">
        <v>104</v>
      </c>
      <c r="L3" s="6" t="s">
        <v>105</v>
      </c>
      <c r="N3" s="17" t="s">
        <v>106</v>
      </c>
      <c r="O3" s="18" t="s">
        <v>208</v>
      </c>
    </row>
    <row r="4" spans="1:15">
      <c r="A4" s="7" t="s">
        <v>108</v>
      </c>
      <c r="B4" s="8">
        <v>93.54</v>
      </c>
      <c r="C4" s="8">
        <v>81.14</v>
      </c>
      <c r="D4" s="8">
        <v>75.01</v>
      </c>
      <c r="E4" s="8">
        <v>69.15</v>
      </c>
      <c r="F4" s="8">
        <v>63.92</v>
      </c>
      <c r="G4" s="9">
        <v>59.99</v>
      </c>
      <c r="H4" s="8">
        <v>58.22</v>
      </c>
      <c r="I4" s="8">
        <v>58.96</v>
      </c>
      <c r="J4" s="8">
        <v>65.6</v>
      </c>
      <c r="K4" s="8">
        <v>75.01</v>
      </c>
      <c r="L4" s="8">
        <v>85.1</v>
      </c>
    </row>
    <row r="5" spans="1:15">
      <c r="A5" s="10" t="s">
        <v>111</v>
      </c>
      <c r="B5" s="11">
        <v>102.38</v>
      </c>
      <c r="C5" s="11">
        <v>91.66</v>
      </c>
      <c r="D5" s="11">
        <v>86.58</v>
      </c>
      <c r="E5" s="11">
        <v>81.9</v>
      </c>
      <c r="F5" s="11">
        <v>77.9</v>
      </c>
      <c r="G5" s="9">
        <v>74.97</v>
      </c>
      <c r="H5" s="11">
        <v>73.49</v>
      </c>
      <c r="I5" s="11">
        <v>73.63</v>
      </c>
      <c r="J5" s="11">
        <v>77.97</v>
      </c>
      <c r="K5" s="11">
        <v>85.42</v>
      </c>
      <c r="L5" s="11">
        <v>94.11</v>
      </c>
    </row>
    <row r="6" spans="1:15">
      <c r="A6" s="7" t="s">
        <v>112</v>
      </c>
      <c r="B6" s="8">
        <v>107.8</v>
      </c>
      <c r="C6" s="8">
        <v>98.63</v>
      </c>
      <c r="D6" s="8">
        <v>94.4</v>
      </c>
      <c r="E6" s="8">
        <v>90.59</v>
      </c>
      <c r="F6" s="8">
        <v>87.38</v>
      </c>
      <c r="G6" s="9">
        <v>85.01</v>
      </c>
      <c r="H6" s="8">
        <v>83.67</v>
      </c>
      <c r="I6" s="8">
        <v>83.47</v>
      </c>
      <c r="J6" s="8">
        <v>86.22</v>
      </c>
      <c r="K6" s="8">
        <v>91.89</v>
      </c>
      <c r="L6" s="8">
        <v>99.08</v>
      </c>
    </row>
    <row r="7" spans="1:15">
      <c r="A7" s="10" t="s">
        <v>113</v>
      </c>
      <c r="B7" s="11">
        <v>95.3</v>
      </c>
      <c r="C7" s="11">
        <v>83.74</v>
      </c>
      <c r="D7" s="11">
        <v>78.14</v>
      </c>
      <c r="E7" s="11">
        <v>72.88</v>
      </c>
      <c r="F7" s="11">
        <v>68.32</v>
      </c>
      <c r="G7" s="9">
        <v>64.99</v>
      </c>
      <c r="H7" s="11">
        <v>63.49</v>
      </c>
      <c r="I7" s="11">
        <v>64.07</v>
      </c>
      <c r="J7" s="11">
        <v>69.84</v>
      </c>
      <c r="K7" s="11">
        <v>78.49</v>
      </c>
      <c r="L7" s="11">
        <v>88.02</v>
      </c>
    </row>
    <row r="8" spans="1:15">
      <c r="A8" s="7" t="s">
        <v>114</v>
      </c>
      <c r="B8" s="8">
        <v>103.44</v>
      </c>
      <c r="C8" s="8">
        <v>94.03</v>
      </c>
      <c r="D8" s="8">
        <v>89.66</v>
      </c>
      <c r="E8" s="8">
        <v>85.72</v>
      </c>
      <c r="F8" s="8">
        <v>82.4</v>
      </c>
      <c r="G8" s="9">
        <v>79.98</v>
      </c>
      <c r="H8" s="8">
        <v>78.69</v>
      </c>
      <c r="I8" s="8">
        <v>78.66</v>
      </c>
      <c r="J8" s="8">
        <v>81.92</v>
      </c>
      <c r="K8" s="8">
        <v>88.09</v>
      </c>
      <c r="L8" s="8">
        <v>95.65</v>
      </c>
    </row>
    <row r="9" spans="1:15">
      <c r="A9" s="10" t="s">
        <v>115</v>
      </c>
      <c r="B9" s="11">
        <v>109.45</v>
      </c>
      <c r="C9" s="11">
        <v>101.43</v>
      </c>
      <c r="D9" s="11">
        <v>97.82</v>
      </c>
      <c r="E9" s="11">
        <v>94.61</v>
      </c>
      <c r="F9" s="11">
        <v>91.95</v>
      </c>
      <c r="G9" s="9">
        <v>89.99</v>
      </c>
      <c r="H9" s="11">
        <v>88.88</v>
      </c>
      <c r="I9" s="11">
        <v>88.67</v>
      </c>
      <c r="J9" s="11">
        <v>90.8</v>
      </c>
      <c r="K9" s="11">
        <v>95.51</v>
      </c>
      <c r="L9" s="11">
        <v>101.74</v>
      </c>
    </row>
    <row r="10" spans="1:15">
      <c r="A10" s="7" t="s">
        <v>116</v>
      </c>
      <c r="B10" s="8">
        <v>87.79</v>
      </c>
      <c r="C10" s="8">
        <v>76.95</v>
      </c>
      <c r="D10" s="8">
        <v>71.73</v>
      </c>
      <c r="E10" s="8">
        <v>66.89</v>
      </c>
      <c r="F10" s="8">
        <v>62.8</v>
      </c>
      <c r="G10" s="9">
        <v>60.01</v>
      </c>
      <c r="H10" s="8">
        <v>59.1</v>
      </c>
      <c r="I10" s="8">
        <v>60.2</v>
      </c>
      <c r="J10" s="8">
        <v>66.5</v>
      </c>
      <c r="K10" s="8">
        <v>75.19</v>
      </c>
      <c r="L10" s="8">
        <v>84.55</v>
      </c>
    </row>
    <row r="11" spans="1:15">
      <c r="A11" s="10" t="s">
        <v>117</v>
      </c>
      <c r="B11" s="11">
        <v>98.49</v>
      </c>
      <c r="C11" s="11">
        <v>90.02</v>
      </c>
      <c r="D11" s="11">
        <v>86.16</v>
      </c>
      <c r="E11" s="11">
        <v>82.74</v>
      </c>
      <c r="F11" s="11">
        <v>79.95</v>
      </c>
      <c r="G11" s="9">
        <v>78.01</v>
      </c>
      <c r="H11" s="11">
        <v>77.11</v>
      </c>
      <c r="I11" s="11">
        <v>77.32</v>
      </c>
      <c r="J11" s="11">
        <v>80.64</v>
      </c>
      <c r="K11" s="11">
        <v>86.52</v>
      </c>
      <c r="L11" s="11">
        <v>93.66</v>
      </c>
    </row>
    <row r="12" spans="1:15">
      <c r="A12" s="7" t="s">
        <v>118</v>
      </c>
      <c r="B12" s="8">
        <v>104.97</v>
      </c>
      <c r="C12" s="8">
        <v>97.7</v>
      </c>
      <c r="D12" s="8">
        <v>94.49</v>
      </c>
      <c r="E12" s="8">
        <v>91.71</v>
      </c>
      <c r="F12" s="8">
        <v>89.5</v>
      </c>
      <c r="G12" s="9">
        <v>88</v>
      </c>
      <c r="H12" s="8">
        <v>87.3</v>
      </c>
      <c r="I12" s="8">
        <v>87.44</v>
      </c>
      <c r="J12" s="8">
        <v>90.03</v>
      </c>
      <c r="K12" s="8">
        <v>94.89</v>
      </c>
      <c r="L12" s="8">
        <v>101.09</v>
      </c>
    </row>
    <row r="13" spans="1:15">
      <c r="A13" s="12" t="s">
        <v>119</v>
      </c>
      <c r="B13" s="12" t="s">
        <v>119</v>
      </c>
      <c r="C13" s="12" t="s">
        <v>119</v>
      </c>
      <c r="D13" s="12" t="s">
        <v>119</v>
      </c>
      <c r="E13" s="12" t="s">
        <v>119</v>
      </c>
      <c r="F13" s="12" t="s">
        <v>119</v>
      </c>
      <c r="G13" s="12" t="s">
        <v>119</v>
      </c>
      <c r="H13" s="12" t="s">
        <v>119</v>
      </c>
      <c r="I13" s="12" t="s">
        <v>119</v>
      </c>
      <c r="J13" s="12" t="s">
        <v>119</v>
      </c>
      <c r="K13" s="12" t="s">
        <v>119</v>
      </c>
      <c r="L13" s="12" t="s">
        <v>119</v>
      </c>
      <c r="M13" s="12" t="s">
        <v>119</v>
      </c>
    </row>
    <row r="14" spans="1:15">
      <c r="A14" s="5" t="s">
        <v>120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</row>
    <row r="15" spans="1:15">
      <c r="A15" s="6" t="s">
        <v>95</v>
      </c>
      <c r="B15" s="6" t="s">
        <v>96</v>
      </c>
      <c r="C15" s="6" t="s">
        <v>97</v>
      </c>
      <c r="D15" s="6" t="s">
        <v>98</v>
      </c>
      <c r="E15" s="6" t="s">
        <v>99</v>
      </c>
      <c r="F15" s="6" t="s">
        <v>100</v>
      </c>
      <c r="G15" s="6" t="s">
        <v>47</v>
      </c>
      <c r="H15" s="6" t="s">
        <v>101</v>
      </c>
      <c r="I15" s="6" t="s">
        <v>102</v>
      </c>
      <c r="J15" s="6" t="s">
        <v>103</v>
      </c>
      <c r="K15" s="6" t="s">
        <v>104</v>
      </c>
      <c r="L15" s="6" t="s">
        <v>105</v>
      </c>
    </row>
    <row r="16" spans="1:15">
      <c r="A16" s="7" t="s">
        <v>108</v>
      </c>
      <c r="B16" s="8">
        <v>92.78</v>
      </c>
      <c r="C16" s="8">
        <v>80.78</v>
      </c>
      <c r="D16" s="8">
        <v>74.87</v>
      </c>
      <c r="E16" s="8">
        <v>69.25</v>
      </c>
      <c r="F16" s="8">
        <v>64.25</v>
      </c>
      <c r="G16" s="9">
        <v>60.5</v>
      </c>
      <c r="H16" s="8">
        <v>58.75</v>
      </c>
      <c r="I16" s="8">
        <v>59.34</v>
      </c>
      <c r="J16" s="8">
        <v>65.51</v>
      </c>
      <c r="K16" s="8">
        <v>74.5</v>
      </c>
      <c r="L16" s="8">
        <v>84.23</v>
      </c>
    </row>
    <row r="17" spans="1:13">
      <c r="A17" s="10" t="s">
        <v>111</v>
      </c>
      <c r="B17" s="11">
        <v>103.54</v>
      </c>
      <c r="C17" s="11">
        <v>92.57</v>
      </c>
      <c r="D17" s="11">
        <v>87.37</v>
      </c>
      <c r="E17" s="11">
        <v>82.58</v>
      </c>
      <c r="F17" s="11">
        <v>78.49</v>
      </c>
      <c r="G17" s="9">
        <v>75.51</v>
      </c>
      <c r="H17" s="11">
        <v>74.02</v>
      </c>
      <c r="I17" s="11">
        <v>74.21</v>
      </c>
      <c r="J17" s="11">
        <v>78.77</v>
      </c>
      <c r="K17" s="11">
        <v>86.46</v>
      </c>
      <c r="L17" s="11">
        <v>95.39</v>
      </c>
    </row>
    <row r="18" spans="1:13">
      <c r="A18" s="7" t="s">
        <v>112</v>
      </c>
      <c r="B18" s="8">
        <v>107.55</v>
      </c>
      <c r="C18" s="8">
        <v>98.83</v>
      </c>
      <c r="D18" s="8">
        <v>94.78</v>
      </c>
      <c r="E18" s="8">
        <v>91.1</v>
      </c>
      <c r="F18" s="8">
        <v>87.94</v>
      </c>
      <c r="G18" s="9">
        <v>85.47</v>
      </c>
      <c r="H18" s="8">
        <v>83.9</v>
      </c>
      <c r="I18" s="8">
        <v>83.31</v>
      </c>
      <c r="J18" s="8">
        <v>85.05</v>
      </c>
      <c r="K18" s="8">
        <v>89.68</v>
      </c>
      <c r="L18" s="8">
        <v>95.95</v>
      </c>
    </row>
    <row r="19" spans="1:13">
      <c r="A19" s="10" t="s">
        <v>113</v>
      </c>
      <c r="B19" s="11">
        <v>95.77</v>
      </c>
      <c r="C19" s="11">
        <v>84.22</v>
      </c>
      <c r="D19" s="11">
        <v>78.62</v>
      </c>
      <c r="E19" s="11">
        <v>73.38</v>
      </c>
      <c r="F19" s="11">
        <v>68.82</v>
      </c>
      <c r="G19" s="9">
        <v>65.5</v>
      </c>
      <c r="H19" s="11">
        <v>63.99</v>
      </c>
      <c r="I19" s="11">
        <v>64.53</v>
      </c>
      <c r="J19" s="11">
        <v>70.24</v>
      </c>
      <c r="K19" s="11">
        <v>78.85</v>
      </c>
      <c r="L19" s="11">
        <v>88.36</v>
      </c>
    </row>
    <row r="20" spans="1:13">
      <c r="A20" s="7" t="s">
        <v>114</v>
      </c>
      <c r="B20" s="8">
        <v>103.92</v>
      </c>
      <c r="C20" s="8">
        <v>94.53</v>
      </c>
      <c r="D20" s="8">
        <v>90.17</v>
      </c>
      <c r="E20" s="8">
        <v>86.23</v>
      </c>
      <c r="F20" s="8">
        <v>82.93</v>
      </c>
      <c r="G20" s="9">
        <v>80.51</v>
      </c>
      <c r="H20" s="8">
        <v>79.21</v>
      </c>
      <c r="I20" s="8">
        <v>79.15</v>
      </c>
      <c r="J20" s="8">
        <v>82.36</v>
      </c>
      <c r="K20" s="8">
        <v>88.47</v>
      </c>
      <c r="L20" s="8">
        <v>96</v>
      </c>
    </row>
    <row r="21" spans="1:13">
      <c r="A21" s="10" t="s">
        <v>115</v>
      </c>
      <c r="B21" s="11">
        <v>109.9</v>
      </c>
      <c r="C21" s="11">
        <v>101.91</v>
      </c>
      <c r="D21" s="11">
        <v>98.31</v>
      </c>
      <c r="E21" s="11">
        <v>95.11</v>
      </c>
      <c r="F21" s="11">
        <v>92.46</v>
      </c>
      <c r="G21" s="9">
        <v>90.51</v>
      </c>
      <c r="H21" s="11">
        <v>89.39</v>
      </c>
      <c r="I21" s="11">
        <v>89.17</v>
      </c>
      <c r="J21" s="11">
        <v>91.27</v>
      </c>
      <c r="K21" s="11">
        <v>95.94</v>
      </c>
      <c r="L21" s="11">
        <v>102.14</v>
      </c>
    </row>
    <row r="22" spans="1:13">
      <c r="A22" s="7" t="s">
        <v>116</v>
      </c>
      <c r="B22" s="8">
        <v>88.27</v>
      </c>
      <c r="C22" s="8">
        <v>77.42</v>
      </c>
      <c r="D22" s="8">
        <v>72.2</v>
      </c>
      <c r="E22" s="8">
        <v>67.37</v>
      </c>
      <c r="F22" s="8">
        <v>63.28</v>
      </c>
      <c r="G22" s="9">
        <v>60.49</v>
      </c>
      <c r="H22" s="8">
        <v>59.58</v>
      </c>
      <c r="I22" s="8">
        <v>60.65</v>
      </c>
      <c r="J22" s="8">
        <v>66.93</v>
      </c>
      <c r="K22" s="8">
        <v>75.61</v>
      </c>
      <c r="L22" s="8">
        <v>84.98</v>
      </c>
    </row>
    <row r="23" spans="1:13">
      <c r="A23" s="10" t="s">
        <v>117</v>
      </c>
      <c r="B23" s="11">
        <v>98.99</v>
      </c>
      <c r="C23" s="11">
        <v>90.52</v>
      </c>
      <c r="D23" s="11">
        <v>86.66</v>
      </c>
      <c r="E23" s="11">
        <v>83.23</v>
      </c>
      <c r="F23" s="11">
        <v>80.44</v>
      </c>
      <c r="G23" s="9">
        <v>78.49</v>
      </c>
      <c r="H23" s="11">
        <v>77.59</v>
      </c>
      <c r="I23" s="11">
        <v>77.78</v>
      </c>
      <c r="J23" s="11">
        <v>81.08</v>
      </c>
      <c r="K23" s="11">
        <v>86.95</v>
      </c>
      <c r="L23" s="11">
        <v>94.09</v>
      </c>
    </row>
    <row r="24" spans="1:13">
      <c r="A24" s="7" t="s">
        <v>118</v>
      </c>
      <c r="B24" s="8">
        <v>105.42</v>
      </c>
      <c r="C24" s="8">
        <v>98.17</v>
      </c>
      <c r="D24" s="8">
        <v>94.97</v>
      </c>
      <c r="E24" s="8">
        <v>92.2</v>
      </c>
      <c r="F24" s="8">
        <v>90</v>
      </c>
      <c r="G24" s="9">
        <v>88.5</v>
      </c>
      <c r="H24" s="8">
        <v>87.8</v>
      </c>
      <c r="I24" s="8">
        <v>87.93</v>
      </c>
      <c r="J24" s="8">
        <v>90.5</v>
      </c>
      <c r="K24" s="8">
        <v>95.33</v>
      </c>
      <c r="L24" s="8">
        <v>101.51</v>
      </c>
    </row>
    <row r="25" spans="1:13">
      <c r="A25" s="12" t="s">
        <v>119</v>
      </c>
      <c r="B25" s="12" t="s">
        <v>119</v>
      </c>
      <c r="C25" s="12" t="s">
        <v>119</v>
      </c>
      <c r="D25" s="12" t="s">
        <v>119</v>
      </c>
      <c r="E25" s="12" t="s">
        <v>119</v>
      </c>
      <c r="F25" s="12" t="s">
        <v>119</v>
      </c>
      <c r="G25" s="12" t="s">
        <v>119</v>
      </c>
      <c r="H25" s="12" t="s">
        <v>119</v>
      </c>
      <c r="I25" s="12" t="s">
        <v>119</v>
      </c>
      <c r="J25" s="12" t="s">
        <v>119</v>
      </c>
      <c r="K25" s="12" t="s">
        <v>119</v>
      </c>
      <c r="L25" s="12" t="s">
        <v>119</v>
      </c>
      <c r="M25" s="12" t="s">
        <v>119</v>
      </c>
    </row>
    <row r="26" spans="1:13">
      <c r="A26" s="5" t="s">
        <v>121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</row>
    <row r="27" spans="1:13">
      <c r="A27" s="6" t="s">
        <v>95</v>
      </c>
      <c r="B27" s="6" t="s">
        <v>96</v>
      </c>
      <c r="C27" s="6" t="s">
        <v>97</v>
      </c>
      <c r="D27" s="6" t="s">
        <v>98</v>
      </c>
      <c r="E27" s="6" t="s">
        <v>99</v>
      </c>
      <c r="F27" s="6" t="s">
        <v>100</v>
      </c>
      <c r="G27" s="6" t="s">
        <v>47</v>
      </c>
      <c r="H27" s="6" t="s">
        <v>101</v>
      </c>
      <c r="I27" s="6" t="s">
        <v>102</v>
      </c>
      <c r="J27" s="6" t="s">
        <v>103</v>
      </c>
      <c r="K27" s="6" t="s">
        <v>104</v>
      </c>
      <c r="L27" s="6" t="s">
        <v>105</v>
      </c>
    </row>
    <row r="28" spans="1:13">
      <c r="A28" s="7" t="s">
        <v>108</v>
      </c>
      <c r="B28" s="8">
        <v>95.01</v>
      </c>
      <c r="C28" s="8">
        <v>82.34</v>
      </c>
      <c r="D28" s="8">
        <v>76.1</v>
      </c>
      <c r="E28" s="8">
        <v>70.15</v>
      </c>
      <c r="F28" s="8">
        <v>64.89</v>
      </c>
      <c r="G28" s="9">
        <v>61.03</v>
      </c>
      <c r="H28" s="8">
        <v>59.43</v>
      </c>
      <c r="I28" s="8">
        <v>60.42</v>
      </c>
      <c r="J28" s="8">
        <v>67.55</v>
      </c>
      <c r="K28" s="8">
        <v>77.37</v>
      </c>
      <c r="L28" s="8">
        <v>87.82</v>
      </c>
    </row>
    <row r="29" spans="1:13">
      <c r="A29" s="10" t="s">
        <v>111</v>
      </c>
      <c r="B29" s="11">
        <v>104.3</v>
      </c>
      <c r="C29" s="11">
        <v>93.43</v>
      </c>
      <c r="D29" s="11">
        <v>88.24</v>
      </c>
      <c r="E29" s="11">
        <v>83.42</v>
      </c>
      <c r="F29" s="11">
        <v>79.21</v>
      </c>
      <c r="G29" s="9">
        <v>75.99</v>
      </c>
      <c r="H29" s="11">
        <v>74.14</v>
      </c>
      <c r="I29" s="11">
        <v>73.88</v>
      </c>
      <c r="J29" s="11">
        <v>77.56</v>
      </c>
      <c r="K29" s="11">
        <v>84.58</v>
      </c>
      <c r="L29" s="11">
        <v>92.99</v>
      </c>
    </row>
    <row r="30" spans="1:13">
      <c r="A30" s="7" t="s">
        <v>112</v>
      </c>
      <c r="B30" s="8">
        <v>108.69</v>
      </c>
      <c r="C30" s="8">
        <v>99.68</v>
      </c>
      <c r="D30" s="8">
        <v>95.51</v>
      </c>
      <c r="E30" s="8">
        <v>91.72</v>
      </c>
      <c r="F30" s="8">
        <v>88.49</v>
      </c>
      <c r="G30" s="9">
        <v>86.03</v>
      </c>
      <c r="H30" s="8">
        <v>84.51</v>
      </c>
      <c r="I30" s="8">
        <v>84.07</v>
      </c>
      <c r="J30" s="8">
        <v>86.22</v>
      </c>
      <c r="K30" s="8">
        <v>91.32</v>
      </c>
      <c r="L30" s="8">
        <v>98.03</v>
      </c>
    </row>
    <row r="31" spans="1:13">
      <c r="A31" s="10" t="s">
        <v>113</v>
      </c>
      <c r="B31" s="11">
        <v>96.28</v>
      </c>
      <c r="C31" s="11">
        <v>84.71</v>
      </c>
      <c r="D31" s="11">
        <v>79.11</v>
      </c>
      <c r="E31" s="11">
        <v>73.86</v>
      </c>
      <c r="F31" s="11">
        <v>69.31</v>
      </c>
      <c r="G31" s="9">
        <v>65.98</v>
      </c>
      <c r="H31" s="11">
        <v>64.46</v>
      </c>
      <c r="I31" s="11">
        <v>64.98</v>
      </c>
      <c r="J31" s="11">
        <v>70.66</v>
      </c>
      <c r="K31" s="11">
        <v>79.26</v>
      </c>
      <c r="L31" s="11">
        <v>88.78</v>
      </c>
    </row>
    <row r="32" spans="1:13">
      <c r="A32" s="7" t="s">
        <v>114</v>
      </c>
      <c r="B32" s="8">
        <v>104.42</v>
      </c>
      <c r="C32" s="8">
        <v>95.01</v>
      </c>
      <c r="D32" s="8">
        <v>90.65</v>
      </c>
      <c r="E32" s="8">
        <v>86.71</v>
      </c>
      <c r="F32" s="8">
        <v>83.41</v>
      </c>
      <c r="G32" s="9">
        <v>80.99</v>
      </c>
      <c r="H32" s="8">
        <v>79.7</v>
      </c>
      <c r="I32" s="8">
        <v>79.65</v>
      </c>
      <c r="J32" s="8">
        <v>82.85</v>
      </c>
      <c r="K32" s="8">
        <v>88.97</v>
      </c>
      <c r="L32" s="8">
        <v>96.51</v>
      </c>
    </row>
    <row r="33" spans="1:13">
      <c r="A33" s="10" t="s">
        <v>115</v>
      </c>
      <c r="B33" s="11">
        <v>110.34</v>
      </c>
      <c r="C33" s="11">
        <v>102.38</v>
      </c>
      <c r="D33" s="11">
        <v>98.79</v>
      </c>
      <c r="E33" s="11">
        <v>95.6</v>
      </c>
      <c r="F33" s="11">
        <v>92.96</v>
      </c>
      <c r="G33" s="9">
        <v>91</v>
      </c>
      <c r="H33" s="11">
        <v>89.87</v>
      </c>
      <c r="I33" s="11">
        <v>89.63</v>
      </c>
      <c r="J33" s="11">
        <v>91.66</v>
      </c>
      <c r="K33" s="11">
        <v>96.25</v>
      </c>
      <c r="L33" s="11">
        <v>102.38</v>
      </c>
    </row>
    <row r="34" spans="1:13">
      <c r="A34" s="7" t="s">
        <v>116</v>
      </c>
      <c r="B34" s="8">
        <v>88.69</v>
      </c>
      <c r="C34" s="8">
        <v>77.86</v>
      </c>
      <c r="D34" s="8">
        <v>72.66</v>
      </c>
      <c r="E34" s="8">
        <v>67.84</v>
      </c>
      <c r="F34" s="8">
        <v>63.77</v>
      </c>
      <c r="G34" s="9">
        <v>61</v>
      </c>
      <c r="H34" s="8">
        <v>60.08</v>
      </c>
      <c r="I34" s="8">
        <v>61.13</v>
      </c>
      <c r="J34" s="8">
        <v>67.34</v>
      </c>
      <c r="K34" s="8">
        <v>75.99</v>
      </c>
      <c r="L34" s="8">
        <v>85.33</v>
      </c>
    </row>
    <row r="35" spans="1:13">
      <c r="A35" s="10" t="s">
        <v>117</v>
      </c>
      <c r="B35" s="11">
        <v>99.43</v>
      </c>
      <c r="C35" s="11">
        <v>90.97</v>
      </c>
      <c r="D35" s="11">
        <v>87.13</v>
      </c>
      <c r="E35" s="11">
        <v>83.72</v>
      </c>
      <c r="F35" s="11">
        <v>80.94</v>
      </c>
      <c r="G35" s="9">
        <v>79</v>
      </c>
      <c r="H35" s="11">
        <v>78.09</v>
      </c>
      <c r="I35" s="11">
        <v>78.28</v>
      </c>
      <c r="J35" s="11">
        <v>81.54</v>
      </c>
      <c r="K35" s="11">
        <v>87.36</v>
      </c>
      <c r="L35" s="11">
        <v>94.47</v>
      </c>
    </row>
    <row r="36" spans="1:13">
      <c r="A36" s="7" t="s">
        <v>118</v>
      </c>
      <c r="B36" s="8">
        <v>105.9</v>
      </c>
      <c r="C36" s="8">
        <v>98.65</v>
      </c>
      <c r="D36" s="8">
        <v>95.46</v>
      </c>
      <c r="E36" s="8">
        <v>92.7</v>
      </c>
      <c r="F36" s="8">
        <v>90.5</v>
      </c>
      <c r="G36" s="9">
        <v>89</v>
      </c>
      <c r="H36" s="8">
        <v>88.29</v>
      </c>
      <c r="I36" s="8">
        <v>88.42</v>
      </c>
      <c r="J36" s="8">
        <v>90.97</v>
      </c>
      <c r="K36" s="8">
        <v>95.79</v>
      </c>
      <c r="L36" s="8">
        <v>101.95</v>
      </c>
    </row>
    <row r="37" spans="1:13">
      <c r="A37" s="12" t="s">
        <v>119</v>
      </c>
      <c r="B37" s="12" t="s">
        <v>119</v>
      </c>
      <c r="C37" s="12" t="s">
        <v>119</v>
      </c>
      <c r="D37" s="12" t="s">
        <v>119</v>
      </c>
      <c r="E37" s="12" t="s">
        <v>119</v>
      </c>
      <c r="F37" s="12" t="s">
        <v>119</v>
      </c>
      <c r="G37" s="12" t="s">
        <v>119</v>
      </c>
      <c r="H37" s="12" t="s">
        <v>119</v>
      </c>
      <c r="I37" s="12" t="s">
        <v>119</v>
      </c>
      <c r="J37" s="12" t="s">
        <v>119</v>
      </c>
      <c r="K37" s="12" t="s">
        <v>119</v>
      </c>
      <c r="L37" s="12" t="s">
        <v>119</v>
      </c>
      <c r="M37" s="12" t="s">
        <v>119</v>
      </c>
    </row>
    <row r="38" spans="1:13">
      <c r="A38" s="5" t="s">
        <v>122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</row>
    <row r="39" spans="1:13">
      <c r="A39" s="6" t="s">
        <v>95</v>
      </c>
      <c r="B39" s="6" t="s">
        <v>96</v>
      </c>
      <c r="C39" s="6" t="s">
        <v>97</v>
      </c>
      <c r="D39" s="6" t="s">
        <v>98</v>
      </c>
      <c r="E39" s="6" t="s">
        <v>99</v>
      </c>
      <c r="F39" s="6" t="s">
        <v>100</v>
      </c>
      <c r="G39" s="6" t="s">
        <v>47</v>
      </c>
      <c r="H39" s="6" t="s">
        <v>101</v>
      </c>
      <c r="I39" s="6" t="s">
        <v>102</v>
      </c>
      <c r="J39" s="6" t="s">
        <v>103</v>
      </c>
      <c r="K39" s="6" t="s">
        <v>104</v>
      </c>
      <c r="L39" s="6" t="s">
        <v>105</v>
      </c>
    </row>
    <row r="40" spans="1:13">
      <c r="A40" s="7" t="s">
        <v>108</v>
      </c>
      <c r="B40" s="8">
        <v>95.56</v>
      </c>
      <c r="C40" s="8">
        <v>82.86</v>
      </c>
      <c r="D40" s="8">
        <v>76.61</v>
      </c>
      <c r="E40" s="8">
        <v>70.65</v>
      </c>
      <c r="F40" s="8">
        <v>65.38</v>
      </c>
      <c r="G40" s="9">
        <v>61.52</v>
      </c>
      <c r="H40" s="8">
        <v>59.93</v>
      </c>
      <c r="I40" s="8">
        <v>60.91</v>
      </c>
      <c r="J40" s="8">
        <v>68.04</v>
      </c>
      <c r="K40" s="8">
        <v>77.89</v>
      </c>
      <c r="L40" s="8">
        <v>88.38</v>
      </c>
    </row>
    <row r="41" spans="1:13">
      <c r="A41" s="10" t="s">
        <v>111</v>
      </c>
      <c r="B41" s="11">
        <v>103.23</v>
      </c>
      <c r="C41" s="11">
        <v>92.91</v>
      </c>
      <c r="D41" s="11">
        <v>88.01</v>
      </c>
      <c r="E41" s="11">
        <v>83.48</v>
      </c>
      <c r="F41" s="11">
        <v>79.54</v>
      </c>
      <c r="G41" s="9">
        <v>76.52</v>
      </c>
      <c r="H41" s="11">
        <v>74.75</v>
      </c>
      <c r="I41" s="11">
        <v>74.42</v>
      </c>
      <c r="J41" s="11">
        <v>77.65</v>
      </c>
      <c r="K41" s="11">
        <v>84.14</v>
      </c>
      <c r="L41" s="11">
        <v>92.05</v>
      </c>
    </row>
    <row r="42" spans="1:13">
      <c r="A42" s="7" t="s">
        <v>112</v>
      </c>
      <c r="B42" s="8">
        <v>109.62</v>
      </c>
      <c r="C42" s="8">
        <v>100.3</v>
      </c>
      <c r="D42" s="8">
        <v>96.01</v>
      </c>
      <c r="E42" s="8">
        <v>92.14</v>
      </c>
      <c r="F42" s="8">
        <v>88.88</v>
      </c>
      <c r="G42" s="9">
        <v>86.47</v>
      </c>
      <c r="H42" s="8">
        <v>85.12</v>
      </c>
      <c r="I42" s="8">
        <v>84.92</v>
      </c>
      <c r="J42" s="8">
        <v>87.71</v>
      </c>
      <c r="K42" s="8">
        <v>93.47</v>
      </c>
      <c r="L42" s="8">
        <v>100.77</v>
      </c>
    </row>
    <row r="43" spans="1:13">
      <c r="A43" s="10" t="s">
        <v>113</v>
      </c>
      <c r="B43" s="11">
        <v>96.7</v>
      </c>
      <c r="C43" s="11">
        <v>85.16</v>
      </c>
      <c r="D43" s="11">
        <v>79.58</v>
      </c>
      <c r="E43" s="11">
        <v>74.35</v>
      </c>
      <c r="F43" s="11">
        <v>69.82</v>
      </c>
      <c r="G43" s="9">
        <v>66.5</v>
      </c>
      <c r="H43" s="11">
        <v>64.97</v>
      </c>
      <c r="I43" s="11">
        <v>65.47</v>
      </c>
      <c r="J43" s="11">
        <v>71.07</v>
      </c>
      <c r="K43" s="11">
        <v>79.62</v>
      </c>
      <c r="L43" s="11">
        <v>89.09</v>
      </c>
    </row>
    <row r="44" spans="1:13">
      <c r="A44" s="7" t="s">
        <v>114</v>
      </c>
      <c r="B44" s="8">
        <v>104.88</v>
      </c>
      <c r="C44" s="8">
        <v>95.48</v>
      </c>
      <c r="D44" s="8">
        <v>91.13</v>
      </c>
      <c r="E44" s="8">
        <v>87.2</v>
      </c>
      <c r="F44" s="8">
        <v>83.9</v>
      </c>
      <c r="G44" s="9">
        <v>81.48</v>
      </c>
      <c r="H44" s="8">
        <v>80.18</v>
      </c>
      <c r="I44" s="8">
        <v>80.11</v>
      </c>
      <c r="J44" s="8">
        <v>83.28</v>
      </c>
      <c r="K44" s="8">
        <v>89.36</v>
      </c>
      <c r="L44" s="8">
        <v>96.88</v>
      </c>
    </row>
    <row r="45" spans="1:13">
      <c r="A45" s="10" t="s">
        <v>115</v>
      </c>
      <c r="B45" s="11">
        <v>110.84</v>
      </c>
      <c r="C45" s="11">
        <v>102.86</v>
      </c>
      <c r="D45" s="11">
        <v>99.27</v>
      </c>
      <c r="E45" s="11">
        <v>96.08</v>
      </c>
      <c r="F45" s="11">
        <v>93.44</v>
      </c>
      <c r="G45" s="9">
        <v>91.5</v>
      </c>
      <c r="H45" s="11">
        <v>90.37</v>
      </c>
      <c r="I45" s="11">
        <v>90.14</v>
      </c>
      <c r="J45" s="11">
        <v>92.2</v>
      </c>
      <c r="K45" s="11">
        <v>96.83</v>
      </c>
      <c r="L45" s="11">
        <v>102.99</v>
      </c>
    </row>
    <row r="46" spans="1:13">
      <c r="A46" s="7" t="s">
        <v>116</v>
      </c>
      <c r="B46" s="8">
        <v>89.17</v>
      </c>
      <c r="C46" s="8">
        <v>78.34</v>
      </c>
      <c r="D46" s="8">
        <v>73.14</v>
      </c>
      <c r="E46" s="8">
        <v>68.33</v>
      </c>
      <c r="F46" s="8">
        <v>64.27</v>
      </c>
      <c r="G46" s="9">
        <v>61.5</v>
      </c>
      <c r="H46" s="8">
        <v>60.57</v>
      </c>
      <c r="I46" s="8">
        <v>61.61</v>
      </c>
      <c r="J46" s="8">
        <v>67.79</v>
      </c>
      <c r="K46" s="8">
        <v>76.42</v>
      </c>
      <c r="L46" s="8">
        <v>85.77</v>
      </c>
    </row>
    <row r="47" spans="1:13">
      <c r="A47" s="10" t="s">
        <v>117</v>
      </c>
      <c r="B47" s="11">
        <v>99.92</v>
      </c>
      <c r="C47" s="11">
        <v>91.47</v>
      </c>
      <c r="D47" s="11">
        <v>87.63</v>
      </c>
      <c r="E47" s="11">
        <v>84.22</v>
      </c>
      <c r="F47" s="11">
        <v>81.43</v>
      </c>
      <c r="G47" s="9">
        <v>79.49</v>
      </c>
      <c r="H47" s="11">
        <v>78.57</v>
      </c>
      <c r="I47" s="11">
        <v>78.75</v>
      </c>
      <c r="J47" s="11">
        <v>81.97</v>
      </c>
      <c r="K47" s="11">
        <v>87.77</v>
      </c>
      <c r="L47" s="11">
        <v>94.86</v>
      </c>
    </row>
    <row r="48" spans="1:13">
      <c r="A48" s="7" t="s">
        <v>118</v>
      </c>
      <c r="B48" s="8">
        <v>106.38</v>
      </c>
      <c r="C48" s="8">
        <v>99.14</v>
      </c>
      <c r="D48" s="8">
        <v>95.95</v>
      </c>
      <c r="E48" s="8">
        <v>93.19</v>
      </c>
      <c r="F48" s="8">
        <v>90.99</v>
      </c>
      <c r="G48" s="9">
        <v>89.49</v>
      </c>
      <c r="H48" s="8">
        <v>88.78</v>
      </c>
      <c r="I48" s="8">
        <v>88.91</v>
      </c>
      <c r="J48" s="8">
        <v>91.43</v>
      </c>
      <c r="K48" s="8">
        <v>96.23</v>
      </c>
      <c r="L48" s="8">
        <v>102.39</v>
      </c>
    </row>
    <row r="49" spans="1:13">
      <c r="A49" s="12" t="s">
        <v>119</v>
      </c>
      <c r="B49" s="12" t="s">
        <v>119</v>
      </c>
      <c r="C49" s="12" t="s">
        <v>119</v>
      </c>
      <c r="D49" s="12" t="s">
        <v>119</v>
      </c>
      <c r="E49" s="12" t="s">
        <v>119</v>
      </c>
      <c r="F49" s="12" t="s">
        <v>119</v>
      </c>
      <c r="G49" s="12" t="s">
        <v>119</v>
      </c>
      <c r="H49" s="12" t="s">
        <v>119</v>
      </c>
      <c r="I49" s="12" t="s">
        <v>119</v>
      </c>
      <c r="J49" s="12" t="s">
        <v>119</v>
      </c>
      <c r="K49" s="12" t="s">
        <v>119</v>
      </c>
      <c r="L49" s="12" t="s">
        <v>119</v>
      </c>
      <c r="M49" s="12" t="s">
        <v>119</v>
      </c>
    </row>
    <row r="50" spans="1:13">
      <c r="A50" s="5" t="s">
        <v>123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3"/>
    </row>
    <row r="51" spans="1:13">
      <c r="A51" s="6" t="s">
        <v>95</v>
      </c>
      <c r="B51" s="6" t="s">
        <v>96</v>
      </c>
      <c r="C51" s="6" t="s">
        <v>97</v>
      </c>
      <c r="D51" s="6" t="s">
        <v>98</v>
      </c>
      <c r="E51" s="6" t="s">
        <v>99</v>
      </c>
      <c r="F51" s="6" t="s">
        <v>100</v>
      </c>
      <c r="G51" s="6" t="s">
        <v>47</v>
      </c>
      <c r="H51" s="6" t="s">
        <v>101</v>
      </c>
      <c r="I51" s="6" t="s">
        <v>102</v>
      </c>
      <c r="J51" s="6" t="s">
        <v>103</v>
      </c>
      <c r="K51" s="6" t="s">
        <v>104</v>
      </c>
      <c r="L51" s="6" t="s">
        <v>105</v>
      </c>
    </row>
    <row r="52" spans="1:13">
      <c r="A52" s="7" t="s">
        <v>108</v>
      </c>
      <c r="B52" s="8">
        <v>95.51</v>
      </c>
      <c r="C52" s="8">
        <v>83.07</v>
      </c>
      <c r="D52" s="8">
        <v>76.94</v>
      </c>
      <c r="E52" s="8">
        <v>71.1</v>
      </c>
      <c r="F52" s="8">
        <v>65.89</v>
      </c>
      <c r="G52" s="9">
        <v>61.99</v>
      </c>
      <c r="H52" s="8">
        <v>60.17</v>
      </c>
      <c r="I52" s="8">
        <v>60.81</v>
      </c>
      <c r="J52" s="8">
        <v>67.26</v>
      </c>
      <c r="K52" s="8">
        <v>76.6</v>
      </c>
      <c r="L52" s="8">
        <v>86.68</v>
      </c>
    </row>
    <row r="53" spans="1:13">
      <c r="A53" s="10" t="s">
        <v>111</v>
      </c>
      <c r="B53" s="11">
        <v>104.38</v>
      </c>
      <c r="C53" s="11">
        <v>93.69</v>
      </c>
      <c r="D53" s="11">
        <v>88.62</v>
      </c>
      <c r="E53" s="11">
        <v>83.95</v>
      </c>
      <c r="F53" s="11">
        <v>79.95</v>
      </c>
      <c r="G53" s="9">
        <v>76.96</v>
      </c>
      <c r="H53" s="11">
        <v>75.36</v>
      </c>
      <c r="I53" s="11">
        <v>75.32</v>
      </c>
      <c r="J53" s="11">
        <v>79.29</v>
      </c>
      <c r="K53" s="11">
        <v>86.47</v>
      </c>
      <c r="L53" s="11">
        <v>94.98</v>
      </c>
    </row>
    <row r="54" spans="1:13">
      <c r="A54" s="7" t="s">
        <v>112</v>
      </c>
      <c r="B54" s="8">
        <v>110.82</v>
      </c>
      <c r="C54" s="8">
        <v>101.23</v>
      </c>
      <c r="D54" s="8">
        <v>96.8</v>
      </c>
      <c r="E54" s="8">
        <v>92.82</v>
      </c>
      <c r="F54" s="8">
        <v>89.48</v>
      </c>
      <c r="G54" s="9">
        <v>87.02</v>
      </c>
      <c r="H54" s="8">
        <v>85.68</v>
      </c>
      <c r="I54" s="8">
        <v>85.55</v>
      </c>
      <c r="J54" s="8">
        <v>88.62</v>
      </c>
      <c r="K54" s="8">
        <v>94.7</v>
      </c>
      <c r="L54" s="8">
        <v>102.31</v>
      </c>
    </row>
    <row r="55" spans="1:13">
      <c r="A55" s="10" t="s">
        <v>113</v>
      </c>
      <c r="B55" s="11">
        <v>97.09</v>
      </c>
      <c r="C55" s="11">
        <v>85.58</v>
      </c>
      <c r="D55" s="11">
        <v>80.02</v>
      </c>
      <c r="E55" s="11">
        <v>74.82</v>
      </c>
      <c r="F55" s="11">
        <v>70.32</v>
      </c>
      <c r="G55" s="9">
        <v>67.02</v>
      </c>
      <c r="H55" s="11">
        <v>65.48</v>
      </c>
      <c r="I55" s="11">
        <v>65.96</v>
      </c>
      <c r="J55" s="11">
        <v>71.48</v>
      </c>
      <c r="K55" s="11">
        <v>79.97</v>
      </c>
      <c r="L55" s="11">
        <v>89.41</v>
      </c>
    </row>
    <row r="56" spans="1:13">
      <c r="A56" s="7" t="s">
        <v>114</v>
      </c>
      <c r="B56" s="8">
        <v>105.3</v>
      </c>
      <c r="C56" s="8">
        <v>95.94</v>
      </c>
      <c r="D56" s="8">
        <v>91.61</v>
      </c>
      <c r="E56" s="8">
        <v>87.7</v>
      </c>
      <c r="F56" s="8">
        <v>84.42</v>
      </c>
      <c r="G56" s="9">
        <v>82.01</v>
      </c>
      <c r="H56" s="8">
        <v>80.7</v>
      </c>
      <c r="I56" s="8">
        <v>80.6</v>
      </c>
      <c r="J56" s="8">
        <v>83.69</v>
      </c>
      <c r="K56" s="8">
        <v>89.7</v>
      </c>
      <c r="L56" s="8">
        <v>97.15</v>
      </c>
    </row>
    <row r="57" spans="1:13">
      <c r="A57" s="10" t="s">
        <v>115</v>
      </c>
      <c r="B57" s="11">
        <v>111.31</v>
      </c>
      <c r="C57" s="11">
        <v>103.35</v>
      </c>
      <c r="D57" s="11">
        <v>99.76</v>
      </c>
      <c r="E57" s="11">
        <v>96.58</v>
      </c>
      <c r="F57" s="11">
        <v>93.94</v>
      </c>
      <c r="G57" s="9">
        <v>92</v>
      </c>
      <c r="H57" s="11">
        <v>90.87</v>
      </c>
      <c r="I57" s="11">
        <v>90.63</v>
      </c>
      <c r="J57" s="11">
        <v>92.66</v>
      </c>
      <c r="K57" s="11">
        <v>97.25</v>
      </c>
      <c r="L57" s="11">
        <v>103.39</v>
      </c>
    </row>
    <row r="58" spans="1:13">
      <c r="A58" s="7" t="s">
        <v>116</v>
      </c>
      <c r="B58" s="8">
        <v>89.6</v>
      </c>
      <c r="C58" s="8">
        <v>78.79</v>
      </c>
      <c r="D58" s="8">
        <v>73.61</v>
      </c>
      <c r="E58" s="8">
        <v>68.81</v>
      </c>
      <c r="F58" s="8">
        <v>64.77</v>
      </c>
      <c r="G58" s="9">
        <v>62.01</v>
      </c>
      <c r="H58" s="8">
        <v>61.06</v>
      </c>
      <c r="I58" s="8">
        <v>62.06</v>
      </c>
      <c r="J58" s="8">
        <v>68.16</v>
      </c>
      <c r="K58" s="8">
        <v>76.74</v>
      </c>
      <c r="L58" s="8">
        <v>86.05</v>
      </c>
    </row>
    <row r="59" spans="1:13">
      <c r="A59" s="10" t="s">
        <v>117</v>
      </c>
      <c r="B59" s="11">
        <v>100.37</v>
      </c>
      <c r="C59" s="11">
        <v>91.95</v>
      </c>
      <c r="D59" s="11">
        <v>88.12</v>
      </c>
      <c r="E59" s="11">
        <v>84.73</v>
      </c>
      <c r="F59" s="11">
        <v>81.96</v>
      </c>
      <c r="G59" s="9">
        <v>80.02</v>
      </c>
      <c r="H59" s="11">
        <v>79.1</v>
      </c>
      <c r="I59" s="11">
        <v>79.26</v>
      </c>
      <c r="J59" s="11">
        <v>82.45</v>
      </c>
      <c r="K59" s="11">
        <v>88.2</v>
      </c>
      <c r="L59" s="11">
        <v>95.26</v>
      </c>
    </row>
    <row r="60" spans="1:13">
      <c r="A60" s="7" t="s">
        <v>118</v>
      </c>
      <c r="B60" s="8">
        <v>106.81</v>
      </c>
      <c r="C60" s="8">
        <v>99.6</v>
      </c>
      <c r="D60" s="8">
        <v>96.42</v>
      </c>
      <c r="E60" s="8">
        <v>93.68</v>
      </c>
      <c r="F60" s="8">
        <v>91.5</v>
      </c>
      <c r="G60" s="9">
        <v>90.01</v>
      </c>
      <c r="H60" s="8">
        <v>89.3</v>
      </c>
      <c r="I60" s="8">
        <v>89.42</v>
      </c>
      <c r="J60" s="8">
        <v>91.92</v>
      </c>
      <c r="K60" s="8">
        <v>96.68</v>
      </c>
      <c r="L60" s="8">
        <v>102.8</v>
      </c>
    </row>
    <row r="61" spans="1:13">
      <c r="A61" s="12" t="s">
        <v>119</v>
      </c>
      <c r="B61" s="12" t="s">
        <v>119</v>
      </c>
      <c r="C61" s="12" t="s">
        <v>119</v>
      </c>
      <c r="D61" s="12" t="s">
        <v>119</v>
      </c>
      <c r="E61" s="12" t="s">
        <v>119</v>
      </c>
      <c r="F61" s="12" t="s">
        <v>119</v>
      </c>
      <c r="G61" s="12" t="s">
        <v>119</v>
      </c>
      <c r="H61" s="12" t="s">
        <v>119</v>
      </c>
      <c r="I61" s="12" t="s">
        <v>119</v>
      </c>
      <c r="J61" s="12" t="s">
        <v>119</v>
      </c>
      <c r="K61" s="12" t="s">
        <v>119</v>
      </c>
      <c r="L61" s="12" t="s">
        <v>119</v>
      </c>
      <c r="M61" s="12" t="s">
        <v>119</v>
      </c>
    </row>
  </sheetData>
  <mergeCells count="7">
    <mergeCell ref="A1:L1"/>
    <mergeCell ref="A2:L2"/>
    <mergeCell ref="N2:O2"/>
    <mergeCell ref="A14:L14"/>
    <mergeCell ref="A26:L26"/>
    <mergeCell ref="A38:L38"/>
    <mergeCell ref="A50:L50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1"/>
  <sheetViews>
    <sheetView workbookViewId="0">
      <pane ySplit="1" topLeftCell="A2" activePane="bottomLeft" state="frozen"/>
      <selection/>
      <selection pane="bottomLeft" activeCell="B4" sqref="B4:L5"/>
    </sheetView>
  </sheetViews>
  <sheetFormatPr defaultColWidth="9" defaultRowHeight="16.8"/>
  <cols>
    <col min="1" max="12" width="9" customWidth="1"/>
    <col min="14" max="14" width="10" customWidth="1"/>
    <col min="15" max="15" width="45" customWidth="1"/>
  </cols>
  <sheetData>
    <row r="1" ht="30" customHeight="1" spans="1:15">
      <c r="A1" s="34" t="s">
        <v>209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5">
      <c r="A2" s="4" t="s">
        <v>93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N2" s="6" t="s">
        <v>94</v>
      </c>
      <c r="O2" s="3"/>
    </row>
    <row r="3" ht="50" customHeight="1" spans="1:15">
      <c r="A3" s="6" t="s">
        <v>95</v>
      </c>
      <c r="B3" s="6" t="s">
        <v>96</v>
      </c>
      <c r="C3" s="6" t="s">
        <v>97</v>
      </c>
      <c r="D3" s="6" t="s">
        <v>98</v>
      </c>
      <c r="E3" s="6" t="s">
        <v>99</v>
      </c>
      <c r="F3" s="6" t="s">
        <v>100</v>
      </c>
      <c r="G3" s="6" t="s">
        <v>47</v>
      </c>
      <c r="H3" s="6" t="s">
        <v>101</v>
      </c>
      <c r="I3" s="6" t="s">
        <v>102</v>
      </c>
      <c r="J3" s="6" t="s">
        <v>103</v>
      </c>
      <c r="K3" s="6" t="s">
        <v>104</v>
      </c>
      <c r="L3" s="6" t="s">
        <v>105</v>
      </c>
      <c r="N3" s="17" t="s">
        <v>106</v>
      </c>
      <c r="O3" s="18" t="s">
        <v>210</v>
      </c>
    </row>
    <row r="4" ht="50" customHeight="1" spans="1:15">
      <c r="A4" s="7" t="s">
        <v>108</v>
      </c>
      <c r="B4" s="35">
        <v>-2.643</v>
      </c>
      <c r="C4" s="22">
        <v>0.8161</v>
      </c>
      <c r="D4" s="21">
        <v>0.1916</v>
      </c>
      <c r="E4" s="21">
        <v>-0.0121</v>
      </c>
      <c r="F4" s="21">
        <v>0.0537</v>
      </c>
      <c r="G4" s="22">
        <v>0</v>
      </c>
      <c r="H4" s="21">
        <v>0.0545</v>
      </c>
      <c r="I4" s="21">
        <v>0.3668</v>
      </c>
      <c r="J4" s="35">
        <v>3.3499</v>
      </c>
      <c r="K4" s="35">
        <v>-12.6781</v>
      </c>
      <c r="L4" s="35">
        <v>-16.7443</v>
      </c>
      <c r="N4" s="15" t="s">
        <v>135</v>
      </c>
      <c r="O4" s="18" t="s">
        <v>211</v>
      </c>
    </row>
    <row r="5" ht="50" customHeight="1" spans="1:15">
      <c r="A5" s="10" t="s">
        <v>111</v>
      </c>
      <c r="B5" s="35">
        <v>2.8956</v>
      </c>
      <c r="C5" s="21">
        <v>0.256</v>
      </c>
      <c r="D5" s="22">
        <v>0.5881</v>
      </c>
      <c r="E5" s="21">
        <v>0.1419</v>
      </c>
      <c r="F5" s="21">
        <v>-0.0882</v>
      </c>
      <c r="G5" s="22">
        <v>0</v>
      </c>
      <c r="H5" s="21">
        <v>0.2864</v>
      </c>
      <c r="I5" s="22">
        <v>0.9631</v>
      </c>
      <c r="J5" s="35">
        <v>4.7446</v>
      </c>
      <c r="K5" s="35">
        <v>-13.084</v>
      </c>
      <c r="L5" s="35">
        <v>-23.3782</v>
      </c>
      <c r="N5" s="17" t="s">
        <v>212</v>
      </c>
      <c r="O5" s="18" t="s">
        <v>213</v>
      </c>
    </row>
    <row r="6" ht="50" customHeight="1" spans="1:15">
      <c r="A6" s="7" t="s">
        <v>112</v>
      </c>
      <c r="B6" s="21">
        <v>0.3533</v>
      </c>
      <c r="C6" s="22">
        <v>0.7782</v>
      </c>
      <c r="D6" s="21">
        <v>0.1579</v>
      </c>
      <c r="E6" s="21">
        <v>-0.0482</v>
      </c>
      <c r="F6" s="21">
        <v>0.0035</v>
      </c>
      <c r="G6" s="22">
        <v>0</v>
      </c>
      <c r="H6" s="21">
        <v>0.2356</v>
      </c>
      <c r="I6" s="22">
        <v>0.5295</v>
      </c>
      <c r="J6" s="35">
        <v>1.7613</v>
      </c>
      <c r="K6" s="35">
        <v>-9.9344</v>
      </c>
      <c r="L6" s="35">
        <v>-13.0437</v>
      </c>
      <c r="N6" s="27" t="s">
        <v>168</v>
      </c>
      <c r="O6" s="18" t="s">
        <v>214</v>
      </c>
    </row>
    <row r="7" spans="1:15">
      <c r="A7" s="10" t="s">
        <v>113</v>
      </c>
      <c r="B7" s="21">
        <v>0.0348</v>
      </c>
      <c r="C7" s="21">
        <v>-0.0588</v>
      </c>
      <c r="D7" s="21">
        <v>0.0165</v>
      </c>
      <c r="E7" s="21">
        <v>-0.0265</v>
      </c>
      <c r="F7" s="21">
        <v>0.0284</v>
      </c>
      <c r="G7" s="22">
        <v>0</v>
      </c>
      <c r="H7" s="21">
        <v>-0.0148</v>
      </c>
      <c r="I7" s="21">
        <v>-0.0278</v>
      </c>
      <c r="J7" s="21">
        <v>-0.0098</v>
      </c>
      <c r="K7" s="21">
        <v>0.013</v>
      </c>
      <c r="L7" s="21">
        <v>0.0561</v>
      </c>
    </row>
    <row r="8" spans="1:15">
      <c r="A8" s="7" t="s">
        <v>114</v>
      </c>
      <c r="B8" s="21">
        <v>0.0609</v>
      </c>
      <c r="C8" s="21">
        <v>0.0034</v>
      </c>
      <c r="D8" s="21">
        <v>-0.0092</v>
      </c>
      <c r="E8" s="21">
        <v>-0.0518</v>
      </c>
      <c r="F8" s="21">
        <v>-0.0307</v>
      </c>
      <c r="G8" s="22">
        <v>0</v>
      </c>
      <c r="H8" s="21">
        <v>-0.0205</v>
      </c>
      <c r="I8" s="21">
        <v>0.0054</v>
      </c>
      <c r="J8" s="21">
        <v>0.0429</v>
      </c>
      <c r="K8" s="21">
        <v>-0.0113</v>
      </c>
      <c r="L8" s="21">
        <v>-0.086</v>
      </c>
    </row>
    <row r="9" spans="1:15">
      <c r="A9" s="10" t="s">
        <v>115</v>
      </c>
      <c r="B9" s="21">
        <v>-0.0146</v>
      </c>
      <c r="C9" s="21">
        <v>0.0426</v>
      </c>
      <c r="D9" s="21">
        <v>0.0163</v>
      </c>
      <c r="E9" s="21">
        <v>-0.0072</v>
      </c>
      <c r="F9" s="21">
        <v>-0.0259</v>
      </c>
      <c r="G9" s="22">
        <v>0</v>
      </c>
      <c r="H9" s="21">
        <v>-0.0001</v>
      </c>
      <c r="I9" s="21">
        <v>0.0287</v>
      </c>
      <c r="J9" s="21">
        <v>0.0609</v>
      </c>
      <c r="K9" s="21">
        <v>-0.0132</v>
      </c>
      <c r="L9" s="21">
        <v>-0.0872</v>
      </c>
    </row>
    <row r="10" spans="1:15">
      <c r="A10" s="7" t="s">
        <v>116</v>
      </c>
      <c r="B10" s="21">
        <v>0.0049</v>
      </c>
      <c r="C10" s="21">
        <v>-0.016</v>
      </c>
      <c r="D10" s="21">
        <v>0.0014</v>
      </c>
      <c r="E10" s="21">
        <v>0.0221</v>
      </c>
      <c r="F10" s="21">
        <v>0.006</v>
      </c>
      <c r="G10" s="22">
        <v>0</v>
      </c>
      <c r="H10" s="21">
        <v>0.0107</v>
      </c>
      <c r="I10" s="21">
        <v>-0.0215</v>
      </c>
      <c r="J10" s="21">
        <v>0.0646</v>
      </c>
      <c r="K10" s="21">
        <v>-0.0358</v>
      </c>
      <c r="L10" s="21">
        <v>-0.0161</v>
      </c>
    </row>
    <row r="11" spans="1:15">
      <c r="A11" s="10" t="s">
        <v>117</v>
      </c>
      <c r="B11" s="21">
        <v>-0.0065</v>
      </c>
      <c r="C11" s="21">
        <v>-0.0077</v>
      </c>
      <c r="D11" s="21">
        <v>0.0359</v>
      </c>
      <c r="E11" s="21">
        <v>0.0071</v>
      </c>
      <c r="F11" s="21">
        <v>0.0023</v>
      </c>
      <c r="G11" s="22">
        <v>0</v>
      </c>
      <c r="H11" s="21">
        <v>0.0228</v>
      </c>
      <c r="I11" s="21">
        <v>0.0284</v>
      </c>
      <c r="J11" s="21">
        <v>0.0223</v>
      </c>
      <c r="K11" s="21">
        <v>-0.0205</v>
      </c>
      <c r="L11" s="21">
        <v>-0.0124</v>
      </c>
    </row>
    <row r="12" spans="1:15">
      <c r="A12" s="7" t="s">
        <v>118</v>
      </c>
      <c r="B12" s="21">
        <v>0.0168</v>
      </c>
      <c r="C12" s="21">
        <v>-0.0088</v>
      </c>
      <c r="D12" s="21">
        <v>-0.0013</v>
      </c>
      <c r="E12" s="21">
        <v>-0.0169</v>
      </c>
      <c r="F12" s="21">
        <v>0.0096</v>
      </c>
      <c r="G12" s="22">
        <v>0</v>
      </c>
      <c r="H12" s="21">
        <v>0.0033</v>
      </c>
      <c r="I12" s="21">
        <v>0.0213</v>
      </c>
      <c r="J12" s="21">
        <v>-0.0086</v>
      </c>
      <c r="K12" s="21">
        <v>-0.0072</v>
      </c>
      <c r="L12" s="21">
        <v>0.0015</v>
      </c>
    </row>
    <row r="13" spans="1:15">
      <c r="A13" s="12" t="s">
        <v>119</v>
      </c>
      <c r="B13" s="12" t="s">
        <v>119</v>
      </c>
      <c r="C13" s="12" t="s">
        <v>119</v>
      </c>
      <c r="D13" s="12" t="s">
        <v>119</v>
      </c>
      <c r="E13" s="12" t="s">
        <v>119</v>
      </c>
      <c r="F13" s="12" t="s">
        <v>119</v>
      </c>
      <c r="G13" s="12" t="s">
        <v>119</v>
      </c>
      <c r="H13" s="12" t="s">
        <v>119</v>
      </c>
      <c r="I13" s="12" t="s">
        <v>119</v>
      </c>
      <c r="J13" s="12" t="s">
        <v>119</v>
      </c>
      <c r="K13" s="12" t="s">
        <v>119</v>
      </c>
      <c r="L13" s="12" t="s">
        <v>119</v>
      </c>
      <c r="M13" s="12" t="s">
        <v>119</v>
      </c>
    </row>
    <row r="14" spans="1:15">
      <c r="A14" s="4" t="s">
        <v>120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</row>
    <row r="15" spans="1:15">
      <c r="A15" s="6" t="s">
        <v>95</v>
      </c>
      <c r="B15" s="6" t="s">
        <v>96</v>
      </c>
      <c r="C15" s="6" t="s">
        <v>97</v>
      </c>
      <c r="D15" s="6" t="s">
        <v>98</v>
      </c>
      <c r="E15" s="6" t="s">
        <v>99</v>
      </c>
      <c r="F15" s="6" t="s">
        <v>100</v>
      </c>
      <c r="G15" s="6" t="s">
        <v>47</v>
      </c>
      <c r="H15" s="6" t="s">
        <v>101</v>
      </c>
      <c r="I15" s="6" t="s">
        <v>102</v>
      </c>
      <c r="J15" s="6" t="s">
        <v>103</v>
      </c>
      <c r="K15" s="6" t="s">
        <v>104</v>
      </c>
      <c r="L15" s="6" t="s">
        <v>105</v>
      </c>
    </row>
    <row r="16" spans="1:15">
      <c r="A16" s="7" t="s">
        <v>108</v>
      </c>
      <c r="B16" s="35">
        <v>2.2075</v>
      </c>
      <c r="C16" s="35">
        <v>1.4399</v>
      </c>
      <c r="D16" s="21">
        <v>-0.0369</v>
      </c>
      <c r="E16" s="21">
        <v>-0.1318</v>
      </c>
      <c r="F16" s="21">
        <v>-0.0739</v>
      </c>
      <c r="G16" s="22">
        <v>0</v>
      </c>
      <c r="H16" s="21">
        <v>0.1762</v>
      </c>
      <c r="I16" s="21">
        <v>0.0504</v>
      </c>
      <c r="J16" s="21">
        <v>-0.0655</v>
      </c>
      <c r="K16" s="35">
        <v>-12.2619</v>
      </c>
      <c r="L16" s="35">
        <v>23.7323</v>
      </c>
    </row>
    <row r="17" spans="1:13">
      <c r="A17" s="10" t="s">
        <v>111</v>
      </c>
      <c r="B17" s="35">
        <v>14.2777</v>
      </c>
      <c r="C17" s="22">
        <v>0.8447</v>
      </c>
      <c r="D17" s="21">
        <v>0.4471</v>
      </c>
      <c r="E17" s="21">
        <v>-0.1036</v>
      </c>
      <c r="F17" s="21">
        <v>-0.0176</v>
      </c>
      <c r="G17" s="22">
        <v>0</v>
      </c>
      <c r="H17" s="21">
        <v>0.3422</v>
      </c>
      <c r="I17" s="35">
        <v>1.0988</v>
      </c>
      <c r="J17" s="22">
        <v>0.8297</v>
      </c>
      <c r="K17" s="35">
        <v>-7.5485</v>
      </c>
      <c r="L17" s="35">
        <v>-26.1473</v>
      </c>
    </row>
    <row r="18" spans="1:13">
      <c r="A18" s="7" t="s">
        <v>112</v>
      </c>
      <c r="B18" s="35">
        <v>2.2367</v>
      </c>
      <c r="C18" s="22">
        <v>-0.6105</v>
      </c>
      <c r="D18" s="21">
        <v>0.2036</v>
      </c>
      <c r="E18" s="21">
        <v>-0.069</v>
      </c>
      <c r="F18" s="21">
        <v>-0.1375</v>
      </c>
      <c r="G18" s="22">
        <v>0</v>
      </c>
      <c r="H18" s="21">
        <v>-0.0365</v>
      </c>
      <c r="I18" s="21">
        <v>-0.1563</v>
      </c>
      <c r="J18" s="21">
        <v>0.0578</v>
      </c>
      <c r="K18" s="35">
        <v>8.846</v>
      </c>
      <c r="L18" s="35">
        <v>10.4791</v>
      </c>
    </row>
    <row r="19" spans="1:13">
      <c r="A19" s="10" t="s">
        <v>113</v>
      </c>
      <c r="B19" s="21">
        <v>0.0393</v>
      </c>
      <c r="C19" s="21">
        <v>-0.0343</v>
      </c>
      <c r="D19" s="21">
        <v>0.0184</v>
      </c>
      <c r="E19" s="21">
        <v>-0.0492</v>
      </c>
      <c r="F19" s="21">
        <v>0.0139</v>
      </c>
      <c r="G19" s="22">
        <v>0</v>
      </c>
      <c r="H19" s="21">
        <v>-0.0238</v>
      </c>
      <c r="I19" s="21">
        <v>0.0269</v>
      </c>
      <c r="J19" s="21">
        <v>-0.0314</v>
      </c>
      <c r="K19" s="21">
        <v>-0.1524</v>
      </c>
      <c r="L19" s="21">
        <v>0.2468</v>
      </c>
    </row>
    <row r="20" spans="1:13">
      <c r="A20" s="7" t="s">
        <v>114</v>
      </c>
      <c r="B20" s="21">
        <v>-0.01</v>
      </c>
      <c r="C20" s="21">
        <v>-0.0084</v>
      </c>
      <c r="D20" s="21">
        <v>-0.0207</v>
      </c>
      <c r="E20" s="21">
        <v>0.035</v>
      </c>
      <c r="F20" s="21">
        <v>0.0361</v>
      </c>
      <c r="G20" s="22">
        <v>0</v>
      </c>
      <c r="H20" s="21">
        <v>-0.0012</v>
      </c>
      <c r="I20" s="21">
        <v>-0.0017</v>
      </c>
      <c r="J20" s="21">
        <v>-0.0105</v>
      </c>
      <c r="K20" s="21">
        <v>0.0478</v>
      </c>
      <c r="L20" s="21">
        <v>-0.0296</v>
      </c>
    </row>
    <row r="21" spans="1:13">
      <c r="A21" s="10" t="s">
        <v>115</v>
      </c>
      <c r="B21" s="21">
        <v>0.0009</v>
      </c>
      <c r="C21" s="21">
        <v>0.0346</v>
      </c>
      <c r="D21" s="21">
        <v>-0.0442</v>
      </c>
      <c r="E21" s="21">
        <v>-0.0043</v>
      </c>
      <c r="F21" s="21">
        <v>0.0341</v>
      </c>
      <c r="G21" s="22">
        <v>0</v>
      </c>
      <c r="H21" s="21">
        <v>0.031</v>
      </c>
      <c r="I21" s="21">
        <v>-0.009</v>
      </c>
      <c r="J21" s="21">
        <v>-0.0237</v>
      </c>
      <c r="K21" s="21">
        <v>0.0748</v>
      </c>
      <c r="L21" s="21">
        <v>-0.0696</v>
      </c>
    </row>
    <row r="22" spans="1:13">
      <c r="A22" s="7" t="s">
        <v>116</v>
      </c>
      <c r="B22" s="21">
        <v>0.0168</v>
      </c>
      <c r="C22" s="21">
        <v>-0.0018</v>
      </c>
      <c r="D22" s="21">
        <v>-0.0269</v>
      </c>
      <c r="E22" s="21">
        <v>0.0076</v>
      </c>
      <c r="F22" s="21">
        <v>0.0096</v>
      </c>
      <c r="G22" s="22">
        <v>0</v>
      </c>
      <c r="H22" s="21">
        <v>0.0062</v>
      </c>
      <c r="I22" s="21">
        <v>-0.0029</v>
      </c>
      <c r="J22" s="21">
        <v>-0.0015</v>
      </c>
      <c r="K22" s="21">
        <v>0.0093</v>
      </c>
      <c r="L22" s="21">
        <v>-0.0111</v>
      </c>
    </row>
    <row r="23" spans="1:13">
      <c r="A23" s="10" t="s">
        <v>117</v>
      </c>
      <c r="B23" s="21">
        <v>0.0261</v>
      </c>
      <c r="C23" s="21">
        <v>-0.0154</v>
      </c>
      <c r="D23" s="21">
        <v>0.0134</v>
      </c>
      <c r="E23" s="21">
        <v>-0.0439</v>
      </c>
      <c r="F23" s="21">
        <v>-0.0129</v>
      </c>
      <c r="G23" s="22">
        <v>0</v>
      </c>
      <c r="H23" s="21">
        <v>0.0089</v>
      </c>
      <c r="I23" s="21">
        <v>-0.0158</v>
      </c>
      <c r="J23" s="21">
        <v>0.0043</v>
      </c>
      <c r="K23" s="21">
        <v>-0.0101</v>
      </c>
      <c r="L23" s="21">
        <v>0.0021</v>
      </c>
    </row>
    <row r="24" spans="1:13">
      <c r="A24" s="7" t="s">
        <v>118</v>
      </c>
      <c r="B24" s="21">
        <v>-0.0146</v>
      </c>
      <c r="C24" s="21">
        <v>0.0076</v>
      </c>
      <c r="D24" s="21">
        <v>0.0215</v>
      </c>
      <c r="E24" s="21">
        <v>0.0045</v>
      </c>
      <c r="F24" s="21">
        <v>-0.0141</v>
      </c>
      <c r="G24" s="22">
        <v>0</v>
      </c>
      <c r="H24" s="21">
        <v>0.0228</v>
      </c>
      <c r="I24" s="21">
        <v>0.0004</v>
      </c>
      <c r="J24" s="21">
        <v>-0.0073</v>
      </c>
      <c r="K24" s="21">
        <v>0.0195</v>
      </c>
      <c r="L24" s="21">
        <v>-0.0145</v>
      </c>
    </row>
    <row r="25" spans="1:13">
      <c r="A25" s="12" t="s">
        <v>119</v>
      </c>
      <c r="B25" s="12" t="s">
        <v>119</v>
      </c>
      <c r="C25" s="12" t="s">
        <v>119</v>
      </c>
      <c r="D25" s="12" t="s">
        <v>119</v>
      </c>
      <c r="E25" s="12" t="s">
        <v>119</v>
      </c>
      <c r="F25" s="12" t="s">
        <v>119</v>
      </c>
      <c r="G25" s="12" t="s">
        <v>119</v>
      </c>
      <c r="H25" s="12" t="s">
        <v>119</v>
      </c>
      <c r="I25" s="12" t="s">
        <v>119</v>
      </c>
      <c r="J25" s="12" t="s">
        <v>119</v>
      </c>
      <c r="K25" s="12" t="s">
        <v>119</v>
      </c>
      <c r="L25" s="12" t="s">
        <v>119</v>
      </c>
      <c r="M25" s="12" t="s">
        <v>119</v>
      </c>
    </row>
    <row r="26" spans="1:13">
      <c r="A26" s="4" t="s">
        <v>121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</row>
    <row r="27" spans="1:13">
      <c r="A27" s="6" t="s">
        <v>95</v>
      </c>
      <c r="B27" s="6" t="s">
        <v>96</v>
      </c>
      <c r="C27" s="6" t="s">
        <v>97</v>
      </c>
      <c r="D27" s="6" t="s">
        <v>98</v>
      </c>
      <c r="E27" s="6" t="s">
        <v>99</v>
      </c>
      <c r="F27" s="6" t="s">
        <v>100</v>
      </c>
      <c r="G27" s="6" t="s">
        <v>47</v>
      </c>
      <c r="H27" s="6" t="s">
        <v>101</v>
      </c>
      <c r="I27" s="6" t="s">
        <v>102</v>
      </c>
      <c r="J27" s="6" t="s">
        <v>103</v>
      </c>
      <c r="K27" s="6" t="s">
        <v>104</v>
      </c>
      <c r="L27" s="6" t="s">
        <v>105</v>
      </c>
    </row>
    <row r="28" spans="1:13">
      <c r="A28" s="7" t="s">
        <v>108</v>
      </c>
      <c r="B28" s="22">
        <v>0.9942</v>
      </c>
      <c r="C28" s="35">
        <v>2.134</v>
      </c>
      <c r="D28" s="21">
        <v>0.4433</v>
      </c>
      <c r="E28" s="21">
        <v>0.1628</v>
      </c>
      <c r="F28" s="21">
        <v>-0.0521</v>
      </c>
      <c r="G28" s="22">
        <v>0</v>
      </c>
      <c r="H28" s="21">
        <v>0.4972</v>
      </c>
      <c r="I28" s="35">
        <v>1.2651</v>
      </c>
      <c r="J28" s="21">
        <v>0.1241</v>
      </c>
      <c r="K28" s="35">
        <v>-13.2022</v>
      </c>
      <c r="L28" s="35">
        <v>-29.6634</v>
      </c>
    </row>
    <row r="29" spans="1:13">
      <c r="A29" s="10" t="s">
        <v>111</v>
      </c>
      <c r="B29" s="35">
        <v>-7.6661</v>
      </c>
      <c r="C29" s="22">
        <v>0.937</v>
      </c>
      <c r="D29" s="22">
        <v>0.606</v>
      </c>
      <c r="E29" s="21">
        <v>0.4</v>
      </c>
      <c r="F29" s="21">
        <v>0.1526</v>
      </c>
      <c r="G29" s="22">
        <v>0</v>
      </c>
      <c r="H29" s="21">
        <v>-0.0809</v>
      </c>
      <c r="I29" s="21">
        <v>0.2385</v>
      </c>
      <c r="J29" s="35">
        <v>1.2129</v>
      </c>
      <c r="K29" s="35">
        <v>3.7475</v>
      </c>
      <c r="L29" s="35">
        <v>17.0003</v>
      </c>
    </row>
    <row r="30" spans="1:13">
      <c r="A30" s="7" t="s">
        <v>112</v>
      </c>
      <c r="B30" s="35">
        <v>-4.1638</v>
      </c>
      <c r="C30" s="35">
        <v>1.0105</v>
      </c>
      <c r="D30" s="21">
        <v>0.0734</v>
      </c>
      <c r="E30" s="21">
        <v>0.2604</v>
      </c>
      <c r="F30" s="21">
        <v>0.0797</v>
      </c>
      <c r="G30" s="22">
        <v>0</v>
      </c>
      <c r="H30" s="21">
        <v>0.0458</v>
      </c>
      <c r="I30" s="21">
        <v>0.2287</v>
      </c>
      <c r="J30" s="22">
        <v>0.9108</v>
      </c>
      <c r="K30" s="35">
        <v>-5.1872</v>
      </c>
      <c r="L30" s="35">
        <v>12.0019</v>
      </c>
    </row>
    <row r="31" spans="1:13">
      <c r="A31" s="10" t="s">
        <v>113</v>
      </c>
      <c r="B31" s="21">
        <v>0.0097</v>
      </c>
      <c r="C31" s="21">
        <v>0.0088</v>
      </c>
      <c r="D31" s="21">
        <v>0.0229</v>
      </c>
      <c r="E31" s="21">
        <v>-0.0646</v>
      </c>
      <c r="F31" s="21">
        <v>-0.0297</v>
      </c>
      <c r="G31" s="22">
        <v>0</v>
      </c>
      <c r="H31" s="21">
        <v>-0.0313</v>
      </c>
      <c r="I31" s="21">
        <v>-0.0076</v>
      </c>
      <c r="J31" s="21">
        <v>-0.0593</v>
      </c>
      <c r="K31" s="21">
        <v>0.0661</v>
      </c>
      <c r="L31" s="21">
        <v>0.0235</v>
      </c>
    </row>
    <row r="32" spans="1:13">
      <c r="A32" s="7" t="s">
        <v>114</v>
      </c>
      <c r="B32" s="21">
        <v>0.0023</v>
      </c>
      <c r="C32" s="21">
        <v>-0.0199</v>
      </c>
      <c r="D32" s="21">
        <v>0.0368</v>
      </c>
      <c r="E32" s="21">
        <v>0.0036</v>
      </c>
      <c r="F32" s="21">
        <v>0.0024</v>
      </c>
      <c r="G32" s="22">
        <v>0</v>
      </c>
      <c r="H32" s="21">
        <v>-0.0416</v>
      </c>
      <c r="I32" s="21">
        <v>0.0017</v>
      </c>
      <c r="J32" s="21">
        <v>0.0982</v>
      </c>
      <c r="K32" s="21">
        <v>0.0163</v>
      </c>
      <c r="L32" s="21">
        <v>-0.1508</v>
      </c>
    </row>
    <row r="33" spans="1:13">
      <c r="A33" s="10" t="s">
        <v>115</v>
      </c>
      <c r="B33" s="21">
        <v>-0.0667</v>
      </c>
      <c r="C33" s="21">
        <v>0.0486</v>
      </c>
      <c r="D33" s="21">
        <v>0.0189</v>
      </c>
      <c r="E33" s="21">
        <v>-0.0229</v>
      </c>
      <c r="F33" s="21">
        <v>0.0255</v>
      </c>
      <c r="G33" s="22">
        <v>0</v>
      </c>
      <c r="H33" s="21">
        <v>-0.0225</v>
      </c>
      <c r="I33" s="21">
        <v>0.0038</v>
      </c>
      <c r="J33" s="21">
        <v>-0.0552</v>
      </c>
      <c r="K33" s="21">
        <v>0.0944</v>
      </c>
      <c r="L33" s="21">
        <v>-0.0277</v>
      </c>
    </row>
    <row r="34" spans="1:13">
      <c r="A34" s="7" t="s">
        <v>116</v>
      </c>
      <c r="B34" s="21">
        <v>-0.0066</v>
      </c>
      <c r="C34" s="21">
        <v>0.0186</v>
      </c>
      <c r="D34" s="21">
        <v>-0.0381</v>
      </c>
      <c r="E34" s="21">
        <v>0.022</v>
      </c>
      <c r="F34" s="21">
        <v>0.0067</v>
      </c>
      <c r="G34" s="22">
        <v>0</v>
      </c>
      <c r="H34" s="21">
        <v>-0.0217</v>
      </c>
      <c r="I34" s="21">
        <v>0.0267</v>
      </c>
      <c r="J34" s="21">
        <v>-0.032</v>
      </c>
      <c r="K34" s="21">
        <v>-0.0077</v>
      </c>
      <c r="L34" s="21">
        <v>0.0347</v>
      </c>
    </row>
    <row r="35" spans="1:13">
      <c r="A35" s="10" t="s">
        <v>117</v>
      </c>
      <c r="B35" s="21">
        <v>-0.0155</v>
      </c>
      <c r="C35" s="21">
        <v>-0.0056</v>
      </c>
      <c r="D35" s="21">
        <v>0.0101</v>
      </c>
      <c r="E35" s="21">
        <v>-0.001</v>
      </c>
      <c r="F35" s="21">
        <v>0.0073</v>
      </c>
      <c r="G35" s="22">
        <v>0</v>
      </c>
      <c r="H35" s="21">
        <v>-0.01</v>
      </c>
      <c r="I35" s="21">
        <v>-0.0275</v>
      </c>
      <c r="J35" s="21">
        <v>0.0233</v>
      </c>
      <c r="K35" s="21">
        <v>-0.0673</v>
      </c>
      <c r="L35" s="21">
        <v>0.0683</v>
      </c>
    </row>
    <row r="36" spans="1:13">
      <c r="A36" s="7" t="s">
        <v>118</v>
      </c>
      <c r="B36" s="21">
        <v>0.0077</v>
      </c>
      <c r="C36" s="21">
        <v>-0.011</v>
      </c>
      <c r="D36" s="21">
        <v>-0.0059</v>
      </c>
      <c r="E36" s="21">
        <v>0.0081</v>
      </c>
      <c r="F36" s="21">
        <v>-0.0002</v>
      </c>
      <c r="G36" s="22">
        <v>0</v>
      </c>
      <c r="H36" s="21">
        <v>0.0058</v>
      </c>
      <c r="I36" s="21">
        <v>-0.0162</v>
      </c>
      <c r="J36" s="21">
        <v>-0.005</v>
      </c>
      <c r="K36" s="21">
        <v>0.026</v>
      </c>
      <c r="L36" s="21">
        <v>-0.0171</v>
      </c>
    </row>
    <row r="37" spans="1:13">
      <c r="A37" s="12" t="s">
        <v>119</v>
      </c>
      <c r="B37" s="12" t="s">
        <v>119</v>
      </c>
      <c r="C37" s="12" t="s">
        <v>119</v>
      </c>
      <c r="D37" s="12" t="s">
        <v>119</v>
      </c>
      <c r="E37" s="12" t="s">
        <v>119</v>
      </c>
      <c r="F37" s="12" t="s">
        <v>119</v>
      </c>
      <c r="G37" s="12" t="s">
        <v>119</v>
      </c>
      <c r="H37" s="12" t="s">
        <v>119</v>
      </c>
      <c r="I37" s="12" t="s">
        <v>119</v>
      </c>
      <c r="J37" s="12" t="s">
        <v>119</v>
      </c>
      <c r="K37" s="12" t="s">
        <v>119</v>
      </c>
      <c r="L37" s="12" t="s">
        <v>119</v>
      </c>
      <c r="M37" s="12" t="s">
        <v>119</v>
      </c>
    </row>
    <row r="38" spans="1:13">
      <c r="A38" s="4" t="s">
        <v>122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</row>
    <row r="39" spans="1:13">
      <c r="A39" s="6" t="s">
        <v>95</v>
      </c>
      <c r="B39" s="6" t="s">
        <v>96</v>
      </c>
      <c r="C39" s="6" t="s">
        <v>97</v>
      </c>
      <c r="D39" s="6" t="s">
        <v>98</v>
      </c>
      <c r="E39" s="6" t="s">
        <v>99</v>
      </c>
      <c r="F39" s="6" t="s">
        <v>100</v>
      </c>
      <c r="G39" s="6" t="s">
        <v>47</v>
      </c>
      <c r="H39" s="6" t="s">
        <v>101</v>
      </c>
      <c r="I39" s="6" t="s">
        <v>102</v>
      </c>
      <c r="J39" s="6" t="s">
        <v>103</v>
      </c>
      <c r="K39" s="6" t="s">
        <v>104</v>
      </c>
      <c r="L39" s="6" t="s">
        <v>105</v>
      </c>
    </row>
    <row r="40" spans="1:13">
      <c r="A40" s="7" t="s">
        <v>108</v>
      </c>
      <c r="B40" s="22">
        <v>-0.626</v>
      </c>
      <c r="C40" s="21">
        <v>0.1985</v>
      </c>
      <c r="D40" s="21">
        <v>0.383</v>
      </c>
      <c r="E40" s="21">
        <v>0.3661</v>
      </c>
      <c r="F40" s="21">
        <v>0.0552</v>
      </c>
      <c r="G40" s="22">
        <v>0</v>
      </c>
      <c r="H40" s="21">
        <v>0.3573</v>
      </c>
      <c r="I40" s="35">
        <v>1.0972</v>
      </c>
      <c r="J40" s="35">
        <v>1.2589</v>
      </c>
      <c r="K40" s="35">
        <v>-17.9659</v>
      </c>
      <c r="L40" s="35">
        <v>26.8629</v>
      </c>
    </row>
    <row r="41" spans="1:13">
      <c r="A41" s="10" t="s">
        <v>111</v>
      </c>
      <c r="B41" s="35">
        <v>-1.3371</v>
      </c>
      <c r="C41" s="21">
        <v>0.3363</v>
      </c>
      <c r="D41" s="21">
        <v>0.1904</v>
      </c>
      <c r="E41" s="21">
        <v>-0.0461</v>
      </c>
      <c r="F41" s="21">
        <v>-0.0282</v>
      </c>
      <c r="G41" s="22">
        <v>0</v>
      </c>
      <c r="H41" s="21">
        <v>-0.0041</v>
      </c>
      <c r="I41" s="21">
        <v>0.195</v>
      </c>
      <c r="J41" s="21">
        <v>-0.4163</v>
      </c>
      <c r="K41" s="35">
        <v>-3.5566</v>
      </c>
      <c r="L41" s="35">
        <v>15.5268</v>
      </c>
    </row>
    <row r="42" spans="1:13">
      <c r="A42" s="7" t="s">
        <v>112</v>
      </c>
      <c r="B42" s="35">
        <v>1.2149</v>
      </c>
      <c r="C42" s="21">
        <v>0.3953</v>
      </c>
      <c r="D42" s="21">
        <v>0.1107</v>
      </c>
      <c r="E42" s="21">
        <v>0.1076</v>
      </c>
      <c r="F42" s="21">
        <v>-0.1802</v>
      </c>
      <c r="G42" s="22">
        <v>0</v>
      </c>
      <c r="H42" s="21">
        <v>0.2287</v>
      </c>
      <c r="I42" s="21">
        <v>0.364</v>
      </c>
      <c r="J42" s="22">
        <v>0.843</v>
      </c>
      <c r="K42" s="35">
        <v>-2.7138</v>
      </c>
      <c r="L42" s="35">
        <v>-18.932</v>
      </c>
    </row>
    <row r="43" spans="1:13">
      <c r="A43" s="10" t="s">
        <v>113</v>
      </c>
      <c r="B43" s="21">
        <v>-0.0217</v>
      </c>
      <c r="C43" s="21">
        <v>0.0218</v>
      </c>
      <c r="D43" s="21">
        <v>-0.0107</v>
      </c>
      <c r="E43" s="21">
        <v>0.0143</v>
      </c>
      <c r="F43" s="21">
        <v>-0.0247</v>
      </c>
      <c r="G43" s="22">
        <v>0</v>
      </c>
      <c r="H43" s="21">
        <v>0.0141</v>
      </c>
      <c r="I43" s="21">
        <v>-0.0036</v>
      </c>
      <c r="J43" s="21">
        <v>-0.0498</v>
      </c>
      <c r="K43" s="21">
        <v>0.0076</v>
      </c>
      <c r="L43" s="21">
        <v>0.0797</v>
      </c>
    </row>
    <row r="44" spans="1:13">
      <c r="A44" s="7" t="s">
        <v>114</v>
      </c>
      <c r="B44" s="21">
        <v>0.0159</v>
      </c>
      <c r="C44" s="21">
        <v>-0.0003</v>
      </c>
      <c r="D44" s="21">
        <v>0.0138</v>
      </c>
      <c r="E44" s="21">
        <v>0.0029</v>
      </c>
      <c r="F44" s="21">
        <v>-0.0198</v>
      </c>
      <c r="G44" s="22">
        <v>0</v>
      </c>
      <c r="H44" s="21">
        <v>0.0195</v>
      </c>
      <c r="I44" s="21">
        <v>0.0139</v>
      </c>
      <c r="J44" s="21">
        <v>0.0292</v>
      </c>
      <c r="K44" s="21">
        <v>0.027</v>
      </c>
      <c r="L44" s="21">
        <v>-0.1105</v>
      </c>
    </row>
    <row r="45" spans="1:13">
      <c r="A45" s="10" t="s">
        <v>115</v>
      </c>
      <c r="B45" s="21">
        <v>-0.0248</v>
      </c>
      <c r="C45" s="21">
        <v>0.0111</v>
      </c>
      <c r="D45" s="21">
        <v>0.0028</v>
      </c>
      <c r="E45" s="21">
        <v>0.0233</v>
      </c>
      <c r="F45" s="21">
        <v>-0.0025</v>
      </c>
      <c r="G45" s="22">
        <v>0</v>
      </c>
      <c r="H45" s="21">
        <v>-0.0084</v>
      </c>
      <c r="I45" s="21">
        <v>0.0255</v>
      </c>
      <c r="J45" s="21">
        <v>0.0007</v>
      </c>
      <c r="K45" s="21">
        <v>-0.0555</v>
      </c>
      <c r="L45" s="21">
        <v>0.0646</v>
      </c>
    </row>
    <row r="46" spans="1:13">
      <c r="A46" s="7" t="s">
        <v>116</v>
      </c>
      <c r="B46" s="21">
        <v>0.0044</v>
      </c>
      <c r="C46" s="21">
        <v>-0.0065</v>
      </c>
      <c r="D46" s="21">
        <v>0.0135</v>
      </c>
      <c r="E46" s="21">
        <v>-0.0015</v>
      </c>
      <c r="F46" s="21">
        <v>0.0001</v>
      </c>
      <c r="G46" s="22">
        <v>0</v>
      </c>
      <c r="H46" s="21">
        <v>0.0172</v>
      </c>
      <c r="I46" s="21">
        <v>0.0092</v>
      </c>
      <c r="J46" s="21">
        <v>0.0096</v>
      </c>
      <c r="K46" s="21">
        <v>-0.0171</v>
      </c>
      <c r="L46" s="21">
        <v>-0.0038</v>
      </c>
    </row>
    <row r="47" spans="1:13">
      <c r="A47" s="10" t="s">
        <v>117</v>
      </c>
      <c r="B47" s="21">
        <v>-0.0233</v>
      </c>
      <c r="C47" s="21">
        <v>0.0363</v>
      </c>
      <c r="D47" s="21">
        <v>-0.0013</v>
      </c>
      <c r="E47" s="21">
        <v>0.0054</v>
      </c>
      <c r="F47" s="21">
        <v>-0.0342</v>
      </c>
      <c r="G47" s="22">
        <v>0</v>
      </c>
      <c r="H47" s="21">
        <v>0.0001</v>
      </c>
      <c r="I47" s="21">
        <v>-0.0088</v>
      </c>
      <c r="J47" s="21">
        <v>0.0191</v>
      </c>
      <c r="K47" s="21">
        <v>-0.0134</v>
      </c>
      <c r="L47" s="21">
        <v>0.0014</v>
      </c>
    </row>
    <row r="48" spans="1:13">
      <c r="A48" s="7" t="s">
        <v>118</v>
      </c>
      <c r="B48" s="21">
        <v>0.0151</v>
      </c>
      <c r="C48" s="21">
        <v>0.0015</v>
      </c>
      <c r="D48" s="21">
        <v>-0.0302</v>
      </c>
      <c r="E48" s="21">
        <v>-0.0171</v>
      </c>
      <c r="F48" s="21">
        <v>0.0046</v>
      </c>
      <c r="G48" s="22">
        <v>0</v>
      </c>
      <c r="H48" s="21">
        <v>-0.0156</v>
      </c>
      <c r="I48" s="21">
        <v>0.0158</v>
      </c>
      <c r="J48" s="21">
        <v>-0.0356</v>
      </c>
      <c r="K48" s="21">
        <v>-0.0193</v>
      </c>
      <c r="L48" s="21">
        <v>0.0372</v>
      </c>
    </row>
    <row r="49" spans="1:13">
      <c r="A49" s="12" t="s">
        <v>119</v>
      </c>
      <c r="B49" s="12" t="s">
        <v>119</v>
      </c>
      <c r="C49" s="12" t="s">
        <v>119</v>
      </c>
      <c r="D49" s="12" t="s">
        <v>119</v>
      </c>
      <c r="E49" s="12" t="s">
        <v>119</v>
      </c>
      <c r="F49" s="12" t="s">
        <v>119</v>
      </c>
      <c r="G49" s="12" t="s">
        <v>119</v>
      </c>
      <c r="H49" s="12" t="s">
        <v>119</v>
      </c>
      <c r="I49" s="12" t="s">
        <v>119</v>
      </c>
      <c r="J49" s="12" t="s">
        <v>119</v>
      </c>
      <c r="K49" s="12" t="s">
        <v>119</v>
      </c>
      <c r="L49" s="12" t="s">
        <v>119</v>
      </c>
      <c r="M49" s="12" t="s">
        <v>119</v>
      </c>
    </row>
    <row r="50" spans="1:13">
      <c r="A50" s="4" t="s">
        <v>123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3"/>
    </row>
    <row r="51" spans="1:13">
      <c r="A51" s="6" t="s">
        <v>95</v>
      </c>
      <c r="B51" s="6" t="s">
        <v>96</v>
      </c>
      <c r="C51" s="6" t="s">
        <v>97</v>
      </c>
      <c r="D51" s="6" t="s">
        <v>98</v>
      </c>
      <c r="E51" s="6" t="s">
        <v>99</v>
      </c>
      <c r="F51" s="6" t="s">
        <v>100</v>
      </c>
      <c r="G51" s="6" t="s">
        <v>47</v>
      </c>
      <c r="H51" s="6" t="s">
        <v>101</v>
      </c>
      <c r="I51" s="6" t="s">
        <v>102</v>
      </c>
      <c r="J51" s="6" t="s">
        <v>103</v>
      </c>
      <c r="K51" s="6" t="s">
        <v>104</v>
      </c>
      <c r="L51" s="6" t="s">
        <v>105</v>
      </c>
    </row>
    <row r="52" spans="1:13">
      <c r="A52" s="7" t="s">
        <v>108</v>
      </c>
      <c r="B52" s="35">
        <v>33.5244</v>
      </c>
      <c r="C52" s="22">
        <v>-0.5433</v>
      </c>
      <c r="D52" s="21">
        <v>0.4952</v>
      </c>
      <c r="E52" s="21">
        <v>0.0514</v>
      </c>
      <c r="F52" s="21">
        <v>0.1433</v>
      </c>
      <c r="G52" s="22">
        <v>0</v>
      </c>
      <c r="H52" s="21">
        <v>0.155</v>
      </c>
      <c r="I52" s="22">
        <v>0.5141</v>
      </c>
      <c r="J52" s="35">
        <v>4.1944</v>
      </c>
      <c r="K52" s="35">
        <v>-15.0977</v>
      </c>
      <c r="L52" s="35">
        <v>24.699</v>
      </c>
    </row>
    <row r="53" spans="1:13">
      <c r="A53" s="10" t="s">
        <v>111</v>
      </c>
      <c r="B53" s="35">
        <v>1.6319</v>
      </c>
      <c r="C53" s="21">
        <v>0.4508</v>
      </c>
      <c r="D53" s="21">
        <v>0.1581</v>
      </c>
      <c r="E53" s="21">
        <v>-0.0216</v>
      </c>
      <c r="F53" s="21">
        <v>-0.0007</v>
      </c>
      <c r="G53" s="22">
        <v>0</v>
      </c>
      <c r="H53" s="21">
        <v>0.1115</v>
      </c>
      <c r="I53" s="22">
        <v>0.5722</v>
      </c>
      <c r="J53" s="35">
        <v>2.7911</v>
      </c>
      <c r="K53" s="35">
        <v>-12.7801</v>
      </c>
      <c r="L53" s="35">
        <v>-10.9602</v>
      </c>
    </row>
    <row r="54" spans="1:13">
      <c r="A54" s="7" t="s">
        <v>112</v>
      </c>
      <c r="B54" s="22">
        <v>-0.6885</v>
      </c>
      <c r="C54" s="22">
        <v>0.861</v>
      </c>
      <c r="D54" s="21">
        <v>0.1727</v>
      </c>
      <c r="E54" s="21">
        <v>0.0637</v>
      </c>
      <c r="F54" s="21">
        <v>0.0554</v>
      </c>
      <c r="G54" s="22">
        <v>0</v>
      </c>
      <c r="H54" s="21">
        <v>0.1797</v>
      </c>
      <c r="I54" s="21">
        <v>0.4899</v>
      </c>
      <c r="J54" s="35">
        <v>2.5436</v>
      </c>
      <c r="K54" s="35">
        <v>-2.1195</v>
      </c>
      <c r="L54" s="35">
        <v>-22.195</v>
      </c>
    </row>
    <row r="55" spans="1:13">
      <c r="A55" s="10" t="s">
        <v>113</v>
      </c>
      <c r="B55" s="21">
        <v>0.0017</v>
      </c>
      <c r="C55" s="21">
        <v>-0.0142</v>
      </c>
      <c r="D55" s="21">
        <v>0.0262</v>
      </c>
      <c r="E55" s="21">
        <v>-0.0096</v>
      </c>
      <c r="F55" s="21">
        <v>-0.0132</v>
      </c>
      <c r="G55" s="22">
        <v>0</v>
      </c>
      <c r="H55" s="21">
        <v>0.0161</v>
      </c>
      <c r="I55" s="21">
        <v>-0.0409</v>
      </c>
      <c r="J55" s="21">
        <v>0.0286</v>
      </c>
      <c r="K55" s="21">
        <v>0.074</v>
      </c>
      <c r="L55" s="21">
        <v>-0.1148</v>
      </c>
    </row>
    <row r="56" spans="1:13">
      <c r="A56" s="7" t="s">
        <v>114</v>
      </c>
      <c r="B56" s="21">
        <v>-0.0443</v>
      </c>
      <c r="C56" s="21">
        <v>-0.009</v>
      </c>
      <c r="D56" s="21">
        <v>0.0569</v>
      </c>
      <c r="E56" s="21">
        <v>0.0041</v>
      </c>
      <c r="F56" s="21">
        <v>0.0367</v>
      </c>
      <c r="G56" s="22">
        <v>0</v>
      </c>
      <c r="H56" s="21">
        <v>-0.0022</v>
      </c>
      <c r="I56" s="21">
        <v>0.0254</v>
      </c>
      <c r="J56" s="21">
        <v>0.0022</v>
      </c>
      <c r="K56" s="21">
        <v>0.0345</v>
      </c>
      <c r="L56" s="21">
        <v>-0.046</v>
      </c>
    </row>
    <row r="57" spans="1:13">
      <c r="A57" s="10" t="s">
        <v>115</v>
      </c>
      <c r="B57" s="21">
        <v>-0.0277</v>
      </c>
      <c r="C57" s="21">
        <v>0.0417</v>
      </c>
      <c r="D57" s="21">
        <v>-0.0097</v>
      </c>
      <c r="E57" s="21">
        <v>0.015</v>
      </c>
      <c r="F57" s="21">
        <v>0.0172</v>
      </c>
      <c r="G57" s="22">
        <v>0</v>
      </c>
      <c r="H57" s="21">
        <v>0.0236</v>
      </c>
      <c r="I57" s="21">
        <v>0.0161</v>
      </c>
      <c r="J57" s="21">
        <v>0.055</v>
      </c>
      <c r="K57" s="21">
        <v>-0.0879</v>
      </c>
      <c r="L57" s="21">
        <v>0.0334</v>
      </c>
    </row>
    <row r="58" spans="1:13">
      <c r="A58" s="7" t="s">
        <v>116</v>
      </c>
      <c r="B58" s="21">
        <v>0.0018</v>
      </c>
      <c r="C58" s="21">
        <v>-0.0104</v>
      </c>
      <c r="D58" s="21">
        <v>0.0016</v>
      </c>
      <c r="E58" s="21">
        <v>0.0083</v>
      </c>
      <c r="F58" s="21">
        <v>-0.0027</v>
      </c>
      <c r="G58" s="22">
        <v>0</v>
      </c>
      <c r="H58" s="21">
        <v>0.0082</v>
      </c>
      <c r="I58" s="21">
        <v>-0.0005</v>
      </c>
      <c r="J58" s="21">
        <v>-0.0272</v>
      </c>
      <c r="K58" s="21">
        <v>0.0244</v>
      </c>
      <c r="L58" s="21">
        <v>0.0013</v>
      </c>
    </row>
    <row r="59" spans="1:13">
      <c r="A59" s="10" t="s">
        <v>117</v>
      </c>
      <c r="B59" s="21">
        <v>-0.0157</v>
      </c>
      <c r="C59" s="21">
        <v>-0.009</v>
      </c>
      <c r="D59" s="21">
        <v>0.0308</v>
      </c>
      <c r="E59" s="21">
        <v>0.0172</v>
      </c>
      <c r="F59" s="21">
        <v>0.0218</v>
      </c>
      <c r="G59" s="22">
        <v>0</v>
      </c>
      <c r="H59" s="21">
        <v>0.0014</v>
      </c>
      <c r="I59" s="21">
        <v>0.0149</v>
      </c>
      <c r="J59" s="21">
        <v>0.0167</v>
      </c>
      <c r="K59" s="21">
        <v>0.0268</v>
      </c>
      <c r="L59" s="21">
        <v>-0.0403</v>
      </c>
    </row>
    <row r="60" spans="1:13">
      <c r="A60" s="7" t="s">
        <v>118</v>
      </c>
      <c r="B60" s="21">
        <v>-0.007</v>
      </c>
      <c r="C60" s="21">
        <v>0.0134</v>
      </c>
      <c r="D60" s="21">
        <v>0.0027</v>
      </c>
      <c r="E60" s="21">
        <v>0.0149</v>
      </c>
      <c r="F60" s="21">
        <v>-0.0252</v>
      </c>
      <c r="G60" s="22">
        <v>0</v>
      </c>
      <c r="H60" s="21">
        <v>0.0113</v>
      </c>
      <c r="I60" s="21">
        <v>-0.011</v>
      </c>
      <c r="J60" s="21">
        <v>0.0135</v>
      </c>
      <c r="K60" s="21">
        <v>0.0347</v>
      </c>
      <c r="L60" s="21">
        <v>-0.0413</v>
      </c>
    </row>
    <row r="61" spans="1:13">
      <c r="A61" s="12" t="s">
        <v>119</v>
      </c>
      <c r="B61" s="12" t="s">
        <v>119</v>
      </c>
      <c r="C61" s="12" t="s">
        <v>119</v>
      </c>
      <c r="D61" s="12" t="s">
        <v>119</v>
      </c>
      <c r="E61" s="12" t="s">
        <v>119</v>
      </c>
      <c r="F61" s="12" t="s">
        <v>119</v>
      </c>
      <c r="G61" s="12" t="s">
        <v>119</v>
      </c>
      <c r="H61" s="12" t="s">
        <v>119</v>
      </c>
      <c r="I61" s="12" t="s">
        <v>119</v>
      </c>
      <c r="J61" s="12" t="s">
        <v>119</v>
      </c>
      <c r="K61" s="12" t="s">
        <v>119</v>
      </c>
      <c r="L61" s="12" t="s">
        <v>119</v>
      </c>
      <c r="M61" s="12" t="s">
        <v>119</v>
      </c>
    </row>
  </sheetData>
  <mergeCells count="7">
    <mergeCell ref="A1:L1"/>
    <mergeCell ref="A2:L2"/>
    <mergeCell ref="N2:O2"/>
    <mergeCell ref="A14:L14"/>
    <mergeCell ref="A26:L26"/>
    <mergeCell ref="A38:L38"/>
    <mergeCell ref="A50:L50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72"/>
  <sheetViews>
    <sheetView topLeftCell="Z1" workbookViewId="0">
      <pane ySplit="1" topLeftCell="A2" activePane="bottomLeft" state="frozen"/>
      <selection/>
      <selection pane="bottomLeft" activeCell="Z13" sqref="Z13"/>
    </sheetView>
  </sheetViews>
  <sheetFormatPr defaultColWidth="9" defaultRowHeight="16.8"/>
  <cols>
    <col min="1" max="12" width="9" customWidth="1"/>
    <col min="13" max="14" width="3" customWidth="1"/>
    <col min="15" max="26" width="9" customWidth="1"/>
    <col min="27" max="28" width="3" customWidth="1"/>
    <col min="29" max="29" width="9" customWidth="1"/>
    <col min="30" max="30" width="14.578125" customWidth="1"/>
    <col min="31" max="39" width="9" customWidth="1"/>
    <col min="40" max="40" width="14.1953125" customWidth="1"/>
    <col min="42" max="42" width="8" customWidth="1"/>
    <col min="43" max="43" width="38" customWidth="1"/>
  </cols>
  <sheetData>
    <row r="1" ht="36" customHeight="1" spans="1:43">
      <c r="A1" s="1" t="s">
        <v>215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</row>
    <row r="2" spans="1:43">
      <c r="A2" s="4" t="s">
        <v>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3"/>
      <c r="AP2" s="6" t="s">
        <v>216</v>
      </c>
      <c r="AQ2" s="6" t="s">
        <v>217</v>
      </c>
    </row>
    <row r="3" ht="20" customHeight="1" spans="1:43">
      <c r="A3" s="6" t="s">
        <v>218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O3" s="5" t="s">
        <v>219</v>
      </c>
      <c r="P3" s="2"/>
      <c r="Q3" s="2"/>
      <c r="R3" s="2"/>
      <c r="S3" s="2"/>
      <c r="T3" s="2"/>
      <c r="U3" s="2"/>
      <c r="V3" s="2"/>
      <c r="W3" s="2"/>
      <c r="X3" s="2"/>
      <c r="Y3" s="2"/>
      <c r="Z3" s="3"/>
      <c r="AC3" s="4" t="s">
        <v>220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3"/>
      <c r="AP3" s="15" t="s">
        <v>135</v>
      </c>
      <c r="AQ3" s="16" t="s">
        <v>221</v>
      </c>
    </row>
    <row r="4" ht="20" customHeight="1" spans="1:43">
      <c r="A4" s="6" t="s">
        <v>95</v>
      </c>
      <c r="B4" s="6" t="s">
        <v>96</v>
      </c>
      <c r="C4" s="6" t="s">
        <v>97</v>
      </c>
      <c r="D4" s="6" t="s">
        <v>98</v>
      </c>
      <c r="E4" s="6" t="s">
        <v>99</v>
      </c>
      <c r="F4" s="6" t="s">
        <v>100</v>
      </c>
      <c r="G4" s="6" t="s">
        <v>47</v>
      </c>
      <c r="H4" s="6" t="s">
        <v>101</v>
      </c>
      <c r="I4" s="6" t="s">
        <v>102</v>
      </c>
      <c r="J4" s="6" t="s">
        <v>103</v>
      </c>
      <c r="K4" s="6" t="s">
        <v>104</v>
      </c>
      <c r="L4" s="6" t="s">
        <v>105</v>
      </c>
      <c r="O4" s="6" t="s">
        <v>95</v>
      </c>
      <c r="P4" s="6" t="s">
        <v>96</v>
      </c>
      <c r="Q4" s="6" t="s">
        <v>97</v>
      </c>
      <c r="R4" s="6" t="s">
        <v>98</v>
      </c>
      <c r="S4" s="6" t="s">
        <v>99</v>
      </c>
      <c r="T4" s="6" t="s">
        <v>100</v>
      </c>
      <c r="U4" s="6" t="s">
        <v>47</v>
      </c>
      <c r="V4" s="6" t="s">
        <v>101</v>
      </c>
      <c r="W4" s="6" t="s">
        <v>102</v>
      </c>
      <c r="X4" s="6" t="s">
        <v>103</v>
      </c>
      <c r="Y4" s="6" t="s">
        <v>104</v>
      </c>
      <c r="Z4" s="6" t="s">
        <v>105</v>
      </c>
      <c r="AC4" s="6" t="s">
        <v>95</v>
      </c>
      <c r="AD4" s="6" t="s">
        <v>96</v>
      </c>
      <c r="AE4" s="6" t="s">
        <v>97</v>
      </c>
      <c r="AF4" s="6" t="s">
        <v>98</v>
      </c>
      <c r="AG4" s="6" t="s">
        <v>99</v>
      </c>
      <c r="AH4" s="6" t="s">
        <v>100</v>
      </c>
      <c r="AI4" s="6" t="s">
        <v>47</v>
      </c>
      <c r="AJ4" s="6" t="s">
        <v>101</v>
      </c>
      <c r="AK4" s="6" t="s">
        <v>102</v>
      </c>
      <c r="AL4" s="6" t="s">
        <v>103</v>
      </c>
      <c r="AM4" s="6" t="s">
        <v>104</v>
      </c>
      <c r="AN4" s="6" t="s">
        <v>105</v>
      </c>
      <c r="AP4" s="17" t="s">
        <v>106</v>
      </c>
      <c r="AQ4" s="18" t="s">
        <v>222</v>
      </c>
    </row>
    <row r="5" ht="20" customHeight="1" spans="1:43">
      <c r="A5" s="7" t="s">
        <v>108</v>
      </c>
      <c r="B5" s="19">
        <v>2.4e-6</v>
      </c>
      <c r="C5" s="19">
        <v>1.66e-5</v>
      </c>
      <c r="D5" s="19">
        <v>6.27e-5</v>
      </c>
      <c r="E5" s="19">
        <v>0.000229</v>
      </c>
      <c r="F5" s="19">
        <v>0.0007911</v>
      </c>
      <c r="G5" s="20">
        <v>0.0047868</v>
      </c>
      <c r="H5" s="19">
        <v>0.0006287</v>
      </c>
      <c r="I5" s="19">
        <v>0.0001054</v>
      </c>
      <c r="J5" s="19">
        <v>1.1e-6</v>
      </c>
      <c r="K5" s="19">
        <v>7e-7</v>
      </c>
      <c r="L5" s="19">
        <v>1e-7</v>
      </c>
      <c r="O5" s="7" t="s">
        <v>108</v>
      </c>
      <c r="P5" s="21">
        <v>-0.0071</v>
      </c>
      <c r="Q5" s="21">
        <v>0.0151</v>
      </c>
      <c r="R5" s="21">
        <v>0.0103</v>
      </c>
      <c r="S5" s="21">
        <v>-0.0017</v>
      </c>
      <c r="T5" s="21">
        <v>0.0158</v>
      </c>
      <c r="U5" s="22">
        <v>0</v>
      </c>
      <c r="V5" s="21">
        <v>0.015</v>
      </c>
      <c r="W5" s="21">
        <v>0.0344</v>
      </c>
      <c r="X5" s="21">
        <v>0.0101</v>
      </c>
      <c r="Y5" s="21">
        <v>-0.0065</v>
      </c>
      <c r="Z5" s="21">
        <v>-0.001</v>
      </c>
      <c r="AC5" s="7" t="s">
        <v>108</v>
      </c>
      <c r="AD5" s="23" t="s">
        <v>223</v>
      </c>
      <c r="AE5" s="23" t="s">
        <v>224</v>
      </c>
      <c r="AF5" s="24" t="s">
        <v>225</v>
      </c>
      <c r="AG5" s="25" t="s">
        <v>226</v>
      </c>
      <c r="AH5" s="25" t="s">
        <v>227</v>
      </c>
      <c r="AI5" s="26" t="s">
        <v>228</v>
      </c>
      <c r="AJ5" s="25" t="s">
        <v>229</v>
      </c>
      <c r="AK5" s="24" t="s">
        <v>230</v>
      </c>
      <c r="AL5" s="23" t="s">
        <v>231</v>
      </c>
      <c r="AM5" s="23" t="s">
        <v>232</v>
      </c>
      <c r="AN5" s="23" t="s">
        <v>233</v>
      </c>
      <c r="AP5" s="27" t="s">
        <v>168</v>
      </c>
      <c r="AQ5" s="18" t="s">
        <v>234</v>
      </c>
    </row>
    <row r="6" ht="40" customHeight="1" spans="1:43">
      <c r="A6" s="10" t="s">
        <v>111</v>
      </c>
      <c r="B6" s="28">
        <v>3.6e-6</v>
      </c>
      <c r="C6" s="28">
        <v>4.62e-5</v>
      </c>
      <c r="D6" s="28">
        <v>0.000141</v>
      </c>
      <c r="E6" s="28">
        <v>0.0004373</v>
      </c>
      <c r="F6" s="28">
        <v>0.0012298</v>
      </c>
      <c r="G6" s="20">
        <v>0.0059821</v>
      </c>
      <c r="H6" s="28">
        <v>0.0010763</v>
      </c>
      <c r="I6" s="28">
        <v>0.0002807</v>
      </c>
      <c r="J6" s="28">
        <v>7e-6</v>
      </c>
      <c r="K6" s="28">
        <v>3.2e-6</v>
      </c>
      <c r="L6" s="28">
        <v>1e-6</v>
      </c>
      <c r="O6" s="10" t="s">
        <v>111</v>
      </c>
      <c r="P6" s="21">
        <v>0.014</v>
      </c>
      <c r="Q6" s="21">
        <v>0.0094</v>
      </c>
      <c r="R6" s="21">
        <v>0.0518</v>
      </c>
      <c r="S6" s="21">
        <v>0.0268</v>
      </c>
      <c r="T6" s="21">
        <v>-0.0286</v>
      </c>
      <c r="U6" s="22">
        <v>0</v>
      </c>
      <c r="V6" s="21">
        <v>0.0906</v>
      </c>
      <c r="W6" s="22">
        <v>0.1509</v>
      </c>
      <c r="X6" s="21">
        <v>0.0574</v>
      </c>
      <c r="Y6" s="21">
        <v>-0.0272</v>
      </c>
      <c r="Z6" s="21">
        <v>-0.0098</v>
      </c>
      <c r="AC6" s="10" t="s">
        <v>111</v>
      </c>
      <c r="AD6" s="23" t="s">
        <v>235</v>
      </c>
      <c r="AE6" s="23" t="s">
        <v>236</v>
      </c>
      <c r="AF6" s="24" t="s">
        <v>237</v>
      </c>
      <c r="AG6" s="26" t="s">
        <v>238</v>
      </c>
      <c r="AH6" s="25" t="s">
        <v>239</v>
      </c>
      <c r="AI6" s="26" t="s">
        <v>228</v>
      </c>
      <c r="AJ6" s="26" t="s">
        <v>240</v>
      </c>
      <c r="AK6" s="24" t="s">
        <v>241</v>
      </c>
      <c r="AL6" s="23" t="s">
        <v>242</v>
      </c>
      <c r="AM6" s="23" t="s">
        <v>243</v>
      </c>
      <c r="AN6" s="23" t="s">
        <v>244</v>
      </c>
      <c r="AP6" s="29" t="s">
        <v>245</v>
      </c>
      <c r="AQ6" s="18" t="s">
        <v>246</v>
      </c>
    </row>
    <row r="7" ht="20" customHeight="1" spans="1:43">
      <c r="A7" s="7" t="s">
        <v>112</v>
      </c>
      <c r="B7" s="19">
        <v>8.4e-6</v>
      </c>
      <c r="C7" s="19">
        <v>7.38e-5</v>
      </c>
      <c r="D7" s="19">
        <v>0.0002234</v>
      </c>
      <c r="E7" s="19">
        <v>0.0006179</v>
      </c>
      <c r="F7" s="19">
        <v>0.0015416</v>
      </c>
      <c r="G7" s="20">
        <v>0.0067828</v>
      </c>
      <c r="H7" s="19">
        <v>0.001409</v>
      </c>
      <c r="I7" s="19">
        <v>0.00046</v>
      </c>
      <c r="J7" s="19">
        <v>2.53e-5</v>
      </c>
      <c r="K7" s="19">
        <v>4.7e-6</v>
      </c>
      <c r="L7" s="19">
        <v>5e-7</v>
      </c>
      <c r="O7" s="7" t="s">
        <v>112</v>
      </c>
      <c r="P7" s="21">
        <v>0.0029</v>
      </c>
      <c r="Q7" s="21">
        <v>0.0391</v>
      </c>
      <c r="R7" s="21">
        <v>0.0178</v>
      </c>
      <c r="S7" s="21">
        <v>-0.0105</v>
      </c>
      <c r="T7" s="21">
        <v>0.0012</v>
      </c>
      <c r="U7" s="22">
        <v>0</v>
      </c>
      <c r="V7" s="21">
        <v>0.0786</v>
      </c>
      <c r="W7" s="22">
        <v>0.1026</v>
      </c>
      <c r="X7" s="21">
        <v>0.0451</v>
      </c>
      <c r="Y7" s="21">
        <v>-0.0336</v>
      </c>
      <c r="Z7" s="21">
        <v>-0.0044</v>
      </c>
      <c r="AC7" s="7" t="s">
        <v>112</v>
      </c>
      <c r="AD7" s="23" t="s">
        <v>247</v>
      </c>
      <c r="AE7" s="24" t="s">
        <v>248</v>
      </c>
      <c r="AF7" s="26" t="s">
        <v>249</v>
      </c>
      <c r="AG7" s="25" t="s">
        <v>250</v>
      </c>
      <c r="AH7" s="25" t="s">
        <v>251</v>
      </c>
      <c r="AI7" s="26" t="s">
        <v>228</v>
      </c>
      <c r="AJ7" s="26" t="s">
        <v>252</v>
      </c>
      <c r="AK7" s="24" t="s">
        <v>253</v>
      </c>
      <c r="AL7" s="23" t="s">
        <v>254</v>
      </c>
      <c r="AM7" s="23" t="s">
        <v>255</v>
      </c>
      <c r="AN7" s="23" t="s">
        <v>256</v>
      </c>
      <c r="AP7" s="17" t="s">
        <v>212</v>
      </c>
      <c r="AQ7" s="18" t="s">
        <v>257</v>
      </c>
    </row>
    <row r="8" spans="1:43">
      <c r="A8" s="10" t="s">
        <v>113</v>
      </c>
      <c r="B8" s="28">
        <v>0.0007669</v>
      </c>
      <c r="C8" s="28">
        <v>0.001371</v>
      </c>
      <c r="D8" s="28">
        <v>0.0018912</v>
      </c>
      <c r="E8" s="28">
        <v>0.0026904</v>
      </c>
      <c r="F8" s="28">
        <v>0.0039154</v>
      </c>
      <c r="G8" s="20">
        <v>0.0115942</v>
      </c>
      <c r="H8" s="28">
        <v>0.0035125</v>
      </c>
      <c r="I8" s="28">
        <v>0.0020555</v>
      </c>
      <c r="J8" s="28">
        <v>0.0007411</v>
      </c>
      <c r="K8" s="28">
        <v>0.0003135</v>
      </c>
      <c r="L8" s="28">
        <v>0.0001525</v>
      </c>
      <c r="O8" s="10" t="s">
        <v>113</v>
      </c>
      <c r="P8" s="21">
        <v>0.0115</v>
      </c>
      <c r="Q8" s="21">
        <v>-0.0297</v>
      </c>
      <c r="R8" s="21">
        <v>0.0102</v>
      </c>
      <c r="S8" s="21">
        <v>-0.0196</v>
      </c>
      <c r="T8" s="21">
        <v>0.024</v>
      </c>
      <c r="U8" s="22">
        <v>0</v>
      </c>
      <c r="V8" s="21">
        <v>-0.0124</v>
      </c>
      <c r="W8" s="21">
        <v>-0.0195</v>
      </c>
      <c r="X8" s="21">
        <v>-0.0039</v>
      </c>
      <c r="Y8" s="21">
        <v>0.0027</v>
      </c>
      <c r="Z8" s="21">
        <v>0.0063</v>
      </c>
      <c r="AC8" s="10" t="s">
        <v>113</v>
      </c>
      <c r="AD8" s="25" t="s">
        <v>258</v>
      </c>
      <c r="AE8" s="25" t="s">
        <v>259</v>
      </c>
      <c r="AF8" s="25" t="s">
        <v>260</v>
      </c>
      <c r="AG8" s="25" t="s">
        <v>261</v>
      </c>
      <c r="AH8" s="25" t="s">
        <v>262</v>
      </c>
      <c r="AI8" s="26" t="s">
        <v>228</v>
      </c>
      <c r="AJ8" s="25" t="s">
        <v>263</v>
      </c>
      <c r="AK8" s="25" t="s">
        <v>264</v>
      </c>
      <c r="AL8" s="25" t="s">
        <v>265</v>
      </c>
      <c r="AM8" s="25" t="s">
        <v>266</v>
      </c>
      <c r="AN8" s="25" t="s">
        <v>267</v>
      </c>
    </row>
    <row r="9" spans="1:43">
      <c r="A9" s="7" t="s">
        <v>114</v>
      </c>
      <c r="B9" s="19">
        <v>0.0010575</v>
      </c>
      <c r="C9" s="19">
        <v>0.0019204</v>
      </c>
      <c r="D9" s="19">
        <v>0.0026388</v>
      </c>
      <c r="E9" s="19">
        <v>0.0036681</v>
      </c>
      <c r="F9" s="19">
        <v>0.0051223</v>
      </c>
      <c r="G9" s="20">
        <v>0.0142695</v>
      </c>
      <c r="H9" s="19">
        <v>0.0048033</v>
      </c>
      <c r="I9" s="19">
        <v>0.003121</v>
      </c>
      <c r="J9" s="19">
        <v>0.0012753</v>
      </c>
      <c r="K9" s="19">
        <v>0.0005479</v>
      </c>
      <c r="L9" s="19">
        <v>0.0002567</v>
      </c>
      <c r="O9" s="7" t="s">
        <v>114</v>
      </c>
      <c r="P9" s="21">
        <v>0.0234</v>
      </c>
      <c r="Q9" s="21">
        <v>0.002</v>
      </c>
      <c r="R9" s="21">
        <v>-0.0062</v>
      </c>
      <c r="S9" s="21">
        <v>-0.0403</v>
      </c>
      <c r="T9" s="21">
        <v>-0.0264</v>
      </c>
      <c r="U9" s="22">
        <v>0</v>
      </c>
      <c r="V9" s="21">
        <v>-0.0175</v>
      </c>
      <c r="W9" s="21">
        <v>0.0041</v>
      </c>
      <c r="X9" s="21">
        <v>0.0211</v>
      </c>
      <c r="Y9" s="21">
        <v>-0.0032</v>
      </c>
      <c r="Z9" s="21">
        <v>-0.0134</v>
      </c>
      <c r="AC9" s="7" t="s">
        <v>114</v>
      </c>
      <c r="AD9" s="25" t="s">
        <v>268</v>
      </c>
      <c r="AE9" s="25" t="s">
        <v>269</v>
      </c>
      <c r="AF9" s="25" t="s">
        <v>270</v>
      </c>
      <c r="AG9" s="25" t="s">
        <v>271</v>
      </c>
      <c r="AH9" s="25" t="s">
        <v>272</v>
      </c>
      <c r="AI9" s="26" t="s">
        <v>228</v>
      </c>
      <c r="AJ9" s="25" t="s">
        <v>273</v>
      </c>
      <c r="AK9" s="25" t="s">
        <v>274</v>
      </c>
      <c r="AL9" s="25" t="s">
        <v>275</v>
      </c>
      <c r="AM9" s="25" t="s">
        <v>276</v>
      </c>
      <c r="AN9" s="26" t="s">
        <v>277</v>
      </c>
    </row>
    <row r="10" spans="1:43">
      <c r="A10" s="10" t="s">
        <v>115</v>
      </c>
      <c r="B10" s="28">
        <v>0.0013024</v>
      </c>
      <c r="C10" s="28">
        <v>0.0023524</v>
      </c>
      <c r="D10" s="28">
        <v>0.0031999</v>
      </c>
      <c r="E10" s="28">
        <v>0.0043659</v>
      </c>
      <c r="F10" s="28">
        <v>0.005946</v>
      </c>
      <c r="G10" s="20">
        <v>0.0160562</v>
      </c>
      <c r="H10" s="28">
        <v>0.0056781</v>
      </c>
      <c r="I10" s="28">
        <v>0.0038927</v>
      </c>
      <c r="J10" s="28">
        <v>0.0017371</v>
      </c>
      <c r="K10" s="28">
        <v>0.0007756</v>
      </c>
      <c r="L10" s="28">
        <v>0.0003622</v>
      </c>
      <c r="O10" s="10" t="s">
        <v>115</v>
      </c>
      <c r="P10" s="21">
        <v>-0.0061</v>
      </c>
      <c r="Q10" s="21">
        <v>0.0258</v>
      </c>
      <c r="R10" s="21">
        <v>0.0115</v>
      </c>
      <c r="S10" s="21">
        <v>-0.0058</v>
      </c>
      <c r="T10" s="21">
        <v>-0.0225</v>
      </c>
      <c r="U10" s="22">
        <v>0</v>
      </c>
      <c r="V10" s="21">
        <v>-0.0001</v>
      </c>
      <c r="W10" s="21">
        <v>0.0225</v>
      </c>
      <c r="X10" s="21">
        <v>0.0334</v>
      </c>
      <c r="Y10" s="21">
        <v>-0.0044</v>
      </c>
      <c r="Z10" s="21">
        <v>-0.0166</v>
      </c>
      <c r="AC10" s="10" t="s">
        <v>115</v>
      </c>
      <c r="AD10" s="25" t="s">
        <v>278</v>
      </c>
      <c r="AE10" s="25" t="s">
        <v>279</v>
      </c>
      <c r="AF10" s="25" t="s">
        <v>280</v>
      </c>
      <c r="AG10" s="25" t="s">
        <v>281</v>
      </c>
      <c r="AH10" s="25" t="s">
        <v>282</v>
      </c>
      <c r="AI10" s="26" t="s">
        <v>228</v>
      </c>
      <c r="AJ10" s="25" t="s">
        <v>283</v>
      </c>
      <c r="AK10" s="25" t="s">
        <v>284</v>
      </c>
      <c r="AL10" s="25" t="s">
        <v>285</v>
      </c>
      <c r="AM10" s="25" t="s">
        <v>286</v>
      </c>
      <c r="AN10" s="25" t="s">
        <v>287</v>
      </c>
    </row>
    <row r="11" spans="1:43">
      <c r="A11" s="7" t="s">
        <v>116</v>
      </c>
      <c r="B11" s="19">
        <v>0.0019784</v>
      </c>
      <c r="C11" s="19">
        <v>0.0028152</v>
      </c>
      <c r="D11" s="19">
        <v>0.0034588</v>
      </c>
      <c r="E11" s="19">
        <v>0.0043621</v>
      </c>
      <c r="F11" s="19">
        <v>0.0056713</v>
      </c>
      <c r="G11" s="20">
        <v>0.0151419</v>
      </c>
      <c r="H11" s="19">
        <v>0.0052204</v>
      </c>
      <c r="I11" s="19">
        <v>0.003621</v>
      </c>
      <c r="J11" s="19">
        <v>0.0019162</v>
      </c>
      <c r="K11" s="19">
        <v>0.0011758</v>
      </c>
      <c r="L11" s="19">
        <v>0.0007914</v>
      </c>
      <c r="O11" s="7" t="s">
        <v>116</v>
      </c>
      <c r="P11" s="21">
        <v>0.0034</v>
      </c>
      <c r="Q11" s="21">
        <v>-0.0144</v>
      </c>
      <c r="R11" s="21">
        <v>0.0014</v>
      </c>
      <c r="S11" s="21">
        <v>0.025</v>
      </c>
      <c r="T11" s="21">
        <v>0.0074</v>
      </c>
      <c r="U11" s="22">
        <v>0</v>
      </c>
      <c r="V11" s="21">
        <v>0.013</v>
      </c>
      <c r="W11" s="21">
        <v>-0.0237</v>
      </c>
      <c r="X11" s="21">
        <v>0.0518</v>
      </c>
      <c r="Y11" s="21">
        <v>-0.0204</v>
      </c>
      <c r="Z11" s="21">
        <v>-0.0066</v>
      </c>
      <c r="AC11" s="7" t="s">
        <v>116</v>
      </c>
      <c r="AD11" s="25" t="s">
        <v>288</v>
      </c>
      <c r="AE11" s="25" t="s">
        <v>289</v>
      </c>
      <c r="AF11" s="25" t="s">
        <v>290</v>
      </c>
      <c r="AG11" s="25" t="s">
        <v>291</v>
      </c>
      <c r="AH11" s="25" t="s">
        <v>274</v>
      </c>
      <c r="AI11" s="26" t="s">
        <v>228</v>
      </c>
      <c r="AJ11" s="25" t="s">
        <v>292</v>
      </c>
      <c r="AK11" s="25" t="s">
        <v>293</v>
      </c>
      <c r="AL11" s="25" t="s">
        <v>294</v>
      </c>
      <c r="AM11" s="25" t="s">
        <v>295</v>
      </c>
      <c r="AN11" s="25" t="s">
        <v>296</v>
      </c>
    </row>
    <row r="12" spans="1:43">
      <c r="A12" s="10" t="s">
        <v>117</v>
      </c>
      <c r="B12" s="28">
        <v>0.0027823</v>
      </c>
      <c r="C12" s="28">
        <v>0.0040506</v>
      </c>
      <c r="D12" s="28">
        <v>0.0049731</v>
      </c>
      <c r="E12" s="28">
        <v>0.0061908</v>
      </c>
      <c r="F12" s="28">
        <v>0.0077826</v>
      </c>
      <c r="G12" s="20">
        <v>0.0196834</v>
      </c>
      <c r="H12" s="28">
        <v>0.0074291</v>
      </c>
      <c r="I12" s="28">
        <v>0.0055558</v>
      </c>
      <c r="J12" s="28">
        <v>0.0031492</v>
      </c>
      <c r="K12" s="28">
        <v>0.0018919</v>
      </c>
      <c r="L12" s="28">
        <v>0.0012106</v>
      </c>
      <c r="O12" s="10" t="s">
        <v>117</v>
      </c>
      <c r="P12" s="21">
        <v>-0.0051</v>
      </c>
      <c r="Q12" s="21">
        <v>-0.0075</v>
      </c>
      <c r="R12" s="21">
        <v>0.0389</v>
      </c>
      <c r="S12" s="21">
        <v>0.0083</v>
      </c>
      <c r="T12" s="21">
        <v>0.0029</v>
      </c>
      <c r="U12" s="22">
        <v>0</v>
      </c>
      <c r="V12" s="21">
        <v>0.0282</v>
      </c>
      <c r="W12" s="21">
        <v>0.0329</v>
      </c>
      <c r="X12" s="21">
        <v>0.0207</v>
      </c>
      <c r="Y12" s="21">
        <v>-0.0142</v>
      </c>
      <c r="Z12" s="21">
        <v>-0.0063</v>
      </c>
      <c r="AC12" s="10" t="s">
        <v>117</v>
      </c>
      <c r="AD12" s="25" t="s">
        <v>297</v>
      </c>
      <c r="AE12" s="25" t="s">
        <v>298</v>
      </c>
      <c r="AF12" s="25" t="s">
        <v>299</v>
      </c>
      <c r="AG12" s="25" t="s">
        <v>300</v>
      </c>
      <c r="AH12" s="25" t="s">
        <v>301</v>
      </c>
      <c r="AI12" s="26" t="s">
        <v>228</v>
      </c>
      <c r="AJ12" s="25" t="s">
        <v>302</v>
      </c>
      <c r="AK12" s="25" t="s">
        <v>303</v>
      </c>
      <c r="AL12" s="25" t="s">
        <v>304</v>
      </c>
      <c r="AM12" s="25" t="s">
        <v>305</v>
      </c>
      <c r="AN12" s="25" t="s">
        <v>306</v>
      </c>
    </row>
    <row r="13" spans="1:43">
      <c r="A13" s="7" t="s">
        <v>118</v>
      </c>
      <c r="B13" s="19">
        <v>0.0033096</v>
      </c>
      <c r="C13" s="19">
        <v>0.0048222</v>
      </c>
      <c r="D13" s="19">
        <v>0.0058919</v>
      </c>
      <c r="E13" s="19">
        <v>0.0072533</v>
      </c>
      <c r="F13" s="19">
        <v>0.0089661</v>
      </c>
      <c r="G13" s="20">
        <v>0.0222029</v>
      </c>
      <c r="H13" s="19">
        <v>0.0086927</v>
      </c>
      <c r="I13" s="19">
        <v>0.006742</v>
      </c>
      <c r="J13" s="19">
        <v>0.0040512</v>
      </c>
      <c r="K13" s="19">
        <v>0.0025019</v>
      </c>
      <c r="L13" s="19">
        <v>0.0016129</v>
      </c>
      <c r="O13" s="7" t="s">
        <v>118</v>
      </c>
      <c r="P13" s="21">
        <v>0.0141</v>
      </c>
      <c r="Q13" s="21">
        <v>-0.009</v>
      </c>
      <c r="R13" s="21">
        <v>-0.0014</v>
      </c>
      <c r="S13" s="21">
        <v>-0.02</v>
      </c>
      <c r="T13" s="21">
        <v>0.0119</v>
      </c>
      <c r="U13" s="22">
        <v>0</v>
      </c>
      <c r="V13" s="21">
        <v>0.0041</v>
      </c>
      <c r="W13" s="21">
        <v>0.0251</v>
      </c>
      <c r="X13" s="21">
        <v>-0.0085</v>
      </c>
      <c r="Y13" s="21">
        <v>-0.0055</v>
      </c>
      <c r="Z13" s="21">
        <v>0.0009</v>
      </c>
      <c r="AC13" s="7" t="s">
        <v>118</v>
      </c>
      <c r="AD13" s="25" t="s">
        <v>307</v>
      </c>
      <c r="AE13" s="25" t="s">
        <v>308</v>
      </c>
      <c r="AF13" s="25" t="s">
        <v>309</v>
      </c>
      <c r="AG13" s="25" t="s">
        <v>310</v>
      </c>
      <c r="AH13" s="25" t="s">
        <v>311</v>
      </c>
      <c r="AI13" s="26" t="s">
        <v>228</v>
      </c>
      <c r="AJ13" s="25" t="s">
        <v>312</v>
      </c>
      <c r="AK13" s="25" t="s">
        <v>313</v>
      </c>
      <c r="AL13" s="25" t="s">
        <v>314</v>
      </c>
      <c r="AM13" s="25" t="s">
        <v>315</v>
      </c>
      <c r="AN13" s="25" t="s">
        <v>316</v>
      </c>
    </row>
    <row r="14" spans="1:43">
      <c r="A14" s="6" t="s">
        <v>317</v>
      </c>
      <c r="B14" s="30" t="s">
        <v>318</v>
      </c>
      <c r="C14" s="2"/>
      <c r="D14" s="2"/>
      <c r="E14" s="2"/>
      <c r="F14" s="2"/>
      <c r="G14" s="2"/>
      <c r="H14" s="2"/>
      <c r="I14" s="2"/>
      <c r="J14" s="2"/>
      <c r="K14" s="2"/>
      <c r="L14" s="3"/>
      <c r="O14" s="6" t="s">
        <v>317</v>
      </c>
      <c r="P14" s="21">
        <v>0.0116</v>
      </c>
      <c r="Q14" s="21">
        <v>0.0204</v>
      </c>
      <c r="R14" s="21">
        <v>0.0233</v>
      </c>
      <c r="S14" s="21">
        <v>0.021</v>
      </c>
      <c r="T14" s="21">
        <v>0.0184</v>
      </c>
      <c r="U14" s="22">
        <v>0</v>
      </c>
      <c r="V14" s="21">
        <v>0.0422</v>
      </c>
      <c r="W14" s="21">
        <v>0.0647</v>
      </c>
      <c r="X14" s="21">
        <v>0.0337</v>
      </c>
      <c r="Y14" s="21">
        <v>0.017</v>
      </c>
      <c r="Z14" s="21">
        <v>0.0088</v>
      </c>
      <c r="AC14" s="6" t="s">
        <v>317</v>
      </c>
      <c r="AD14" s="31">
        <v>0.1128</v>
      </c>
      <c r="AE14" s="32">
        <v>2.0039</v>
      </c>
      <c r="AF14" s="32">
        <v>1.3672</v>
      </c>
      <c r="AG14" s="31">
        <v>0.2192</v>
      </c>
      <c r="AH14" s="31">
        <v>0.1066</v>
      </c>
      <c r="AI14" s="26" t="s">
        <v>319</v>
      </c>
      <c r="AJ14" s="31">
        <v>0.3465</v>
      </c>
      <c r="AK14" s="32">
        <v>2.225</v>
      </c>
      <c r="AL14" s="31">
        <v>0.1554</v>
      </c>
      <c r="AM14" s="31">
        <v>0.0913</v>
      </c>
      <c r="AN14" s="31">
        <v>0.3327</v>
      </c>
    </row>
    <row r="15" spans="1:43">
      <c r="A15" s="12" t="s">
        <v>119</v>
      </c>
      <c r="B15" s="12" t="s">
        <v>119</v>
      </c>
      <c r="C15" s="12" t="s">
        <v>119</v>
      </c>
      <c r="D15" s="12" t="s">
        <v>119</v>
      </c>
      <c r="E15" s="12" t="s">
        <v>119</v>
      </c>
      <c r="F15" s="12" t="s">
        <v>119</v>
      </c>
      <c r="G15" s="12" t="s">
        <v>119</v>
      </c>
      <c r="H15" s="12" t="s">
        <v>119</v>
      </c>
      <c r="I15" s="12" t="s">
        <v>119</v>
      </c>
      <c r="J15" s="12" t="s">
        <v>119</v>
      </c>
      <c r="K15" s="12" t="s">
        <v>119</v>
      </c>
      <c r="L15" s="12" t="s">
        <v>119</v>
      </c>
      <c r="M15" s="12" t="s">
        <v>119</v>
      </c>
      <c r="N15" s="12" t="s">
        <v>119</v>
      </c>
      <c r="O15" s="12" t="s">
        <v>119</v>
      </c>
      <c r="P15" s="12" t="s">
        <v>119</v>
      </c>
      <c r="Q15" s="12" t="s">
        <v>119</v>
      </c>
      <c r="R15" s="12" t="s">
        <v>119</v>
      </c>
      <c r="S15" s="12" t="s">
        <v>119</v>
      </c>
      <c r="T15" s="12" t="s">
        <v>119</v>
      </c>
      <c r="U15" s="12" t="s">
        <v>119</v>
      </c>
      <c r="V15" s="12" t="s">
        <v>119</v>
      </c>
      <c r="W15" s="12" t="s">
        <v>119</v>
      </c>
      <c r="X15" s="12" t="s">
        <v>119</v>
      </c>
      <c r="Y15" s="12" t="s">
        <v>119</v>
      </c>
      <c r="Z15" s="12" t="s">
        <v>119</v>
      </c>
      <c r="AA15" s="12" t="s">
        <v>119</v>
      </c>
      <c r="AB15" s="12" t="s">
        <v>119</v>
      </c>
      <c r="AC15" s="12" t="s">
        <v>119</v>
      </c>
      <c r="AD15" s="12" t="s">
        <v>119</v>
      </c>
      <c r="AE15" s="12" t="s">
        <v>119</v>
      </c>
      <c r="AF15" s="12" t="s">
        <v>119</v>
      </c>
      <c r="AG15" s="12" t="s">
        <v>119</v>
      </c>
      <c r="AH15" s="12" t="s">
        <v>119</v>
      </c>
      <c r="AI15" s="12" t="s">
        <v>119</v>
      </c>
      <c r="AJ15" s="12" t="s">
        <v>119</v>
      </c>
      <c r="AK15" s="12" t="s">
        <v>119</v>
      </c>
      <c r="AL15" s="12" t="s">
        <v>119</v>
      </c>
      <c r="AM15" s="12" t="s">
        <v>119</v>
      </c>
      <c r="AN15" s="12" t="s">
        <v>119</v>
      </c>
      <c r="AO15" s="12" t="s">
        <v>119</v>
      </c>
    </row>
    <row r="16" spans="1:43">
      <c r="A16" s="4" t="s">
        <v>120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3"/>
    </row>
    <row r="17" spans="1:41">
      <c r="A17" s="6" t="s">
        <v>218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  <c r="O17" s="5" t="s">
        <v>219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3"/>
      <c r="AC17" s="4" t="s">
        <v>220</v>
      </c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3"/>
    </row>
    <row r="18" spans="1:41">
      <c r="A18" s="6" t="s">
        <v>95</v>
      </c>
      <c r="B18" s="6" t="s">
        <v>96</v>
      </c>
      <c r="C18" s="6" t="s">
        <v>97</v>
      </c>
      <c r="D18" s="6" t="s">
        <v>98</v>
      </c>
      <c r="E18" s="6" t="s">
        <v>99</v>
      </c>
      <c r="F18" s="6" t="s">
        <v>100</v>
      </c>
      <c r="G18" s="6" t="s">
        <v>47</v>
      </c>
      <c r="H18" s="6" t="s">
        <v>101</v>
      </c>
      <c r="I18" s="6" t="s">
        <v>102</v>
      </c>
      <c r="J18" s="6" t="s">
        <v>103</v>
      </c>
      <c r="K18" s="6" t="s">
        <v>104</v>
      </c>
      <c r="L18" s="6" t="s">
        <v>105</v>
      </c>
      <c r="O18" s="6" t="s">
        <v>95</v>
      </c>
      <c r="P18" s="6" t="s">
        <v>96</v>
      </c>
      <c r="Q18" s="6" t="s">
        <v>97</v>
      </c>
      <c r="R18" s="6" t="s">
        <v>98</v>
      </c>
      <c r="S18" s="6" t="s">
        <v>99</v>
      </c>
      <c r="T18" s="6" t="s">
        <v>100</v>
      </c>
      <c r="U18" s="6" t="s">
        <v>47</v>
      </c>
      <c r="V18" s="6" t="s">
        <v>101</v>
      </c>
      <c r="W18" s="6" t="s">
        <v>102</v>
      </c>
      <c r="X18" s="6" t="s">
        <v>103</v>
      </c>
      <c r="Y18" s="6" t="s">
        <v>104</v>
      </c>
      <c r="Z18" s="6" t="s">
        <v>105</v>
      </c>
      <c r="AC18" s="6" t="s">
        <v>95</v>
      </c>
      <c r="AD18" s="6" t="s">
        <v>96</v>
      </c>
      <c r="AE18" s="6" t="s">
        <v>97</v>
      </c>
      <c r="AF18" s="6" t="s">
        <v>98</v>
      </c>
      <c r="AG18" s="6" t="s">
        <v>99</v>
      </c>
      <c r="AH18" s="6" t="s">
        <v>100</v>
      </c>
      <c r="AI18" s="6" t="s">
        <v>47</v>
      </c>
      <c r="AJ18" s="6" t="s">
        <v>101</v>
      </c>
      <c r="AK18" s="6" t="s">
        <v>102</v>
      </c>
      <c r="AL18" s="6" t="s">
        <v>103</v>
      </c>
      <c r="AM18" s="6" t="s">
        <v>104</v>
      </c>
      <c r="AN18" s="6" t="s">
        <v>105</v>
      </c>
    </row>
    <row r="19" spans="1:41">
      <c r="A19" s="7" t="s">
        <v>108</v>
      </c>
      <c r="B19" s="19">
        <v>1.1e-6</v>
      </c>
      <c r="C19" s="19">
        <v>1.49e-5</v>
      </c>
      <c r="D19" s="19">
        <v>6.32e-5</v>
      </c>
      <c r="E19" s="19">
        <v>0.0002321</v>
      </c>
      <c r="F19" s="19">
        <v>0.0008046</v>
      </c>
      <c r="G19" s="20">
        <v>0.0048269</v>
      </c>
      <c r="H19" s="19">
        <v>0.0006399</v>
      </c>
      <c r="I19" s="19">
        <v>0.000112</v>
      </c>
      <c r="J19" s="19">
        <v>2.1e-6</v>
      </c>
      <c r="K19" s="19">
        <v>6e-7</v>
      </c>
      <c r="L19" s="19">
        <v>0</v>
      </c>
      <c r="O19" s="7" t="s">
        <v>108</v>
      </c>
      <c r="P19" s="21">
        <v>0.0042</v>
      </c>
      <c r="Q19" s="21">
        <v>0.0254</v>
      </c>
      <c r="R19" s="21">
        <v>-0.002</v>
      </c>
      <c r="S19" s="21">
        <v>-0.0186</v>
      </c>
      <c r="T19" s="21">
        <v>-0.0218</v>
      </c>
      <c r="U19" s="22">
        <v>0</v>
      </c>
      <c r="V19" s="21">
        <v>0.0489</v>
      </c>
      <c r="W19" s="21">
        <v>0.0049</v>
      </c>
      <c r="X19" s="21">
        <v>-0.0002</v>
      </c>
      <c r="Y19" s="21">
        <v>-0.0055</v>
      </c>
      <c r="Z19" s="21">
        <v>0</v>
      </c>
      <c r="AC19" s="7" t="s">
        <v>108</v>
      </c>
      <c r="AD19" s="23" t="s">
        <v>320</v>
      </c>
      <c r="AE19" s="23" t="s">
        <v>321</v>
      </c>
      <c r="AF19" s="25" t="s">
        <v>322</v>
      </c>
      <c r="AG19" s="26" t="s">
        <v>323</v>
      </c>
      <c r="AH19" s="25" t="s">
        <v>324</v>
      </c>
      <c r="AI19" s="26" t="s">
        <v>228</v>
      </c>
      <c r="AJ19" s="26" t="s">
        <v>325</v>
      </c>
      <c r="AK19" s="25" t="s">
        <v>326</v>
      </c>
      <c r="AL19" s="23" t="s">
        <v>327</v>
      </c>
      <c r="AM19" s="23" t="s">
        <v>328</v>
      </c>
      <c r="AN19" s="23" t="s">
        <v>329</v>
      </c>
    </row>
    <row r="20" spans="1:41">
      <c r="A20" s="10" t="s">
        <v>111</v>
      </c>
      <c r="B20" s="28">
        <v>9e-7</v>
      </c>
      <c r="C20" s="28">
        <v>4.74e-5</v>
      </c>
      <c r="D20" s="28">
        <v>0.0001493</v>
      </c>
      <c r="E20" s="28">
        <v>0.000455</v>
      </c>
      <c r="F20" s="28">
        <v>0.0012467</v>
      </c>
      <c r="G20" s="20">
        <v>0.0060246</v>
      </c>
      <c r="H20" s="28">
        <v>0.0010913</v>
      </c>
      <c r="I20" s="28">
        <v>0.0002877</v>
      </c>
      <c r="J20" s="28">
        <v>1.27e-5</v>
      </c>
      <c r="K20" s="28">
        <v>1.8e-6</v>
      </c>
      <c r="L20" s="28">
        <v>1.6e-6</v>
      </c>
      <c r="O20" s="10" t="s">
        <v>111</v>
      </c>
      <c r="P20" s="21">
        <v>0.0476</v>
      </c>
      <c r="Q20" s="21">
        <v>0.032</v>
      </c>
      <c r="R20" s="21">
        <v>0.0406</v>
      </c>
      <c r="S20" s="21">
        <v>-0.0199</v>
      </c>
      <c r="T20" s="21">
        <v>-0.0057</v>
      </c>
      <c r="U20" s="22">
        <v>0</v>
      </c>
      <c r="V20" s="22">
        <v>0.1086</v>
      </c>
      <c r="W20" s="22">
        <v>0.1744</v>
      </c>
      <c r="X20" s="21">
        <v>0.0127</v>
      </c>
      <c r="Y20" s="21">
        <v>-0.0123</v>
      </c>
      <c r="Z20" s="21">
        <v>-0.0157</v>
      </c>
      <c r="AC20" s="10" t="s">
        <v>111</v>
      </c>
      <c r="AD20" s="23" t="s">
        <v>330</v>
      </c>
      <c r="AE20" s="23" t="s">
        <v>331</v>
      </c>
      <c r="AF20" s="24" t="s">
        <v>332</v>
      </c>
      <c r="AG20" s="25" t="s">
        <v>333</v>
      </c>
      <c r="AH20" s="25" t="s">
        <v>334</v>
      </c>
      <c r="AI20" s="26" t="s">
        <v>228</v>
      </c>
      <c r="AJ20" s="26" t="s">
        <v>335</v>
      </c>
      <c r="AK20" s="24" t="s">
        <v>336</v>
      </c>
      <c r="AL20" s="23" t="s">
        <v>337</v>
      </c>
      <c r="AM20" s="23" t="s">
        <v>338</v>
      </c>
      <c r="AN20" s="23" t="s">
        <v>339</v>
      </c>
    </row>
    <row r="21" spans="1:41">
      <c r="A21" s="7" t="s">
        <v>112</v>
      </c>
      <c r="B21" s="19">
        <v>6.8e-6</v>
      </c>
      <c r="C21" s="19">
        <v>8.19e-5</v>
      </c>
      <c r="D21" s="19">
        <v>0.0002272</v>
      </c>
      <c r="E21" s="19">
        <v>0.0006295</v>
      </c>
      <c r="F21" s="19">
        <v>0.0015651</v>
      </c>
      <c r="G21" s="20">
        <v>0.0068199</v>
      </c>
      <c r="H21" s="19">
        <v>0.0014256</v>
      </c>
      <c r="I21" s="19">
        <v>0.0004702</v>
      </c>
      <c r="J21" s="19">
        <v>2.66e-5</v>
      </c>
      <c r="K21" s="19">
        <v>2e-7</v>
      </c>
      <c r="L21" s="19">
        <v>0</v>
      </c>
      <c r="O21" s="7" t="s">
        <v>112</v>
      </c>
      <c r="P21" s="21">
        <v>0.0168</v>
      </c>
      <c r="Q21" s="21">
        <v>-0.0318</v>
      </c>
      <c r="R21" s="21">
        <v>0.0232</v>
      </c>
      <c r="S21" s="21">
        <v>-0.0151</v>
      </c>
      <c r="T21" s="21">
        <v>-0.0467</v>
      </c>
      <c r="U21" s="22">
        <v>0</v>
      </c>
      <c r="V21" s="21">
        <v>-0.0122</v>
      </c>
      <c r="W21" s="21">
        <v>-0.0304</v>
      </c>
      <c r="X21" s="21">
        <v>0.0014</v>
      </c>
      <c r="Y21" s="21">
        <v>0.0076</v>
      </c>
      <c r="Z21" s="21">
        <v>0.0003</v>
      </c>
      <c r="AC21" s="7" t="s">
        <v>112</v>
      </c>
      <c r="AD21" s="23" t="s">
        <v>340</v>
      </c>
      <c r="AE21" s="24" t="s">
        <v>341</v>
      </c>
      <c r="AF21" s="24" t="s">
        <v>342</v>
      </c>
      <c r="AG21" s="25" t="s">
        <v>343</v>
      </c>
      <c r="AH21" s="25" t="s">
        <v>344</v>
      </c>
      <c r="AI21" s="26" t="s">
        <v>228</v>
      </c>
      <c r="AJ21" s="25" t="s">
        <v>345</v>
      </c>
      <c r="AK21" s="26" t="s">
        <v>346</v>
      </c>
      <c r="AL21" s="23" t="s">
        <v>347</v>
      </c>
      <c r="AM21" s="23" t="s">
        <v>348</v>
      </c>
      <c r="AN21" s="23" t="s">
        <v>329</v>
      </c>
    </row>
    <row r="22" spans="1:41">
      <c r="A22" s="10" t="s">
        <v>113</v>
      </c>
      <c r="B22" s="28">
        <v>0.0007824</v>
      </c>
      <c r="C22" s="28">
        <v>0.001394</v>
      </c>
      <c r="D22" s="28">
        <v>0.0019212</v>
      </c>
      <c r="E22" s="28">
        <v>0.0027289</v>
      </c>
      <c r="F22" s="28">
        <v>0.0039596</v>
      </c>
      <c r="G22" s="20">
        <v>0.0116854</v>
      </c>
      <c r="H22" s="28">
        <v>0.003555</v>
      </c>
      <c r="I22" s="28">
        <v>0.0020844</v>
      </c>
      <c r="J22" s="28">
        <v>0.0007578</v>
      </c>
      <c r="K22" s="28">
        <v>0.0003245</v>
      </c>
      <c r="L22" s="28">
        <v>0.0001542</v>
      </c>
      <c r="O22" s="10" t="s">
        <v>113</v>
      </c>
      <c r="P22" s="21">
        <v>0.0131</v>
      </c>
      <c r="Q22" s="21">
        <v>-0.0174</v>
      </c>
      <c r="R22" s="21">
        <v>0.0114</v>
      </c>
      <c r="S22" s="21">
        <v>-0.0365</v>
      </c>
      <c r="T22" s="21">
        <v>0.0117</v>
      </c>
      <c r="U22" s="22">
        <v>0</v>
      </c>
      <c r="V22" s="21">
        <v>-0.02</v>
      </c>
      <c r="W22" s="21">
        <v>0.0189</v>
      </c>
      <c r="X22" s="21">
        <v>-0.0125</v>
      </c>
      <c r="Y22" s="21">
        <v>-0.0321</v>
      </c>
      <c r="Z22" s="21">
        <v>0.0282</v>
      </c>
      <c r="AC22" s="10" t="s">
        <v>113</v>
      </c>
      <c r="AD22" s="25" t="s">
        <v>349</v>
      </c>
      <c r="AE22" s="25" t="s">
        <v>350</v>
      </c>
      <c r="AF22" s="25" t="s">
        <v>303</v>
      </c>
      <c r="AG22" s="25" t="s">
        <v>351</v>
      </c>
      <c r="AH22" s="25" t="s">
        <v>352</v>
      </c>
      <c r="AI22" s="26" t="s">
        <v>228</v>
      </c>
      <c r="AJ22" s="25" t="s">
        <v>353</v>
      </c>
      <c r="AK22" s="25" t="s">
        <v>354</v>
      </c>
      <c r="AL22" s="25" t="s">
        <v>355</v>
      </c>
      <c r="AM22" s="26" t="s">
        <v>356</v>
      </c>
      <c r="AN22" s="24" t="s">
        <v>357</v>
      </c>
    </row>
    <row r="23" spans="1:41">
      <c r="A23" s="7" t="s">
        <v>114</v>
      </c>
      <c r="B23" s="19">
        <v>0.0010788</v>
      </c>
      <c r="C23" s="19">
        <v>0.0019494</v>
      </c>
      <c r="D23" s="19">
        <v>0.0026739</v>
      </c>
      <c r="E23" s="19">
        <v>0.0037017</v>
      </c>
      <c r="F23" s="19">
        <v>0.0051617</v>
      </c>
      <c r="G23" s="20">
        <v>0.0143632</v>
      </c>
      <c r="H23" s="19">
        <v>0.0048458</v>
      </c>
      <c r="I23" s="19">
        <v>0.0031591</v>
      </c>
      <c r="J23" s="19">
        <v>0.0012995</v>
      </c>
      <c r="K23" s="19">
        <v>0.0005571</v>
      </c>
      <c r="L23" s="19">
        <v>0.0002613</v>
      </c>
      <c r="O23" s="7" t="s">
        <v>114</v>
      </c>
      <c r="P23" s="21">
        <v>-0.0039</v>
      </c>
      <c r="Q23" s="21">
        <v>-0.0048</v>
      </c>
      <c r="R23" s="21">
        <v>-0.014</v>
      </c>
      <c r="S23" s="21">
        <v>0.0273</v>
      </c>
      <c r="T23" s="21">
        <v>0.0311</v>
      </c>
      <c r="U23" s="22">
        <v>0</v>
      </c>
      <c r="V23" s="21">
        <v>-0.001</v>
      </c>
      <c r="W23" s="21">
        <v>-0.0013</v>
      </c>
      <c r="X23" s="21">
        <v>-0.0052</v>
      </c>
      <c r="Y23" s="21">
        <v>0.0135</v>
      </c>
      <c r="Z23" s="21">
        <v>-0.0047</v>
      </c>
      <c r="AC23" s="7" t="s">
        <v>114</v>
      </c>
      <c r="AD23" s="25" t="s">
        <v>358</v>
      </c>
      <c r="AE23" s="25" t="s">
        <v>359</v>
      </c>
      <c r="AF23" s="25" t="s">
        <v>360</v>
      </c>
      <c r="AG23" s="25" t="s">
        <v>361</v>
      </c>
      <c r="AH23" s="25" t="s">
        <v>362</v>
      </c>
      <c r="AI23" s="26" t="s">
        <v>228</v>
      </c>
      <c r="AJ23" s="25" t="s">
        <v>363</v>
      </c>
      <c r="AK23" s="25" t="s">
        <v>364</v>
      </c>
      <c r="AL23" s="25" t="s">
        <v>365</v>
      </c>
      <c r="AM23" s="25" t="s">
        <v>366</v>
      </c>
      <c r="AN23" s="25" t="s">
        <v>367</v>
      </c>
    </row>
    <row r="24" spans="1:41">
      <c r="A24" s="10" t="s">
        <v>115</v>
      </c>
      <c r="B24" s="28">
        <v>0.0013209</v>
      </c>
      <c r="C24" s="28">
        <v>0.0023817</v>
      </c>
      <c r="D24" s="28">
        <v>0.0032386</v>
      </c>
      <c r="E24" s="28">
        <v>0.0044055</v>
      </c>
      <c r="F24" s="28">
        <v>0.0059848</v>
      </c>
      <c r="G24" s="20">
        <v>0.0161476</v>
      </c>
      <c r="H24" s="28">
        <v>0.0057195</v>
      </c>
      <c r="I24" s="28">
        <v>0.003935</v>
      </c>
      <c r="J24" s="28">
        <v>0.0017674</v>
      </c>
      <c r="K24" s="28">
        <v>0.0007869</v>
      </c>
      <c r="L24" s="28">
        <v>0.0003694</v>
      </c>
      <c r="O24" s="10" t="s">
        <v>115</v>
      </c>
      <c r="P24" s="21">
        <v>0.0004</v>
      </c>
      <c r="Q24" s="21">
        <v>0.021</v>
      </c>
      <c r="R24" s="21">
        <v>-0.0312</v>
      </c>
      <c r="S24" s="21">
        <v>-0.0034</v>
      </c>
      <c r="T24" s="21">
        <v>0.0295</v>
      </c>
      <c r="U24" s="22">
        <v>0</v>
      </c>
      <c r="V24" s="21">
        <v>0.0268</v>
      </c>
      <c r="W24" s="21">
        <v>-0.007</v>
      </c>
      <c r="X24" s="21">
        <v>-0.0131</v>
      </c>
      <c r="Y24" s="21">
        <v>0.0251</v>
      </c>
      <c r="Z24" s="21">
        <v>-0.0134</v>
      </c>
      <c r="AC24" s="10" t="s">
        <v>115</v>
      </c>
      <c r="AD24" s="25" t="s">
        <v>368</v>
      </c>
      <c r="AE24" s="25" t="s">
        <v>369</v>
      </c>
      <c r="AF24" s="25" t="s">
        <v>370</v>
      </c>
      <c r="AG24" s="25" t="s">
        <v>371</v>
      </c>
      <c r="AH24" s="25" t="s">
        <v>372</v>
      </c>
      <c r="AI24" s="26" t="s">
        <v>228</v>
      </c>
      <c r="AJ24" s="25" t="s">
        <v>373</v>
      </c>
      <c r="AK24" s="25" t="s">
        <v>374</v>
      </c>
      <c r="AL24" s="25" t="s">
        <v>375</v>
      </c>
      <c r="AM24" s="25" t="s">
        <v>376</v>
      </c>
      <c r="AN24" s="25" t="s">
        <v>377</v>
      </c>
    </row>
    <row r="25" spans="1:41">
      <c r="A25" s="7" t="s">
        <v>116</v>
      </c>
      <c r="B25" s="19">
        <v>0.0020117</v>
      </c>
      <c r="C25" s="19">
        <v>0.0028566</v>
      </c>
      <c r="D25" s="19">
        <v>0.0035096</v>
      </c>
      <c r="E25" s="19">
        <v>0.0044173</v>
      </c>
      <c r="F25" s="19">
        <v>0.0057294</v>
      </c>
      <c r="G25" s="20">
        <v>0.0152632</v>
      </c>
      <c r="H25" s="19">
        <v>0.0052786</v>
      </c>
      <c r="I25" s="19">
        <v>0.0036693</v>
      </c>
      <c r="J25" s="19">
        <v>0.0019561</v>
      </c>
      <c r="K25" s="19">
        <v>0.0011974</v>
      </c>
      <c r="L25" s="19">
        <v>0.000809</v>
      </c>
      <c r="O25" s="7" t="s">
        <v>116</v>
      </c>
      <c r="P25" s="21">
        <v>0.0119</v>
      </c>
      <c r="Q25" s="21">
        <v>-0.0016</v>
      </c>
      <c r="R25" s="21">
        <v>-0.0273</v>
      </c>
      <c r="S25" s="21">
        <v>0.0086</v>
      </c>
      <c r="T25" s="21">
        <v>0.0118</v>
      </c>
      <c r="U25" s="22">
        <v>0</v>
      </c>
      <c r="V25" s="21">
        <v>0.0075</v>
      </c>
      <c r="W25" s="21">
        <v>-0.0032</v>
      </c>
      <c r="X25" s="21">
        <v>-0.0012</v>
      </c>
      <c r="Y25" s="21">
        <v>0.0054</v>
      </c>
      <c r="Z25" s="21">
        <v>-0.0046</v>
      </c>
      <c r="AC25" s="7" t="s">
        <v>116</v>
      </c>
      <c r="AD25" s="25" t="s">
        <v>378</v>
      </c>
      <c r="AE25" s="25" t="s">
        <v>379</v>
      </c>
      <c r="AF25" s="25" t="s">
        <v>380</v>
      </c>
      <c r="AG25" s="25" t="s">
        <v>381</v>
      </c>
      <c r="AH25" s="25" t="s">
        <v>382</v>
      </c>
      <c r="AI25" s="26" t="s">
        <v>228</v>
      </c>
      <c r="AJ25" s="25" t="s">
        <v>383</v>
      </c>
      <c r="AK25" s="25" t="s">
        <v>384</v>
      </c>
      <c r="AL25" s="25" t="s">
        <v>385</v>
      </c>
      <c r="AM25" s="25" t="s">
        <v>386</v>
      </c>
      <c r="AN25" s="25" t="s">
        <v>387</v>
      </c>
    </row>
    <row r="26" spans="1:41">
      <c r="A26" s="10" t="s">
        <v>117</v>
      </c>
      <c r="B26" s="28">
        <v>0.0028197</v>
      </c>
      <c r="C26" s="28">
        <v>0.0041001</v>
      </c>
      <c r="D26" s="28">
        <v>0.0050288</v>
      </c>
      <c r="E26" s="28">
        <v>0.0062541</v>
      </c>
      <c r="F26" s="28">
        <v>0.0078446</v>
      </c>
      <c r="G26" s="20">
        <v>0.0198049</v>
      </c>
      <c r="H26" s="28">
        <v>0.0074894</v>
      </c>
      <c r="I26" s="28">
        <v>0.0056148</v>
      </c>
      <c r="J26" s="28">
        <v>0.003192</v>
      </c>
      <c r="K26" s="28">
        <v>0.001921</v>
      </c>
      <c r="L26" s="28">
        <v>0.0012316</v>
      </c>
      <c r="O26" s="10" t="s">
        <v>117</v>
      </c>
      <c r="P26" s="21">
        <v>0.0208</v>
      </c>
      <c r="Q26" s="21">
        <v>-0.0152</v>
      </c>
      <c r="R26" s="21">
        <v>0.0145</v>
      </c>
      <c r="S26" s="21">
        <v>-0.0515</v>
      </c>
      <c r="T26" s="21">
        <v>-0.0159</v>
      </c>
      <c r="U26" s="22">
        <v>0</v>
      </c>
      <c r="V26" s="21">
        <v>0.011</v>
      </c>
      <c r="W26" s="21">
        <v>-0.0183</v>
      </c>
      <c r="X26" s="21">
        <v>0.004</v>
      </c>
      <c r="Y26" s="21">
        <v>-0.007</v>
      </c>
      <c r="Z26" s="21">
        <v>0.0011</v>
      </c>
      <c r="AC26" s="10" t="s">
        <v>117</v>
      </c>
      <c r="AD26" s="25" t="s">
        <v>388</v>
      </c>
      <c r="AE26" s="25" t="s">
        <v>389</v>
      </c>
      <c r="AF26" s="25" t="s">
        <v>390</v>
      </c>
      <c r="AG26" s="25" t="s">
        <v>391</v>
      </c>
      <c r="AH26" s="25" t="s">
        <v>392</v>
      </c>
      <c r="AI26" s="26" t="s">
        <v>228</v>
      </c>
      <c r="AJ26" s="25" t="s">
        <v>393</v>
      </c>
      <c r="AK26" s="25" t="s">
        <v>394</v>
      </c>
      <c r="AL26" s="25" t="s">
        <v>395</v>
      </c>
      <c r="AM26" s="25" t="s">
        <v>396</v>
      </c>
      <c r="AN26" s="25" t="s">
        <v>397</v>
      </c>
    </row>
    <row r="27" spans="1:41">
      <c r="A27" s="7" t="s">
        <v>118</v>
      </c>
      <c r="B27" s="19">
        <v>0.0033497</v>
      </c>
      <c r="C27" s="19">
        <v>0.0048684</v>
      </c>
      <c r="D27" s="19">
        <v>0.0059427</v>
      </c>
      <c r="E27" s="19">
        <v>0.0073091</v>
      </c>
      <c r="F27" s="19">
        <v>0.0090311</v>
      </c>
      <c r="G27" s="20">
        <v>0.0223302</v>
      </c>
      <c r="H27" s="19">
        <v>0.0087528</v>
      </c>
      <c r="I27" s="19">
        <v>0.0068032</v>
      </c>
      <c r="J27" s="19">
        <v>0.0040975</v>
      </c>
      <c r="K27" s="19">
        <v>0.0025336</v>
      </c>
      <c r="L27" s="19">
        <v>0.0016378</v>
      </c>
      <c r="O27" s="7" t="s">
        <v>118</v>
      </c>
      <c r="P27" s="21">
        <v>-0.0123</v>
      </c>
      <c r="Q27" s="21">
        <v>0.0078</v>
      </c>
      <c r="R27" s="21">
        <v>0.024</v>
      </c>
      <c r="S27" s="21">
        <v>0.0053</v>
      </c>
      <c r="T27" s="21">
        <v>-0.0175</v>
      </c>
      <c r="U27" s="22">
        <v>0</v>
      </c>
      <c r="V27" s="21">
        <v>0.0283</v>
      </c>
      <c r="W27" s="21">
        <v>0.0005</v>
      </c>
      <c r="X27" s="21">
        <v>-0.0072</v>
      </c>
      <c r="Y27" s="21">
        <v>0.015</v>
      </c>
      <c r="Z27" s="21">
        <v>-0.0084</v>
      </c>
      <c r="AC27" s="7" t="s">
        <v>118</v>
      </c>
      <c r="AD27" s="25" t="s">
        <v>398</v>
      </c>
      <c r="AE27" s="25" t="s">
        <v>399</v>
      </c>
      <c r="AF27" s="25" t="s">
        <v>400</v>
      </c>
      <c r="AG27" s="25" t="s">
        <v>401</v>
      </c>
      <c r="AH27" s="25" t="s">
        <v>402</v>
      </c>
      <c r="AI27" s="26" t="s">
        <v>228</v>
      </c>
      <c r="AJ27" s="25" t="s">
        <v>403</v>
      </c>
      <c r="AK27" s="25" t="s">
        <v>404</v>
      </c>
      <c r="AL27" s="25" t="s">
        <v>405</v>
      </c>
      <c r="AM27" s="25" t="s">
        <v>378</v>
      </c>
      <c r="AN27" s="25" t="s">
        <v>406</v>
      </c>
    </row>
    <row r="28" spans="1:41">
      <c r="A28" s="6" t="s">
        <v>317</v>
      </c>
      <c r="B28" s="30" t="s">
        <v>318</v>
      </c>
      <c r="C28" s="2"/>
      <c r="D28" s="2"/>
      <c r="E28" s="2"/>
      <c r="F28" s="2"/>
      <c r="G28" s="2"/>
      <c r="H28" s="2"/>
      <c r="I28" s="2"/>
      <c r="J28" s="2"/>
      <c r="K28" s="2"/>
      <c r="L28" s="3"/>
      <c r="O28" s="6" t="s">
        <v>317</v>
      </c>
      <c r="P28" s="21">
        <v>0.0197</v>
      </c>
      <c r="Q28" s="21">
        <v>0.0204</v>
      </c>
      <c r="R28" s="21">
        <v>0.0236</v>
      </c>
      <c r="S28" s="21">
        <v>0.0254</v>
      </c>
      <c r="T28" s="21">
        <v>0.0244</v>
      </c>
      <c r="U28" s="22">
        <v>0</v>
      </c>
      <c r="V28" s="21">
        <v>0.0427</v>
      </c>
      <c r="W28" s="21">
        <v>0.0597</v>
      </c>
      <c r="X28" s="21">
        <v>0.0081</v>
      </c>
      <c r="Y28" s="21">
        <v>0.0163</v>
      </c>
      <c r="Z28" s="21">
        <v>0.0122</v>
      </c>
      <c r="AC28" s="6" t="s">
        <v>317</v>
      </c>
      <c r="AD28" s="31">
        <v>0.0814</v>
      </c>
      <c r="AE28" s="32">
        <v>1.4697</v>
      </c>
      <c r="AF28" s="33">
        <v>0.9741</v>
      </c>
      <c r="AG28" s="31">
        <v>0.3195</v>
      </c>
      <c r="AH28" s="31">
        <v>0.1385</v>
      </c>
      <c r="AI28" s="26" t="s">
        <v>319</v>
      </c>
      <c r="AJ28" s="31">
        <v>0.4199</v>
      </c>
      <c r="AK28" s="32">
        <v>2.0379</v>
      </c>
      <c r="AL28" s="31">
        <v>0.076</v>
      </c>
      <c r="AM28" s="31">
        <v>0.4364</v>
      </c>
      <c r="AN28" s="33">
        <v>0.7653</v>
      </c>
    </row>
    <row r="29" spans="1:41">
      <c r="A29" s="12" t="s">
        <v>119</v>
      </c>
      <c r="B29" s="12" t="s">
        <v>119</v>
      </c>
      <c r="C29" s="12" t="s">
        <v>119</v>
      </c>
      <c r="D29" s="12" t="s">
        <v>119</v>
      </c>
      <c r="E29" s="12" t="s">
        <v>119</v>
      </c>
      <c r="F29" s="12" t="s">
        <v>119</v>
      </c>
      <c r="G29" s="12" t="s">
        <v>119</v>
      </c>
      <c r="H29" s="12" t="s">
        <v>119</v>
      </c>
      <c r="I29" s="12" t="s">
        <v>119</v>
      </c>
      <c r="J29" s="12" t="s">
        <v>119</v>
      </c>
      <c r="K29" s="12" t="s">
        <v>119</v>
      </c>
      <c r="L29" s="12" t="s">
        <v>119</v>
      </c>
      <c r="M29" s="12" t="s">
        <v>119</v>
      </c>
      <c r="N29" s="12" t="s">
        <v>119</v>
      </c>
      <c r="O29" s="12" t="s">
        <v>119</v>
      </c>
      <c r="P29" s="12" t="s">
        <v>119</v>
      </c>
      <c r="Q29" s="12" t="s">
        <v>119</v>
      </c>
      <c r="R29" s="12" t="s">
        <v>119</v>
      </c>
      <c r="S29" s="12" t="s">
        <v>119</v>
      </c>
      <c r="T29" s="12" t="s">
        <v>119</v>
      </c>
      <c r="U29" s="12" t="s">
        <v>119</v>
      </c>
      <c r="V29" s="12" t="s">
        <v>119</v>
      </c>
      <c r="W29" s="12" t="s">
        <v>119</v>
      </c>
      <c r="X29" s="12" t="s">
        <v>119</v>
      </c>
      <c r="Y29" s="12" t="s">
        <v>119</v>
      </c>
      <c r="Z29" s="12" t="s">
        <v>119</v>
      </c>
      <c r="AA29" s="12" t="s">
        <v>119</v>
      </c>
      <c r="AB29" s="12" t="s">
        <v>119</v>
      </c>
      <c r="AC29" s="12" t="s">
        <v>119</v>
      </c>
      <c r="AD29" s="12" t="s">
        <v>119</v>
      </c>
      <c r="AE29" s="12" t="s">
        <v>119</v>
      </c>
      <c r="AF29" s="12" t="s">
        <v>119</v>
      </c>
      <c r="AG29" s="12" t="s">
        <v>119</v>
      </c>
      <c r="AH29" s="12" t="s">
        <v>119</v>
      </c>
      <c r="AI29" s="12" t="s">
        <v>119</v>
      </c>
      <c r="AJ29" s="12" t="s">
        <v>119</v>
      </c>
      <c r="AK29" s="12" t="s">
        <v>119</v>
      </c>
      <c r="AL29" s="12" t="s">
        <v>119</v>
      </c>
      <c r="AM29" s="12" t="s">
        <v>119</v>
      </c>
      <c r="AN29" s="12" t="s">
        <v>119</v>
      </c>
      <c r="AO29" s="12" t="s">
        <v>119</v>
      </c>
    </row>
    <row r="30" spans="1:41">
      <c r="A30" s="4" t="s">
        <v>121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3"/>
    </row>
    <row r="31" spans="1:41">
      <c r="A31" s="6" t="s">
        <v>218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3"/>
      <c r="O31" s="5" t="s">
        <v>219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3"/>
      <c r="AC31" s="4" t="s">
        <v>220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3"/>
    </row>
    <row r="32" spans="1:41">
      <c r="A32" s="6" t="s">
        <v>95</v>
      </c>
      <c r="B32" s="6" t="s">
        <v>96</v>
      </c>
      <c r="C32" s="6" t="s">
        <v>97</v>
      </c>
      <c r="D32" s="6" t="s">
        <v>98</v>
      </c>
      <c r="E32" s="6" t="s">
        <v>99</v>
      </c>
      <c r="F32" s="6" t="s">
        <v>100</v>
      </c>
      <c r="G32" s="6" t="s">
        <v>47</v>
      </c>
      <c r="H32" s="6" t="s">
        <v>101</v>
      </c>
      <c r="I32" s="6" t="s">
        <v>102</v>
      </c>
      <c r="J32" s="6" t="s">
        <v>103</v>
      </c>
      <c r="K32" s="6" t="s">
        <v>104</v>
      </c>
      <c r="L32" s="6" t="s">
        <v>105</v>
      </c>
      <c r="O32" s="6" t="s">
        <v>95</v>
      </c>
      <c r="P32" s="6" t="s">
        <v>96</v>
      </c>
      <c r="Q32" s="6" t="s">
        <v>97</v>
      </c>
      <c r="R32" s="6" t="s">
        <v>98</v>
      </c>
      <c r="S32" s="6" t="s">
        <v>99</v>
      </c>
      <c r="T32" s="6" t="s">
        <v>100</v>
      </c>
      <c r="U32" s="6" t="s">
        <v>47</v>
      </c>
      <c r="V32" s="6" t="s">
        <v>101</v>
      </c>
      <c r="W32" s="6" t="s">
        <v>102</v>
      </c>
      <c r="X32" s="6" t="s">
        <v>103</v>
      </c>
      <c r="Y32" s="6" t="s">
        <v>104</v>
      </c>
      <c r="Z32" s="6" t="s">
        <v>105</v>
      </c>
      <c r="AC32" s="6" t="s">
        <v>95</v>
      </c>
      <c r="AD32" s="6" t="s">
        <v>96</v>
      </c>
      <c r="AE32" s="6" t="s">
        <v>97</v>
      </c>
      <c r="AF32" s="6" t="s">
        <v>98</v>
      </c>
      <c r="AG32" s="6" t="s">
        <v>99</v>
      </c>
      <c r="AH32" s="6" t="s">
        <v>100</v>
      </c>
      <c r="AI32" s="6" t="s">
        <v>47</v>
      </c>
      <c r="AJ32" s="6" t="s">
        <v>101</v>
      </c>
      <c r="AK32" s="6" t="s">
        <v>102</v>
      </c>
      <c r="AL32" s="6" t="s">
        <v>103</v>
      </c>
      <c r="AM32" s="6" t="s">
        <v>104</v>
      </c>
      <c r="AN32" s="6" t="s">
        <v>105</v>
      </c>
    </row>
    <row r="33" spans="1:41">
      <c r="A33" s="7" t="s">
        <v>108</v>
      </c>
      <c r="B33" s="19">
        <v>1.8e-6</v>
      </c>
      <c r="C33" s="19">
        <v>1.64e-5</v>
      </c>
      <c r="D33" s="19">
        <v>6.73e-5</v>
      </c>
      <c r="E33" s="19">
        <v>0.0002408</v>
      </c>
      <c r="F33" s="19">
        <v>0.0008229</v>
      </c>
      <c r="G33" s="20">
        <v>0.0048692</v>
      </c>
      <c r="H33" s="19">
        <v>0.00065</v>
      </c>
      <c r="I33" s="19">
        <v>0.0001107</v>
      </c>
      <c r="J33" s="19">
        <v>2.9e-6</v>
      </c>
      <c r="K33" s="19">
        <v>1.1e-6</v>
      </c>
      <c r="L33" s="19">
        <v>1e-6</v>
      </c>
      <c r="O33" s="7" t="s">
        <v>108</v>
      </c>
      <c r="P33" s="21">
        <v>0.0026</v>
      </c>
      <c r="Q33" s="21">
        <v>0.0412</v>
      </c>
      <c r="R33" s="21">
        <v>0.0251</v>
      </c>
      <c r="S33" s="21">
        <v>0.0235</v>
      </c>
      <c r="T33" s="21">
        <v>-0.0154</v>
      </c>
      <c r="U33" s="22">
        <v>0</v>
      </c>
      <c r="V33" s="22">
        <v>0.1388</v>
      </c>
      <c r="W33" s="22">
        <v>0.1246</v>
      </c>
      <c r="X33" s="21">
        <v>0.0006</v>
      </c>
      <c r="Y33" s="21">
        <v>-0.0101</v>
      </c>
      <c r="Z33" s="21">
        <v>-0.01</v>
      </c>
      <c r="AC33" s="7" t="s">
        <v>108</v>
      </c>
      <c r="AD33" s="23" t="s">
        <v>407</v>
      </c>
      <c r="AE33" s="23" t="s">
        <v>408</v>
      </c>
      <c r="AF33" s="24" t="s">
        <v>409</v>
      </c>
      <c r="AG33" s="26" t="s">
        <v>410</v>
      </c>
      <c r="AH33" s="25" t="s">
        <v>411</v>
      </c>
      <c r="AI33" s="26" t="s">
        <v>228</v>
      </c>
      <c r="AJ33" s="24" t="s">
        <v>412</v>
      </c>
      <c r="AK33" s="24" t="s">
        <v>413</v>
      </c>
      <c r="AL33" s="23" t="s">
        <v>414</v>
      </c>
      <c r="AM33" s="23" t="s">
        <v>415</v>
      </c>
      <c r="AN33" s="23" t="s">
        <v>416</v>
      </c>
    </row>
    <row r="34" spans="1:41">
      <c r="A34" s="10" t="s">
        <v>111</v>
      </c>
      <c r="B34" s="28">
        <v>1.27e-5</v>
      </c>
      <c r="C34" s="28">
        <v>5.03e-5</v>
      </c>
      <c r="D34" s="28">
        <v>0.0001558</v>
      </c>
      <c r="E34" s="28">
        <v>0.0004614</v>
      </c>
      <c r="F34" s="28">
        <v>0.0012646</v>
      </c>
      <c r="G34" s="20">
        <v>0.0060633</v>
      </c>
      <c r="H34" s="28">
        <v>0.0011086</v>
      </c>
      <c r="I34" s="28">
        <v>0.0002961</v>
      </c>
      <c r="J34" s="28">
        <v>1.05e-5</v>
      </c>
      <c r="K34" s="28">
        <v>2e-7</v>
      </c>
      <c r="L34" s="28">
        <v>0</v>
      </c>
      <c r="O34" s="10" t="s">
        <v>111</v>
      </c>
      <c r="P34" s="21">
        <v>-0.0657</v>
      </c>
      <c r="Q34" s="21">
        <v>0.037</v>
      </c>
      <c r="R34" s="21">
        <v>0.0564</v>
      </c>
      <c r="S34" s="21">
        <v>0.0775</v>
      </c>
      <c r="T34" s="21">
        <v>0.0499</v>
      </c>
      <c r="U34" s="22">
        <v>0</v>
      </c>
      <c r="V34" s="21">
        <v>-0.0257</v>
      </c>
      <c r="W34" s="21">
        <v>0.038</v>
      </c>
      <c r="X34" s="21">
        <v>0.0165</v>
      </c>
      <c r="Y34" s="21">
        <v>0.0021</v>
      </c>
      <c r="Z34" s="21">
        <v>0.0002</v>
      </c>
      <c r="AC34" s="10" t="s">
        <v>111</v>
      </c>
      <c r="AD34" s="23" t="s">
        <v>417</v>
      </c>
      <c r="AE34" s="24" t="s">
        <v>418</v>
      </c>
      <c r="AF34" s="24" t="s">
        <v>419</v>
      </c>
      <c r="AG34" s="24" t="s">
        <v>420</v>
      </c>
      <c r="AH34" s="25" t="s">
        <v>421</v>
      </c>
      <c r="AI34" s="26" t="s">
        <v>228</v>
      </c>
      <c r="AJ34" s="25" t="s">
        <v>422</v>
      </c>
      <c r="AK34" s="24" t="s">
        <v>423</v>
      </c>
      <c r="AL34" s="23" t="s">
        <v>424</v>
      </c>
      <c r="AM34" s="23" t="s">
        <v>425</v>
      </c>
      <c r="AN34" s="23" t="s">
        <v>329</v>
      </c>
    </row>
    <row r="35" spans="1:41">
      <c r="A35" s="7" t="s">
        <v>112</v>
      </c>
      <c r="B35" s="19">
        <v>1.37e-5</v>
      </c>
      <c r="C35" s="19">
        <v>7.79e-5</v>
      </c>
      <c r="D35" s="19">
        <v>0.000237</v>
      </c>
      <c r="E35" s="19">
        <v>0.0006359</v>
      </c>
      <c r="F35" s="19">
        <v>0.0015767</v>
      </c>
      <c r="G35" s="20">
        <v>0.006864</v>
      </c>
      <c r="H35" s="19">
        <v>0.0014435</v>
      </c>
      <c r="I35" s="19">
        <v>0.0004774</v>
      </c>
      <c r="J35" s="19">
        <v>2.74e-5</v>
      </c>
      <c r="K35" s="19">
        <v>2.5e-6</v>
      </c>
      <c r="L35" s="19">
        <v>0</v>
      </c>
      <c r="O35" s="7" t="s">
        <v>112</v>
      </c>
      <c r="P35" s="21">
        <v>-0.0425</v>
      </c>
      <c r="Q35" s="21">
        <v>0.0528</v>
      </c>
      <c r="R35" s="21">
        <v>0.0085</v>
      </c>
      <c r="S35" s="21">
        <v>0.0572</v>
      </c>
      <c r="T35" s="21">
        <v>0.0271</v>
      </c>
      <c r="U35" s="22">
        <v>0</v>
      </c>
      <c r="V35" s="21">
        <v>0.0153</v>
      </c>
      <c r="W35" s="21">
        <v>0.0449</v>
      </c>
      <c r="X35" s="21">
        <v>0.024</v>
      </c>
      <c r="Y35" s="21">
        <v>-0.0127</v>
      </c>
      <c r="Z35" s="21">
        <v>0.0005</v>
      </c>
      <c r="AC35" s="7" t="s">
        <v>112</v>
      </c>
      <c r="AD35" s="23" t="s">
        <v>426</v>
      </c>
      <c r="AE35" s="24" t="s">
        <v>427</v>
      </c>
      <c r="AF35" s="25" t="s">
        <v>428</v>
      </c>
      <c r="AG35" s="26" t="s">
        <v>429</v>
      </c>
      <c r="AH35" s="25" t="s">
        <v>430</v>
      </c>
      <c r="AI35" s="26" t="s">
        <v>228</v>
      </c>
      <c r="AJ35" s="25" t="s">
        <v>431</v>
      </c>
      <c r="AK35" s="26" t="s">
        <v>432</v>
      </c>
      <c r="AL35" s="23" t="s">
        <v>433</v>
      </c>
      <c r="AM35" s="23" t="s">
        <v>434</v>
      </c>
      <c r="AN35" s="23" t="s">
        <v>329</v>
      </c>
    </row>
    <row r="36" spans="1:41">
      <c r="A36" s="10" t="s">
        <v>113</v>
      </c>
      <c r="B36" s="28">
        <v>0.0008006</v>
      </c>
      <c r="C36" s="28">
        <v>0.001417</v>
      </c>
      <c r="D36" s="28">
        <v>0.0019513</v>
      </c>
      <c r="E36" s="28">
        <v>0.0027661</v>
      </c>
      <c r="F36" s="28">
        <v>0.0040043</v>
      </c>
      <c r="G36" s="20">
        <v>0.0117712</v>
      </c>
      <c r="H36" s="28">
        <v>0.0035951</v>
      </c>
      <c r="I36" s="28">
        <v>0.0021186</v>
      </c>
      <c r="J36" s="28">
        <v>0.0007757</v>
      </c>
      <c r="K36" s="28">
        <v>0.0003286</v>
      </c>
      <c r="L36" s="28">
        <v>0.0001616</v>
      </c>
      <c r="O36" s="10" t="s">
        <v>113</v>
      </c>
      <c r="P36" s="21">
        <v>0.0033</v>
      </c>
      <c r="Q36" s="21">
        <v>0.0045</v>
      </c>
      <c r="R36" s="21">
        <v>0.0143</v>
      </c>
      <c r="S36" s="21">
        <v>-0.048</v>
      </c>
      <c r="T36" s="21">
        <v>-0.0251</v>
      </c>
      <c r="U36" s="22">
        <v>0</v>
      </c>
      <c r="V36" s="21">
        <v>-0.0263</v>
      </c>
      <c r="W36" s="21">
        <v>-0.0054</v>
      </c>
      <c r="X36" s="21">
        <v>-0.0237</v>
      </c>
      <c r="Y36" s="21">
        <v>0.0141</v>
      </c>
      <c r="Z36" s="21">
        <v>0.0028</v>
      </c>
      <c r="AC36" s="10" t="s">
        <v>113</v>
      </c>
      <c r="AD36" s="25" t="s">
        <v>435</v>
      </c>
      <c r="AE36" s="25" t="s">
        <v>436</v>
      </c>
      <c r="AF36" s="25" t="s">
        <v>437</v>
      </c>
      <c r="AG36" s="25" t="s">
        <v>438</v>
      </c>
      <c r="AH36" s="25" t="s">
        <v>439</v>
      </c>
      <c r="AI36" s="26" t="s">
        <v>228</v>
      </c>
      <c r="AJ36" s="25" t="s">
        <v>440</v>
      </c>
      <c r="AK36" s="25" t="s">
        <v>441</v>
      </c>
      <c r="AL36" s="25" t="s">
        <v>442</v>
      </c>
      <c r="AM36" s="25" t="s">
        <v>443</v>
      </c>
      <c r="AN36" s="25" t="s">
        <v>444</v>
      </c>
    </row>
    <row r="37" spans="1:41">
      <c r="A37" s="7" t="s">
        <v>114</v>
      </c>
      <c r="B37" s="19">
        <v>0.0010976</v>
      </c>
      <c r="C37" s="19">
        <v>0.0019777</v>
      </c>
      <c r="D37" s="19">
        <v>0.0027026</v>
      </c>
      <c r="E37" s="19">
        <v>0.0037417</v>
      </c>
      <c r="F37" s="19">
        <v>0.0052062</v>
      </c>
      <c r="G37" s="20">
        <v>0.0144501</v>
      </c>
      <c r="H37" s="19">
        <v>0.0048913</v>
      </c>
      <c r="I37" s="19">
        <v>0.0031963</v>
      </c>
      <c r="J37" s="19">
        <v>0.0013186</v>
      </c>
      <c r="K37" s="19">
        <v>0.0005722</v>
      </c>
      <c r="L37" s="19">
        <v>0.0002714</v>
      </c>
      <c r="O37" s="7" t="s">
        <v>114</v>
      </c>
      <c r="P37" s="21">
        <v>0.0009</v>
      </c>
      <c r="Q37" s="21">
        <v>-0.0114</v>
      </c>
      <c r="R37" s="21">
        <v>0.0249</v>
      </c>
      <c r="S37" s="21">
        <v>0.0028</v>
      </c>
      <c r="T37" s="21">
        <v>0.0021</v>
      </c>
      <c r="U37" s="22">
        <v>0</v>
      </c>
      <c r="V37" s="21">
        <v>-0.0356</v>
      </c>
      <c r="W37" s="21">
        <v>0.0013</v>
      </c>
      <c r="X37" s="21">
        <v>0.0489</v>
      </c>
      <c r="Y37" s="21">
        <v>0.0047</v>
      </c>
      <c r="Z37" s="21">
        <v>-0.0242</v>
      </c>
      <c r="AC37" s="7" t="s">
        <v>114</v>
      </c>
      <c r="AD37" s="25" t="s">
        <v>445</v>
      </c>
      <c r="AE37" s="25" t="s">
        <v>446</v>
      </c>
      <c r="AF37" s="25" t="s">
        <v>447</v>
      </c>
      <c r="AG37" s="25" t="s">
        <v>448</v>
      </c>
      <c r="AH37" s="25" t="s">
        <v>290</v>
      </c>
      <c r="AI37" s="26" t="s">
        <v>228</v>
      </c>
      <c r="AJ37" s="25" t="s">
        <v>449</v>
      </c>
      <c r="AK37" s="25" t="s">
        <v>450</v>
      </c>
      <c r="AL37" s="25" t="s">
        <v>451</v>
      </c>
      <c r="AM37" s="25" t="s">
        <v>452</v>
      </c>
      <c r="AN37" s="26" t="s">
        <v>453</v>
      </c>
    </row>
    <row r="38" spans="1:41">
      <c r="A38" s="10" t="s">
        <v>115</v>
      </c>
      <c r="B38" s="28">
        <v>0.0013423</v>
      </c>
      <c r="C38" s="28">
        <v>0.0024093</v>
      </c>
      <c r="D38" s="28">
        <v>0.0032683</v>
      </c>
      <c r="E38" s="28">
        <v>0.0044465</v>
      </c>
      <c r="F38" s="28">
        <v>0.0060289</v>
      </c>
      <c r="G38" s="20">
        <v>0.0162364</v>
      </c>
      <c r="H38" s="28">
        <v>0.005766</v>
      </c>
      <c r="I38" s="28">
        <v>0.0039702</v>
      </c>
      <c r="J38" s="28">
        <v>0.0017907</v>
      </c>
      <c r="K38" s="28">
        <v>0.0007968</v>
      </c>
      <c r="L38" s="28">
        <v>0.0003734</v>
      </c>
      <c r="O38" s="10" t="s">
        <v>115</v>
      </c>
      <c r="P38" s="21">
        <v>-0.0284</v>
      </c>
      <c r="Q38" s="21">
        <v>0.0296</v>
      </c>
      <c r="R38" s="21">
        <v>0.0134</v>
      </c>
      <c r="S38" s="21">
        <v>-0.0183</v>
      </c>
      <c r="T38" s="21">
        <v>0.0221</v>
      </c>
      <c r="U38" s="22">
        <v>0</v>
      </c>
      <c r="V38" s="21">
        <v>-0.0194</v>
      </c>
      <c r="W38" s="21">
        <v>0.003</v>
      </c>
      <c r="X38" s="21">
        <v>-0.0306</v>
      </c>
      <c r="Y38" s="21">
        <v>0.0318</v>
      </c>
      <c r="Z38" s="21">
        <v>-0.0054</v>
      </c>
      <c r="AC38" s="10" t="s">
        <v>115</v>
      </c>
      <c r="AD38" s="25" t="s">
        <v>454</v>
      </c>
      <c r="AE38" s="25" t="s">
        <v>455</v>
      </c>
      <c r="AF38" s="25" t="s">
        <v>456</v>
      </c>
      <c r="AG38" s="25" t="s">
        <v>457</v>
      </c>
      <c r="AH38" s="25" t="s">
        <v>458</v>
      </c>
      <c r="AI38" s="26" t="s">
        <v>228</v>
      </c>
      <c r="AJ38" s="25" t="s">
        <v>459</v>
      </c>
      <c r="AK38" s="25" t="s">
        <v>448</v>
      </c>
      <c r="AL38" s="25" t="s">
        <v>460</v>
      </c>
      <c r="AM38" s="25" t="s">
        <v>461</v>
      </c>
      <c r="AN38" s="25" t="s">
        <v>462</v>
      </c>
    </row>
    <row r="39" spans="1:41">
      <c r="A39" s="7" t="s">
        <v>116</v>
      </c>
      <c r="B39" s="19">
        <v>0.002043</v>
      </c>
      <c r="C39" s="19">
        <v>0.0028945</v>
      </c>
      <c r="D39" s="19">
        <v>0.0035571</v>
      </c>
      <c r="E39" s="19">
        <v>0.0044694</v>
      </c>
      <c r="F39" s="19">
        <v>0.0057904</v>
      </c>
      <c r="G39" s="20">
        <v>0.0153914</v>
      </c>
      <c r="H39" s="19">
        <v>0.005343</v>
      </c>
      <c r="I39" s="19">
        <v>0.0037183</v>
      </c>
      <c r="J39" s="19">
        <v>0.0019919</v>
      </c>
      <c r="K39" s="19">
        <v>0.0012198</v>
      </c>
      <c r="L39" s="19">
        <v>0.0008217</v>
      </c>
      <c r="O39" s="7" t="s">
        <v>116</v>
      </c>
      <c r="P39" s="21">
        <v>-0.0047</v>
      </c>
      <c r="Q39" s="21">
        <v>0.0169</v>
      </c>
      <c r="R39" s="21">
        <v>-0.0388</v>
      </c>
      <c r="S39" s="21">
        <v>0.0249</v>
      </c>
      <c r="T39" s="21">
        <v>0.0081</v>
      </c>
      <c r="U39" s="22">
        <v>0</v>
      </c>
      <c r="V39" s="21">
        <v>-0.0265</v>
      </c>
      <c r="W39" s="21">
        <v>0.0295</v>
      </c>
      <c r="X39" s="21">
        <v>-0.026</v>
      </c>
      <c r="Y39" s="21">
        <v>-0.0045</v>
      </c>
      <c r="Z39" s="21">
        <v>0.0146</v>
      </c>
      <c r="AC39" s="7" t="s">
        <v>116</v>
      </c>
      <c r="AD39" s="25" t="s">
        <v>463</v>
      </c>
      <c r="AE39" s="25" t="s">
        <v>464</v>
      </c>
      <c r="AF39" s="25" t="s">
        <v>465</v>
      </c>
      <c r="AG39" s="25" t="s">
        <v>466</v>
      </c>
      <c r="AH39" s="25" t="s">
        <v>467</v>
      </c>
      <c r="AI39" s="26" t="s">
        <v>228</v>
      </c>
      <c r="AJ39" s="25" t="s">
        <v>468</v>
      </c>
      <c r="AK39" s="25" t="s">
        <v>469</v>
      </c>
      <c r="AL39" s="25" t="s">
        <v>470</v>
      </c>
      <c r="AM39" s="25" t="s">
        <v>398</v>
      </c>
      <c r="AN39" s="25" t="s">
        <v>471</v>
      </c>
    </row>
    <row r="40" spans="1:41">
      <c r="A40" s="10" t="s">
        <v>117</v>
      </c>
      <c r="B40" s="28">
        <v>0.0028576</v>
      </c>
      <c r="C40" s="28">
        <v>0.0041445</v>
      </c>
      <c r="D40" s="28">
        <v>0.0050806</v>
      </c>
      <c r="E40" s="28">
        <v>0.0063064</v>
      </c>
      <c r="F40" s="28">
        <v>0.0079041</v>
      </c>
      <c r="G40" s="20">
        <v>0.019933</v>
      </c>
      <c r="H40" s="28">
        <v>0.0075542</v>
      </c>
      <c r="I40" s="28">
        <v>0.0056735</v>
      </c>
      <c r="J40" s="28">
        <v>0.0032324</v>
      </c>
      <c r="K40" s="28">
        <v>0.0019537</v>
      </c>
      <c r="L40" s="28">
        <v>0.0012477</v>
      </c>
      <c r="O40" s="10" t="s">
        <v>117</v>
      </c>
      <c r="P40" s="21">
        <v>-0.0124</v>
      </c>
      <c r="Q40" s="21">
        <v>-0.0056</v>
      </c>
      <c r="R40" s="21">
        <v>0.011</v>
      </c>
      <c r="S40" s="21">
        <v>-0.0012</v>
      </c>
      <c r="T40" s="21">
        <v>0.009</v>
      </c>
      <c r="U40" s="22">
        <v>0</v>
      </c>
      <c r="V40" s="21">
        <v>-0.0124</v>
      </c>
      <c r="W40" s="21">
        <v>-0.032</v>
      </c>
      <c r="X40" s="21">
        <v>0.0217</v>
      </c>
      <c r="Y40" s="21">
        <v>-0.0471</v>
      </c>
      <c r="Z40" s="21">
        <v>0.0351</v>
      </c>
      <c r="AC40" s="10" t="s">
        <v>117</v>
      </c>
      <c r="AD40" s="25" t="s">
        <v>472</v>
      </c>
      <c r="AE40" s="25" t="s">
        <v>473</v>
      </c>
      <c r="AF40" s="25" t="s">
        <v>474</v>
      </c>
      <c r="AG40" s="25" t="s">
        <v>475</v>
      </c>
      <c r="AH40" s="25" t="s">
        <v>476</v>
      </c>
      <c r="AI40" s="26" t="s">
        <v>228</v>
      </c>
      <c r="AJ40" s="25" t="s">
        <v>477</v>
      </c>
      <c r="AK40" s="25" t="s">
        <v>478</v>
      </c>
      <c r="AL40" s="25" t="s">
        <v>479</v>
      </c>
      <c r="AM40" s="25" t="s">
        <v>480</v>
      </c>
      <c r="AN40" s="25" t="s">
        <v>481</v>
      </c>
    </row>
    <row r="41" spans="1:41">
      <c r="A41" s="7" t="s">
        <v>118</v>
      </c>
      <c r="B41" s="19">
        <v>0.0033888</v>
      </c>
      <c r="C41" s="19">
        <v>0.0049204</v>
      </c>
      <c r="D41" s="19">
        <v>0.0060004</v>
      </c>
      <c r="E41" s="19">
        <v>0.0073673</v>
      </c>
      <c r="F41" s="19">
        <v>0.0090908</v>
      </c>
      <c r="G41" s="20">
        <v>0.0224549</v>
      </c>
      <c r="H41" s="19">
        <v>0.0088159</v>
      </c>
      <c r="I41" s="19">
        <v>0.0068626</v>
      </c>
      <c r="J41" s="19">
        <v>0.0041437</v>
      </c>
      <c r="K41" s="19">
        <v>0.0025681</v>
      </c>
      <c r="L41" s="19">
        <v>0.0016639</v>
      </c>
      <c r="O41" s="7" t="s">
        <v>118</v>
      </c>
      <c r="P41" s="21">
        <v>0.0065</v>
      </c>
      <c r="Q41" s="21">
        <v>-0.0113</v>
      </c>
      <c r="R41" s="21">
        <v>-0.0065</v>
      </c>
      <c r="S41" s="21">
        <v>0.0097</v>
      </c>
      <c r="T41" s="21">
        <v>-0.0002</v>
      </c>
      <c r="U41" s="22">
        <v>0</v>
      </c>
      <c r="V41" s="21">
        <v>0.0071</v>
      </c>
      <c r="W41" s="21">
        <v>-0.0192</v>
      </c>
      <c r="X41" s="21">
        <v>-0.005</v>
      </c>
      <c r="Y41" s="21">
        <v>0.0201</v>
      </c>
      <c r="Z41" s="21">
        <v>-0.01</v>
      </c>
      <c r="AC41" s="7" t="s">
        <v>118</v>
      </c>
      <c r="AD41" s="25" t="s">
        <v>482</v>
      </c>
      <c r="AE41" s="25" t="s">
        <v>463</v>
      </c>
      <c r="AF41" s="25" t="s">
        <v>483</v>
      </c>
      <c r="AG41" s="25" t="s">
        <v>484</v>
      </c>
      <c r="AH41" s="25" t="s">
        <v>485</v>
      </c>
      <c r="AI41" s="26" t="s">
        <v>228</v>
      </c>
      <c r="AJ41" s="25" t="s">
        <v>486</v>
      </c>
      <c r="AK41" s="25" t="s">
        <v>487</v>
      </c>
      <c r="AL41" s="25" t="s">
        <v>488</v>
      </c>
      <c r="AM41" s="25" t="s">
        <v>299</v>
      </c>
      <c r="AN41" s="25" t="s">
        <v>489</v>
      </c>
    </row>
    <row r="42" spans="1:41">
      <c r="A42" s="6" t="s">
        <v>317</v>
      </c>
      <c r="B42" s="30" t="s">
        <v>318</v>
      </c>
      <c r="C42" s="2"/>
      <c r="D42" s="2"/>
      <c r="E42" s="2"/>
      <c r="F42" s="2"/>
      <c r="G42" s="2"/>
      <c r="H42" s="2"/>
      <c r="I42" s="2"/>
      <c r="J42" s="2"/>
      <c r="K42" s="2"/>
      <c r="L42" s="3"/>
      <c r="O42" s="6" t="s">
        <v>317</v>
      </c>
      <c r="P42" s="21">
        <v>0.0282</v>
      </c>
      <c r="Q42" s="21">
        <v>0.0285</v>
      </c>
      <c r="R42" s="21">
        <v>0.027</v>
      </c>
      <c r="S42" s="21">
        <v>0.0383</v>
      </c>
      <c r="T42" s="21">
        <v>0.0229</v>
      </c>
      <c r="U42" s="22">
        <v>0</v>
      </c>
      <c r="V42" s="21">
        <v>0.051</v>
      </c>
      <c r="W42" s="21">
        <v>0.0486</v>
      </c>
      <c r="X42" s="21">
        <v>0.0256</v>
      </c>
      <c r="Y42" s="21">
        <v>0.0215</v>
      </c>
      <c r="Z42" s="21">
        <v>0.0159</v>
      </c>
      <c r="AC42" s="6" t="s">
        <v>317</v>
      </c>
      <c r="AD42" s="31">
        <v>0.0907</v>
      </c>
      <c r="AE42" s="32">
        <v>3.5332</v>
      </c>
      <c r="AF42" s="32">
        <v>1.737</v>
      </c>
      <c r="AG42" s="33">
        <v>0.7162</v>
      </c>
      <c r="AH42" s="31">
        <v>0.1584</v>
      </c>
      <c r="AI42" s="26" t="s">
        <v>319</v>
      </c>
      <c r="AJ42" s="33">
        <v>0.7181</v>
      </c>
      <c r="AK42" s="32">
        <v>3.7894</v>
      </c>
      <c r="AL42" s="31">
        <v>0.2168</v>
      </c>
      <c r="AM42" s="31">
        <v>0.263</v>
      </c>
      <c r="AN42" s="31">
        <v>0.4</v>
      </c>
    </row>
    <row r="43" spans="1:41">
      <c r="A43" s="12" t="s">
        <v>119</v>
      </c>
      <c r="B43" s="12" t="s">
        <v>119</v>
      </c>
      <c r="C43" s="12" t="s">
        <v>119</v>
      </c>
      <c r="D43" s="12" t="s">
        <v>119</v>
      </c>
      <c r="E43" s="12" t="s">
        <v>119</v>
      </c>
      <c r="F43" s="12" t="s">
        <v>119</v>
      </c>
      <c r="G43" s="12" t="s">
        <v>119</v>
      </c>
      <c r="H43" s="12" t="s">
        <v>119</v>
      </c>
      <c r="I43" s="12" t="s">
        <v>119</v>
      </c>
      <c r="J43" s="12" t="s">
        <v>119</v>
      </c>
      <c r="K43" s="12" t="s">
        <v>119</v>
      </c>
      <c r="L43" s="12" t="s">
        <v>119</v>
      </c>
      <c r="M43" s="12" t="s">
        <v>119</v>
      </c>
      <c r="N43" s="12" t="s">
        <v>119</v>
      </c>
      <c r="O43" s="12" t="s">
        <v>119</v>
      </c>
      <c r="P43" s="12" t="s">
        <v>119</v>
      </c>
      <c r="Q43" s="12" t="s">
        <v>119</v>
      </c>
      <c r="R43" s="12" t="s">
        <v>119</v>
      </c>
      <c r="S43" s="12" t="s">
        <v>119</v>
      </c>
      <c r="T43" s="12" t="s">
        <v>119</v>
      </c>
      <c r="U43" s="12" t="s">
        <v>119</v>
      </c>
      <c r="V43" s="12" t="s">
        <v>119</v>
      </c>
      <c r="W43" s="12" t="s">
        <v>119</v>
      </c>
      <c r="X43" s="12" t="s">
        <v>119</v>
      </c>
      <c r="Y43" s="12" t="s">
        <v>119</v>
      </c>
      <c r="Z43" s="12" t="s">
        <v>119</v>
      </c>
      <c r="AA43" s="12" t="s">
        <v>119</v>
      </c>
      <c r="AB43" s="12" t="s">
        <v>119</v>
      </c>
      <c r="AC43" s="12" t="s">
        <v>119</v>
      </c>
      <c r="AD43" s="12" t="s">
        <v>119</v>
      </c>
      <c r="AE43" s="12" t="s">
        <v>119</v>
      </c>
      <c r="AF43" s="12" t="s">
        <v>119</v>
      </c>
      <c r="AG43" s="12" t="s">
        <v>119</v>
      </c>
      <c r="AH43" s="12" t="s">
        <v>119</v>
      </c>
      <c r="AI43" s="12" t="s">
        <v>119</v>
      </c>
      <c r="AJ43" s="12" t="s">
        <v>119</v>
      </c>
      <c r="AK43" s="12" t="s">
        <v>119</v>
      </c>
      <c r="AL43" s="12" t="s">
        <v>119</v>
      </c>
      <c r="AM43" s="12" t="s">
        <v>119</v>
      </c>
      <c r="AN43" s="12" t="s">
        <v>119</v>
      </c>
      <c r="AO43" s="12" t="s">
        <v>119</v>
      </c>
    </row>
    <row r="44" spans="1:41">
      <c r="A44" s="4" t="s">
        <v>122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3"/>
    </row>
    <row r="45" spans="1:41">
      <c r="A45" s="6" t="s">
        <v>218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3"/>
      <c r="O45" s="5" t="s">
        <v>219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3"/>
      <c r="AC45" s="4" t="s">
        <v>220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3"/>
    </row>
    <row r="46" spans="1:41">
      <c r="A46" s="6" t="s">
        <v>95</v>
      </c>
      <c r="B46" s="6" t="s">
        <v>96</v>
      </c>
      <c r="C46" s="6" t="s">
        <v>97</v>
      </c>
      <c r="D46" s="6" t="s">
        <v>98</v>
      </c>
      <c r="E46" s="6" t="s">
        <v>99</v>
      </c>
      <c r="F46" s="6" t="s">
        <v>100</v>
      </c>
      <c r="G46" s="6" t="s">
        <v>47</v>
      </c>
      <c r="H46" s="6" t="s">
        <v>101</v>
      </c>
      <c r="I46" s="6" t="s">
        <v>102</v>
      </c>
      <c r="J46" s="6" t="s">
        <v>103</v>
      </c>
      <c r="K46" s="6" t="s">
        <v>104</v>
      </c>
      <c r="L46" s="6" t="s">
        <v>105</v>
      </c>
      <c r="O46" s="6" t="s">
        <v>95</v>
      </c>
      <c r="P46" s="6" t="s">
        <v>96</v>
      </c>
      <c r="Q46" s="6" t="s">
        <v>97</v>
      </c>
      <c r="R46" s="6" t="s">
        <v>98</v>
      </c>
      <c r="S46" s="6" t="s">
        <v>99</v>
      </c>
      <c r="T46" s="6" t="s">
        <v>100</v>
      </c>
      <c r="U46" s="6" t="s">
        <v>47</v>
      </c>
      <c r="V46" s="6" t="s">
        <v>101</v>
      </c>
      <c r="W46" s="6" t="s">
        <v>102</v>
      </c>
      <c r="X46" s="6" t="s">
        <v>103</v>
      </c>
      <c r="Y46" s="6" t="s">
        <v>104</v>
      </c>
      <c r="Z46" s="6" t="s">
        <v>105</v>
      </c>
      <c r="AC46" s="6" t="s">
        <v>95</v>
      </c>
      <c r="AD46" s="6" t="s">
        <v>96</v>
      </c>
      <c r="AE46" s="6" t="s">
        <v>97</v>
      </c>
      <c r="AF46" s="6" t="s">
        <v>98</v>
      </c>
      <c r="AG46" s="6" t="s">
        <v>99</v>
      </c>
      <c r="AH46" s="6" t="s">
        <v>100</v>
      </c>
      <c r="AI46" s="6" t="s">
        <v>47</v>
      </c>
      <c r="AJ46" s="6" t="s">
        <v>101</v>
      </c>
      <c r="AK46" s="6" t="s">
        <v>102</v>
      </c>
      <c r="AL46" s="6" t="s">
        <v>103</v>
      </c>
      <c r="AM46" s="6" t="s">
        <v>104</v>
      </c>
      <c r="AN46" s="6" t="s">
        <v>105</v>
      </c>
    </row>
    <row r="47" spans="1:41">
      <c r="A47" s="7" t="s">
        <v>108</v>
      </c>
      <c r="B47" s="19">
        <v>2.4e-6</v>
      </c>
      <c r="C47" s="19">
        <v>2.12e-5</v>
      </c>
      <c r="D47" s="19">
        <v>7.05e-5</v>
      </c>
      <c r="E47" s="19">
        <v>0.000245</v>
      </c>
      <c r="F47" s="19">
        <v>0.0008343</v>
      </c>
      <c r="G47" s="20">
        <v>0.0049085</v>
      </c>
      <c r="H47" s="19">
        <v>0.0006677</v>
      </c>
      <c r="I47" s="19">
        <v>0.0001171</v>
      </c>
      <c r="J47" s="19">
        <v>2.6e-6</v>
      </c>
      <c r="K47" s="19">
        <v>2.3e-6</v>
      </c>
      <c r="L47" s="19">
        <v>0</v>
      </c>
      <c r="O47" s="7" t="s">
        <v>108</v>
      </c>
      <c r="P47" s="21">
        <v>-0.0019</v>
      </c>
      <c r="Q47" s="21">
        <v>0.0043</v>
      </c>
      <c r="R47" s="21">
        <v>0.0223</v>
      </c>
      <c r="S47" s="21">
        <v>0.0534</v>
      </c>
      <c r="T47" s="21">
        <v>0.0164</v>
      </c>
      <c r="U47" s="22">
        <v>0</v>
      </c>
      <c r="V47" s="22">
        <v>0.1004</v>
      </c>
      <c r="W47" s="22">
        <v>0.111</v>
      </c>
      <c r="X47" s="21">
        <v>0.0062</v>
      </c>
      <c r="Y47" s="21">
        <v>-0.0219</v>
      </c>
      <c r="Z47" s="21">
        <v>0.0001</v>
      </c>
      <c r="AC47" s="7" t="s">
        <v>108</v>
      </c>
      <c r="AD47" s="23" t="s">
        <v>490</v>
      </c>
      <c r="AE47" s="23" t="s">
        <v>491</v>
      </c>
      <c r="AF47" s="24" t="s">
        <v>492</v>
      </c>
      <c r="AG47" s="24" t="s">
        <v>493</v>
      </c>
      <c r="AH47" s="25" t="s">
        <v>494</v>
      </c>
      <c r="AI47" s="26" t="s">
        <v>228</v>
      </c>
      <c r="AJ47" s="24" t="s">
        <v>495</v>
      </c>
      <c r="AK47" s="24" t="s">
        <v>496</v>
      </c>
      <c r="AL47" s="23" t="s">
        <v>497</v>
      </c>
      <c r="AM47" s="23" t="s">
        <v>498</v>
      </c>
      <c r="AN47" s="23" t="s">
        <v>329</v>
      </c>
    </row>
    <row r="48" spans="1:41">
      <c r="A48" s="10" t="s">
        <v>111</v>
      </c>
      <c r="B48" s="28">
        <v>6.3e-6</v>
      </c>
      <c r="C48" s="28">
        <v>5.06e-5</v>
      </c>
      <c r="D48" s="28">
        <v>0.0001575</v>
      </c>
      <c r="E48" s="28">
        <v>0.0004712</v>
      </c>
      <c r="F48" s="28">
        <v>0.0012812</v>
      </c>
      <c r="G48" s="20">
        <v>0.0061054</v>
      </c>
      <c r="H48" s="28">
        <v>0.0011255</v>
      </c>
      <c r="I48" s="28">
        <v>0.0003054</v>
      </c>
      <c r="J48" s="28">
        <v>1.29e-5</v>
      </c>
      <c r="K48" s="28">
        <v>7e-7</v>
      </c>
      <c r="L48" s="28">
        <v>0</v>
      </c>
      <c r="O48" s="10" t="s">
        <v>111</v>
      </c>
      <c r="P48" s="21">
        <v>-0.0083</v>
      </c>
      <c r="Q48" s="21">
        <v>0.0131</v>
      </c>
      <c r="R48" s="21">
        <v>0.0177</v>
      </c>
      <c r="S48" s="21">
        <v>-0.009</v>
      </c>
      <c r="T48" s="21">
        <v>-0.0092</v>
      </c>
      <c r="U48" s="22">
        <v>0</v>
      </c>
      <c r="V48" s="21">
        <v>-0.0013</v>
      </c>
      <c r="W48" s="21">
        <v>0.0315</v>
      </c>
      <c r="X48" s="21">
        <v>-0.0061</v>
      </c>
      <c r="Y48" s="21">
        <v>-0.0032</v>
      </c>
      <c r="Z48" s="21">
        <v>0.0001</v>
      </c>
      <c r="AC48" s="10" t="s">
        <v>111</v>
      </c>
      <c r="AD48" s="23" t="s">
        <v>499</v>
      </c>
      <c r="AE48" s="24" t="s">
        <v>500</v>
      </c>
      <c r="AF48" s="24" t="s">
        <v>501</v>
      </c>
      <c r="AG48" s="25" t="s">
        <v>502</v>
      </c>
      <c r="AH48" s="25" t="s">
        <v>503</v>
      </c>
      <c r="AI48" s="26" t="s">
        <v>228</v>
      </c>
      <c r="AJ48" s="25" t="s">
        <v>504</v>
      </c>
      <c r="AK48" s="24" t="s">
        <v>505</v>
      </c>
      <c r="AL48" s="23" t="s">
        <v>506</v>
      </c>
      <c r="AM48" s="23" t="s">
        <v>507</v>
      </c>
      <c r="AN48" s="23" t="s">
        <v>329</v>
      </c>
    </row>
    <row r="49" spans="1:41">
      <c r="A49" s="7" t="s">
        <v>112</v>
      </c>
      <c r="B49" s="19">
        <v>9.2e-6</v>
      </c>
      <c r="C49" s="19">
        <v>8.44e-5</v>
      </c>
      <c r="D49" s="19">
        <v>0.0002424</v>
      </c>
      <c r="E49" s="19">
        <v>0.0006484</v>
      </c>
      <c r="F49" s="19">
        <v>0.0015988</v>
      </c>
      <c r="G49" s="20">
        <v>0.0068997</v>
      </c>
      <c r="H49" s="19">
        <v>0.0014576</v>
      </c>
      <c r="I49" s="19">
        <v>0.0004915</v>
      </c>
      <c r="J49" s="19">
        <v>3.16e-5</v>
      </c>
      <c r="K49" s="19">
        <v>2.4e-6</v>
      </c>
      <c r="L49" s="19">
        <v>1.3e-6</v>
      </c>
      <c r="O49" s="7" t="s">
        <v>112</v>
      </c>
      <c r="P49" s="21">
        <v>0.011</v>
      </c>
      <c r="Q49" s="21">
        <v>0.0214</v>
      </c>
      <c r="R49" s="21">
        <v>0.013</v>
      </c>
      <c r="S49" s="21">
        <v>0.0238</v>
      </c>
      <c r="T49" s="21">
        <v>-0.0614</v>
      </c>
      <c r="U49" s="22">
        <v>0</v>
      </c>
      <c r="V49" s="21">
        <v>0.0767</v>
      </c>
      <c r="W49" s="21">
        <v>0.0724</v>
      </c>
      <c r="X49" s="21">
        <v>0.0244</v>
      </c>
      <c r="Y49" s="21">
        <v>-0.0073</v>
      </c>
      <c r="Z49" s="21">
        <v>-0.0122</v>
      </c>
      <c r="AC49" s="7" t="s">
        <v>112</v>
      </c>
      <c r="AD49" s="23" t="s">
        <v>508</v>
      </c>
      <c r="AE49" s="24" t="s">
        <v>509</v>
      </c>
      <c r="AF49" s="26" t="s">
        <v>510</v>
      </c>
      <c r="AG49" s="25" t="s">
        <v>511</v>
      </c>
      <c r="AH49" s="25" t="s">
        <v>512</v>
      </c>
      <c r="AI49" s="26" t="s">
        <v>228</v>
      </c>
      <c r="AJ49" s="26" t="s">
        <v>513</v>
      </c>
      <c r="AK49" s="24" t="s">
        <v>514</v>
      </c>
      <c r="AL49" s="23" t="s">
        <v>515</v>
      </c>
      <c r="AM49" s="23" t="s">
        <v>516</v>
      </c>
      <c r="AN49" s="23" t="s">
        <v>517</v>
      </c>
    </row>
    <row r="50" spans="1:41">
      <c r="A50" s="10" t="s">
        <v>113</v>
      </c>
      <c r="B50" s="28">
        <v>0.0008159</v>
      </c>
      <c r="C50" s="28">
        <v>0.0014392</v>
      </c>
      <c r="D50" s="28">
        <v>0.0019824</v>
      </c>
      <c r="E50" s="28">
        <v>0.0027964</v>
      </c>
      <c r="F50" s="28">
        <v>0.0040469</v>
      </c>
      <c r="G50" s="20">
        <v>0.0118641</v>
      </c>
      <c r="H50" s="28">
        <v>0.0036344</v>
      </c>
      <c r="I50" s="28">
        <v>0.0021524</v>
      </c>
      <c r="J50" s="28">
        <v>0.0007917</v>
      </c>
      <c r="K50" s="28">
        <v>0.0003374</v>
      </c>
      <c r="L50" s="28">
        <v>0.0001647</v>
      </c>
      <c r="O50" s="10" t="s">
        <v>113</v>
      </c>
      <c r="P50" s="21">
        <v>-0.0074</v>
      </c>
      <c r="Q50" s="21">
        <v>0.0112</v>
      </c>
      <c r="R50" s="21">
        <v>-0.0067</v>
      </c>
      <c r="S50" s="21">
        <v>0.0107</v>
      </c>
      <c r="T50" s="21">
        <v>-0.0209</v>
      </c>
      <c r="U50" s="22">
        <v>0</v>
      </c>
      <c r="V50" s="21">
        <v>0.0119</v>
      </c>
      <c r="W50" s="21">
        <v>-0.0026</v>
      </c>
      <c r="X50" s="21">
        <v>-0.0201</v>
      </c>
      <c r="Y50" s="21">
        <v>0.0016</v>
      </c>
      <c r="Z50" s="21">
        <v>0.0095</v>
      </c>
      <c r="AC50" s="10" t="s">
        <v>113</v>
      </c>
      <c r="AD50" s="25" t="s">
        <v>518</v>
      </c>
      <c r="AE50" s="25" t="s">
        <v>519</v>
      </c>
      <c r="AF50" s="25" t="s">
        <v>459</v>
      </c>
      <c r="AG50" s="25" t="s">
        <v>520</v>
      </c>
      <c r="AH50" s="25" t="s">
        <v>521</v>
      </c>
      <c r="AI50" s="26" t="s">
        <v>228</v>
      </c>
      <c r="AJ50" s="25" t="s">
        <v>522</v>
      </c>
      <c r="AK50" s="25" t="s">
        <v>488</v>
      </c>
      <c r="AL50" s="25" t="s">
        <v>523</v>
      </c>
      <c r="AM50" s="25" t="s">
        <v>524</v>
      </c>
      <c r="AN50" s="26" t="s">
        <v>525</v>
      </c>
    </row>
    <row r="51" spans="1:41">
      <c r="A51" s="7" t="s">
        <v>114</v>
      </c>
      <c r="B51" s="19">
        <v>0.0011153</v>
      </c>
      <c r="C51" s="19">
        <v>0.0020038</v>
      </c>
      <c r="D51" s="19">
        <v>0.0027368</v>
      </c>
      <c r="E51" s="19">
        <v>0.0037798</v>
      </c>
      <c r="F51" s="19">
        <v>0.0052504</v>
      </c>
      <c r="G51" s="20">
        <v>0.0145377</v>
      </c>
      <c r="H51" s="19">
        <v>0.0049275</v>
      </c>
      <c r="I51" s="19">
        <v>0.003231</v>
      </c>
      <c r="J51" s="19">
        <v>0.0013432</v>
      </c>
      <c r="K51" s="19">
        <v>0.000583</v>
      </c>
      <c r="L51" s="19">
        <v>0.0002766</v>
      </c>
      <c r="O51" s="7" t="s">
        <v>114</v>
      </c>
      <c r="P51" s="21">
        <v>0.0063</v>
      </c>
      <c r="Q51" s="21">
        <v>-0.0002</v>
      </c>
      <c r="R51" s="21">
        <v>0.0094</v>
      </c>
      <c r="S51" s="21">
        <v>0.0023</v>
      </c>
      <c r="T51" s="21">
        <v>-0.017</v>
      </c>
      <c r="U51" s="22">
        <v>0</v>
      </c>
      <c r="V51" s="21">
        <v>0.0168</v>
      </c>
      <c r="W51" s="21">
        <v>0.0106</v>
      </c>
      <c r="X51" s="21">
        <v>0.0146</v>
      </c>
      <c r="Y51" s="21">
        <v>0.0078</v>
      </c>
      <c r="Z51" s="21">
        <v>-0.018</v>
      </c>
      <c r="AC51" s="7" t="s">
        <v>114</v>
      </c>
      <c r="AD51" s="25" t="s">
        <v>526</v>
      </c>
      <c r="AE51" s="25" t="s">
        <v>527</v>
      </c>
      <c r="AF51" s="25" t="s">
        <v>528</v>
      </c>
      <c r="AG51" s="25" t="s">
        <v>529</v>
      </c>
      <c r="AH51" s="25" t="s">
        <v>530</v>
      </c>
      <c r="AI51" s="26" t="s">
        <v>228</v>
      </c>
      <c r="AJ51" s="25" t="s">
        <v>531</v>
      </c>
      <c r="AK51" s="25" t="s">
        <v>522</v>
      </c>
      <c r="AL51" s="25" t="s">
        <v>532</v>
      </c>
      <c r="AM51" s="25" t="s">
        <v>533</v>
      </c>
      <c r="AN51" s="26" t="s">
        <v>534</v>
      </c>
    </row>
    <row r="52" spans="1:41">
      <c r="A52" s="10" t="s">
        <v>115</v>
      </c>
      <c r="B52" s="28">
        <v>0.001362</v>
      </c>
      <c r="C52" s="28">
        <v>0.0024413</v>
      </c>
      <c r="D52" s="28">
        <v>0.0033037</v>
      </c>
      <c r="E52" s="28">
        <v>0.0044814</v>
      </c>
      <c r="F52" s="28">
        <v>0.0060734</v>
      </c>
      <c r="G52" s="20">
        <v>0.0163242</v>
      </c>
      <c r="H52" s="28">
        <v>0.0058082</v>
      </c>
      <c r="I52" s="28">
        <v>0.004009</v>
      </c>
      <c r="J52" s="28">
        <v>0.0018177</v>
      </c>
      <c r="K52" s="28">
        <v>0.0008213</v>
      </c>
      <c r="L52" s="28">
        <v>0.0003834</v>
      </c>
      <c r="O52" s="10" t="s">
        <v>115</v>
      </c>
      <c r="P52" s="21">
        <v>-0.0106</v>
      </c>
      <c r="Q52" s="21">
        <v>0.0068</v>
      </c>
      <c r="R52" s="21">
        <v>0.002</v>
      </c>
      <c r="S52" s="21">
        <v>0.0187</v>
      </c>
      <c r="T52" s="21">
        <v>-0.0021</v>
      </c>
      <c r="U52" s="22">
        <v>0</v>
      </c>
      <c r="V52" s="21">
        <v>-0.0073</v>
      </c>
      <c r="W52" s="21">
        <v>0.0201</v>
      </c>
      <c r="X52" s="21">
        <v>0.0004</v>
      </c>
      <c r="Y52" s="21">
        <v>-0.019</v>
      </c>
      <c r="Z52" s="21">
        <v>0.0127</v>
      </c>
      <c r="AC52" s="10" t="s">
        <v>115</v>
      </c>
      <c r="AD52" s="25" t="s">
        <v>535</v>
      </c>
      <c r="AE52" s="25" t="s">
        <v>536</v>
      </c>
      <c r="AF52" s="25" t="s">
        <v>529</v>
      </c>
      <c r="AG52" s="25" t="s">
        <v>537</v>
      </c>
      <c r="AH52" s="25" t="s">
        <v>538</v>
      </c>
      <c r="AI52" s="26" t="s">
        <v>228</v>
      </c>
      <c r="AJ52" s="25" t="s">
        <v>539</v>
      </c>
      <c r="AK52" s="25" t="s">
        <v>540</v>
      </c>
      <c r="AL52" s="25" t="s">
        <v>541</v>
      </c>
      <c r="AM52" s="25" t="s">
        <v>542</v>
      </c>
      <c r="AN52" s="25" t="s">
        <v>543</v>
      </c>
    </row>
    <row r="53" spans="1:41">
      <c r="A53" s="7" t="s">
        <v>116</v>
      </c>
      <c r="B53" s="19">
        <v>0.002077</v>
      </c>
      <c r="C53" s="19">
        <v>0.0029405</v>
      </c>
      <c r="D53" s="19">
        <v>0.0036011</v>
      </c>
      <c r="E53" s="19">
        <v>0.0045273</v>
      </c>
      <c r="F53" s="19">
        <v>0.0058518</v>
      </c>
      <c r="G53" s="20">
        <v>0.0155175</v>
      </c>
      <c r="H53" s="19">
        <v>0.0053985</v>
      </c>
      <c r="I53" s="19">
        <v>0.0037731</v>
      </c>
      <c r="J53" s="19">
        <v>0.002025</v>
      </c>
      <c r="K53" s="19">
        <v>0.0012458</v>
      </c>
      <c r="L53" s="19">
        <v>0.000842</v>
      </c>
      <c r="O53" s="7" t="s">
        <v>116</v>
      </c>
      <c r="P53" s="21">
        <v>0.0031</v>
      </c>
      <c r="Q53" s="21">
        <v>-0.0059</v>
      </c>
      <c r="R53" s="21">
        <v>0.0138</v>
      </c>
      <c r="S53" s="21">
        <v>-0.0017</v>
      </c>
      <c r="T53" s="21">
        <v>0.0001</v>
      </c>
      <c r="U53" s="22">
        <v>0</v>
      </c>
      <c r="V53" s="21">
        <v>0.021</v>
      </c>
      <c r="W53" s="21">
        <v>0.0102</v>
      </c>
      <c r="X53" s="21">
        <v>0.0078</v>
      </c>
      <c r="Y53" s="21">
        <v>-0.01</v>
      </c>
      <c r="Z53" s="21">
        <v>-0.0016</v>
      </c>
      <c r="AC53" s="7" t="s">
        <v>116</v>
      </c>
      <c r="AD53" s="25" t="s">
        <v>544</v>
      </c>
      <c r="AE53" s="25" t="s">
        <v>545</v>
      </c>
      <c r="AF53" s="25" t="s">
        <v>546</v>
      </c>
      <c r="AG53" s="25" t="s">
        <v>547</v>
      </c>
      <c r="AH53" s="25" t="s">
        <v>548</v>
      </c>
      <c r="AI53" s="26" t="s">
        <v>228</v>
      </c>
      <c r="AJ53" s="25" t="s">
        <v>549</v>
      </c>
      <c r="AK53" s="25" t="s">
        <v>550</v>
      </c>
      <c r="AL53" s="25" t="s">
        <v>551</v>
      </c>
      <c r="AM53" s="25" t="s">
        <v>552</v>
      </c>
      <c r="AN53" s="25" t="s">
        <v>553</v>
      </c>
    </row>
    <row r="54" spans="1:41">
      <c r="A54" s="10" t="s">
        <v>117</v>
      </c>
      <c r="B54" s="28">
        <v>0.0028981</v>
      </c>
      <c r="C54" s="28">
        <v>0.0041896</v>
      </c>
      <c r="D54" s="28">
        <v>0.005136</v>
      </c>
      <c r="E54" s="28">
        <v>0.0063642</v>
      </c>
      <c r="F54" s="28">
        <v>0.0079708</v>
      </c>
      <c r="G54" s="20">
        <v>0.0200573</v>
      </c>
      <c r="H54" s="28">
        <v>0.0076126</v>
      </c>
      <c r="I54" s="28">
        <v>0.0057257</v>
      </c>
      <c r="J54" s="28">
        <v>0.0032732</v>
      </c>
      <c r="K54" s="28">
        <v>0.0019783</v>
      </c>
      <c r="L54" s="28">
        <v>0.0012712</v>
      </c>
      <c r="O54" s="10" t="s">
        <v>117</v>
      </c>
      <c r="P54" s="21">
        <v>-0.0187</v>
      </c>
      <c r="Q54" s="21">
        <v>0.036</v>
      </c>
      <c r="R54" s="21">
        <v>-0.0014</v>
      </c>
      <c r="S54" s="21">
        <v>0.0064</v>
      </c>
      <c r="T54" s="21">
        <v>-0.0423</v>
      </c>
      <c r="U54" s="22">
        <v>0</v>
      </c>
      <c r="V54" s="21">
        <v>0.0001</v>
      </c>
      <c r="W54" s="21">
        <v>-0.0102</v>
      </c>
      <c r="X54" s="21">
        <v>0.0179</v>
      </c>
      <c r="Y54" s="21">
        <v>-0.0094</v>
      </c>
      <c r="Z54" s="21">
        <v>0.0007</v>
      </c>
      <c r="AC54" s="10" t="s">
        <v>117</v>
      </c>
      <c r="AD54" s="25" t="s">
        <v>554</v>
      </c>
      <c r="AE54" s="25" t="s">
        <v>555</v>
      </c>
      <c r="AF54" s="25" t="s">
        <v>556</v>
      </c>
      <c r="AG54" s="25" t="s">
        <v>557</v>
      </c>
      <c r="AH54" s="25" t="s">
        <v>558</v>
      </c>
      <c r="AI54" s="26" t="s">
        <v>228</v>
      </c>
      <c r="AJ54" s="25" t="s">
        <v>559</v>
      </c>
      <c r="AK54" s="25" t="s">
        <v>374</v>
      </c>
      <c r="AL54" s="25" t="s">
        <v>560</v>
      </c>
      <c r="AM54" s="25" t="s">
        <v>561</v>
      </c>
      <c r="AN54" s="25" t="s">
        <v>562</v>
      </c>
    </row>
    <row r="55" spans="1:41">
      <c r="A55" s="7" t="s">
        <v>118</v>
      </c>
      <c r="B55" s="19">
        <v>0.0034288</v>
      </c>
      <c r="C55" s="19">
        <v>0.0049691</v>
      </c>
      <c r="D55" s="19">
        <v>0.0060578</v>
      </c>
      <c r="E55" s="19">
        <v>0.0074291</v>
      </c>
      <c r="F55" s="19">
        <v>0.0091519</v>
      </c>
      <c r="G55" s="20">
        <v>0.0225802</v>
      </c>
      <c r="H55" s="19">
        <v>0.0088798</v>
      </c>
      <c r="I55" s="19">
        <v>0.0069164</v>
      </c>
      <c r="J55" s="19">
        <v>0.004193</v>
      </c>
      <c r="K55" s="19">
        <v>0.0026062</v>
      </c>
      <c r="L55" s="19">
        <v>0.0016861</v>
      </c>
      <c r="O55" s="7" t="s">
        <v>118</v>
      </c>
      <c r="P55" s="21">
        <v>0.0128</v>
      </c>
      <c r="Q55" s="21">
        <v>0.0015</v>
      </c>
      <c r="R55" s="21">
        <v>-0.0338</v>
      </c>
      <c r="S55" s="21">
        <v>-0.0203</v>
      </c>
      <c r="T55" s="21">
        <v>0.0057</v>
      </c>
      <c r="U55" s="22">
        <v>0</v>
      </c>
      <c r="V55" s="21">
        <v>-0.0194</v>
      </c>
      <c r="W55" s="21">
        <v>0.0187</v>
      </c>
      <c r="X55" s="21">
        <v>-0.0353</v>
      </c>
      <c r="Y55" s="21">
        <v>-0.0149</v>
      </c>
      <c r="Z55" s="21">
        <v>0.0219</v>
      </c>
      <c r="AC55" s="7" t="s">
        <v>118</v>
      </c>
      <c r="AD55" s="25" t="s">
        <v>563</v>
      </c>
      <c r="AE55" s="25" t="s">
        <v>564</v>
      </c>
      <c r="AF55" s="25" t="s">
        <v>565</v>
      </c>
      <c r="AG55" s="25" t="s">
        <v>566</v>
      </c>
      <c r="AH55" s="25" t="s">
        <v>567</v>
      </c>
      <c r="AI55" s="26" t="s">
        <v>228</v>
      </c>
      <c r="AJ55" s="25" t="s">
        <v>568</v>
      </c>
      <c r="AK55" s="25" t="s">
        <v>569</v>
      </c>
      <c r="AL55" s="25" t="s">
        <v>570</v>
      </c>
      <c r="AM55" s="25" t="s">
        <v>571</v>
      </c>
      <c r="AN55" s="25" t="s">
        <v>572</v>
      </c>
    </row>
    <row r="56" spans="1:41">
      <c r="A56" s="6" t="s">
        <v>317</v>
      </c>
      <c r="B56" s="30" t="s">
        <v>318</v>
      </c>
      <c r="C56" s="2"/>
      <c r="D56" s="2"/>
      <c r="E56" s="2"/>
      <c r="F56" s="2"/>
      <c r="G56" s="2"/>
      <c r="H56" s="2"/>
      <c r="I56" s="2"/>
      <c r="J56" s="2"/>
      <c r="K56" s="2"/>
      <c r="L56" s="3"/>
      <c r="O56" s="6" t="s">
        <v>317</v>
      </c>
      <c r="P56" s="21">
        <v>0.0101</v>
      </c>
      <c r="Q56" s="21">
        <v>0.0155</v>
      </c>
      <c r="R56" s="21">
        <v>0.0165</v>
      </c>
      <c r="S56" s="21">
        <v>0.0222</v>
      </c>
      <c r="T56" s="21">
        <v>0.0273</v>
      </c>
      <c r="U56" s="22">
        <v>0</v>
      </c>
      <c r="V56" s="21">
        <v>0.0438</v>
      </c>
      <c r="W56" s="21">
        <v>0.0467</v>
      </c>
      <c r="X56" s="21">
        <v>0.018</v>
      </c>
      <c r="Y56" s="21">
        <v>0.0124</v>
      </c>
      <c r="Z56" s="21">
        <v>0.0116</v>
      </c>
      <c r="AC56" s="6" t="s">
        <v>317</v>
      </c>
      <c r="AD56" s="31">
        <v>0.0623</v>
      </c>
      <c r="AE56" s="32">
        <v>1.2837</v>
      </c>
      <c r="AF56" s="32">
        <v>1.1315</v>
      </c>
      <c r="AG56" s="33">
        <v>0.7393</v>
      </c>
      <c r="AH56" s="31">
        <v>0.1483</v>
      </c>
      <c r="AI56" s="26" t="s">
        <v>319</v>
      </c>
      <c r="AJ56" s="33">
        <v>0.5317</v>
      </c>
      <c r="AK56" s="32">
        <v>3.2153</v>
      </c>
      <c r="AL56" s="31">
        <v>0.1211</v>
      </c>
      <c r="AM56" s="31">
        <v>0.1194</v>
      </c>
      <c r="AN56" s="31">
        <v>0.3828</v>
      </c>
    </row>
    <row r="57" spans="1:41">
      <c r="A57" s="12" t="s">
        <v>119</v>
      </c>
      <c r="B57" s="12" t="s">
        <v>119</v>
      </c>
      <c r="C57" s="12" t="s">
        <v>119</v>
      </c>
      <c r="D57" s="12" t="s">
        <v>119</v>
      </c>
      <c r="E57" s="12" t="s">
        <v>119</v>
      </c>
      <c r="F57" s="12" t="s">
        <v>119</v>
      </c>
      <c r="G57" s="12" t="s">
        <v>119</v>
      </c>
      <c r="H57" s="12" t="s">
        <v>119</v>
      </c>
      <c r="I57" s="12" t="s">
        <v>119</v>
      </c>
      <c r="J57" s="12" t="s">
        <v>119</v>
      </c>
      <c r="K57" s="12" t="s">
        <v>119</v>
      </c>
      <c r="L57" s="12" t="s">
        <v>119</v>
      </c>
      <c r="M57" s="12" t="s">
        <v>119</v>
      </c>
      <c r="N57" s="12" t="s">
        <v>119</v>
      </c>
      <c r="O57" s="12" t="s">
        <v>119</v>
      </c>
      <c r="P57" s="12" t="s">
        <v>119</v>
      </c>
      <c r="Q57" s="12" t="s">
        <v>119</v>
      </c>
      <c r="R57" s="12" t="s">
        <v>119</v>
      </c>
      <c r="S57" s="12" t="s">
        <v>119</v>
      </c>
      <c r="T57" s="12" t="s">
        <v>119</v>
      </c>
      <c r="U57" s="12" t="s">
        <v>119</v>
      </c>
      <c r="V57" s="12" t="s">
        <v>119</v>
      </c>
      <c r="W57" s="12" t="s">
        <v>119</v>
      </c>
      <c r="X57" s="12" t="s">
        <v>119</v>
      </c>
      <c r="Y57" s="12" t="s">
        <v>119</v>
      </c>
      <c r="Z57" s="12" t="s">
        <v>119</v>
      </c>
      <c r="AA57" s="12" t="s">
        <v>119</v>
      </c>
      <c r="AB57" s="12" t="s">
        <v>119</v>
      </c>
      <c r="AC57" s="12" t="s">
        <v>119</v>
      </c>
      <c r="AD57" s="12" t="s">
        <v>119</v>
      </c>
      <c r="AE57" s="12" t="s">
        <v>119</v>
      </c>
      <c r="AF57" s="12" t="s">
        <v>119</v>
      </c>
      <c r="AG57" s="12" t="s">
        <v>119</v>
      </c>
      <c r="AH57" s="12" t="s">
        <v>119</v>
      </c>
      <c r="AI57" s="12" t="s">
        <v>119</v>
      </c>
      <c r="AJ57" s="12" t="s">
        <v>119</v>
      </c>
      <c r="AK57" s="12" t="s">
        <v>119</v>
      </c>
      <c r="AL57" s="12" t="s">
        <v>119</v>
      </c>
      <c r="AM57" s="12" t="s">
        <v>119</v>
      </c>
      <c r="AN57" s="12" t="s">
        <v>119</v>
      </c>
      <c r="AO57" s="12" t="s">
        <v>119</v>
      </c>
    </row>
    <row r="58" spans="1:41">
      <c r="A58" s="4" t="s">
        <v>123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3"/>
    </row>
    <row r="59" spans="1:41">
      <c r="A59" s="6" t="s">
        <v>218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3"/>
      <c r="O59" s="5" t="s">
        <v>219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3"/>
      <c r="AC59" s="4" t="s">
        <v>220</v>
      </c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3"/>
    </row>
    <row r="60" spans="1:41">
      <c r="A60" s="6" t="s">
        <v>95</v>
      </c>
      <c r="B60" s="6" t="s">
        <v>96</v>
      </c>
      <c r="C60" s="6" t="s">
        <v>97</v>
      </c>
      <c r="D60" s="6" t="s">
        <v>98</v>
      </c>
      <c r="E60" s="6" t="s">
        <v>99</v>
      </c>
      <c r="F60" s="6" t="s">
        <v>100</v>
      </c>
      <c r="G60" s="6" t="s">
        <v>47</v>
      </c>
      <c r="H60" s="6" t="s">
        <v>101</v>
      </c>
      <c r="I60" s="6" t="s">
        <v>102</v>
      </c>
      <c r="J60" s="6" t="s">
        <v>103</v>
      </c>
      <c r="K60" s="6" t="s">
        <v>104</v>
      </c>
      <c r="L60" s="6" t="s">
        <v>105</v>
      </c>
      <c r="O60" s="6" t="s">
        <v>95</v>
      </c>
      <c r="P60" s="6" t="s">
        <v>96</v>
      </c>
      <c r="Q60" s="6" t="s">
        <v>97</v>
      </c>
      <c r="R60" s="6" t="s">
        <v>98</v>
      </c>
      <c r="S60" s="6" t="s">
        <v>99</v>
      </c>
      <c r="T60" s="6" t="s">
        <v>100</v>
      </c>
      <c r="U60" s="6" t="s">
        <v>47</v>
      </c>
      <c r="V60" s="6" t="s">
        <v>101</v>
      </c>
      <c r="W60" s="6" t="s">
        <v>102</v>
      </c>
      <c r="X60" s="6" t="s">
        <v>103</v>
      </c>
      <c r="Y60" s="6" t="s">
        <v>104</v>
      </c>
      <c r="Z60" s="6" t="s">
        <v>105</v>
      </c>
      <c r="AC60" s="6" t="s">
        <v>95</v>
      </c>
      <c r="AD60" s="6" t="s">
        <v>96</v>
      </c>
      <c r="AE60" s="6" t="s">
        <v>97</v>
      </c>
      <c r="AF60" s="6" t="s">
        <v>98</v>
      </c>
      <c r="AG60" s="6" t="s">
        <v>99</v>
      </c>
      <c r="AH60" s="6" t="s">
        <v>100</v>
      </c>
      <c r="AI60" s="6" t="s">
        <v>47</v>
      </c>
      <c r="AJ60" s="6" t="s">
        <v>101</v>
      </c>
      <c r="AK60" s="6" t="s">
        <v>102</v>
      </c>
      <c r="AL60" s="6" t="s">
        <v>103</v>
      </c>
      <c r="AM60" s="6" t="s">
        <v>104</v>
      </c>
      <c r="AN60" s="6" t="s">
        <v>105</v>
      </c>
    </row>
    <row r="61" spans="1:41">
      <c r="A61" s="7" t="s">
        <v>108</v>
      </c>
      <c r="B61" s="19">
        <v>0</v>
      </c>
      <c r="C61" s="19">
        <v>2.33e-5</v>
      </c>
      <c r="D61" s="19">
        <v>7.18e-5</v>
      </c>
      <c r="E61" s="19">
        <v>0.0002562</v>
      </c>
      <c r="F61" s="19">
        <v>0.000847</v>
      </c>
      <c r="G61" s="20">
        <v>0.0049457</v>
      </c>
      <c r="H61" s="19">
        <v>0.0006803</v>
      </c>
      <c r="I61" s="19">
        <v>0.0001219</v>
      </c>
      <c r="J61" s="19">
        <v>1.3e-6</v>
      </c>
      <c r="K61" s="19">
        <v>1.3e-6</v>
      </c>
      <c r="L61" s="19">
        <v>0</v>
      </c>
      <c r="O61" s="7" t="s">
        <v>108</v>
      </c>
      <c r="P61" s="21">
        <v>0.022</v>
      </c>
      <c r="Q61" s="21">
        <v>-0.0122</v>
      </c>
      <c r="R61" s="21">
        <v>0.0292</v>
      </c>
      <c r="S61" s="21">
        <v>0.0076</v>
      </c>
      <c r="T61" s="21">
        <v>0.0428</v>
      </c>
      <c r="U61" s="22">
        <v>0</v>
      </c>
      <c r="V61" s="21">
        <v>0.0438</v>
      </c>
      <c r="W61" s="21">
        <v>0.0524</v>
      </c>
      <c r="X61" s="21">
        <v>0.0152</v>
      </c>
      <c r="Y61" s="21">
        <v>-0.0122</v>
      </c>
      <c r="Z61" s="21">
        <v>0</v>
      </c>
      <c r="AC61" s="7" t="s">
        <v>108</v>
      </c>
      <c r="AD61" s="23" t="s">
        <v>329</v>
      </c>
      <c r="AE61" s="23" t="s">
        <v>573</v>
      </c>
      <c r="AF61" s="24" t="s">
        <v>574</v>
      </c>
      <c r="AG61" s="25" t="s">
        <v>575</v>
      </c>
      <c r="AH61" s="26" t="s">
        <v>576</v>
      </c>
      <c r="AI61" s="26" t="s">
        <v>228</v>
      </c>
      <c r="AJ61" s="26" t="s">
        <v>577</v>
      </c>
      <c r="AK61" s="24" t="s">
        <v>578</v>
      </c>
      <c r="AL61" s="23" t="s">
        <v>579</v>
      </c>
      <c r="AM61" s="23" t="s">
        <v>580</v>
      </c>
      <c r="AN61" s="23" t="s">
        <v>329</v>
      </c>
    </row>
    <row r="62" spans="1:41">
      <c r="A62" s="10" t="s">
        <v>111</v>
      </c>
      <c r="B62" s="28">
        <v>5.2e-6</v>
      </c>
      <c r="C62" s="28">
        <v>5.32e-5</v>
      </c>
      <c r="D62" s="28">
        <v>0.0001635</v>
      </c>
      <c r="E62" s="28">
        <v>0.00048</v>
      </c>
      <c r="F62" s="28">
        <v>0.0012936</v>
      </c>
      <c r="G62" s="20">
        <v>0.0061406</v>
      </c>
      <c r="H62" s="28">
        <v>0.0011413</v>
      </c>
      <c r="I62" s="28">
        <v>0.0003139</v>
      </c>
      <c r="J62" s="28">
        <v>1.07e-5</v>
      </c>
      <c r="K62" s="28">
        <v>3.5e-6</v>
      </c>
      <c r="L62" s="28">
        <v>2e-7</v>
      </c>
      <c r="O62" s="10" t="s">
        <v>111</v>
      </c>
      <c r="P62" s="21">
        <v>0.0098</v>
      </c>
      <c r="Q62" s="21">
        <v>0.0182</v>
      </c>
      <c r="R62" s="21">
        <v>0.015</v>
      </c>
      <c r="S62" s="21">
        <v>-0.0042</v>
      </c>
      <c r="T62" s="21">
        <v>-0.0002</v>
      </c>
      <c r="U62" s="22">
        <v>0</v>
      </c>
      <c r="V62" s="21">
        <v>0.0357</v>
      </c>
      <c r="W62" s="21">
        <v>0.0939</v>
      </c>
      <c r="X62" s="21">
        <v>0.0413</v>
      </c>
      <c r="Y62" s="21">
        <v>-0.0293</v>
      </c>
      <c r="Z62" s="21">
        <v>-0.0017</v>
      </c>
      <c r="AC62" s="10" t="s">
        <v>111</v>
      </c>
      <c r="AD62" s="23" t="s">
        <v>581</v>
      </c>
      <c r="AE62" s="24" t="s">
        <v>582</v>
      </c>
      <c r="AF62" s="26" t="s">
        <v>583</v>
      </c>
      <c r="AG62" s="25" t="s">
        <v>584</v>
      </c>
      <c r="AH62" s="25" t="s">
        <v>585</v>
      </c>
      <c r="AI62" s="26" t="s">
        <v>228</v>
      </c>
      <c r="AJ62" s="25" t="s">
        <v>586</v>
      </c>
      <c r="AK62" s="24" t="s">
        <v>587</v>
      </c>
      <c r="AL62" s="23" t="s">
        <v>588</v>
      </c>
      <c r="AM62" s="23" t="s">
        <v>589</v>
      </c>
      <c r="AN62" s="23" t="s">
        <v>590</v>
      </c>
    </row>
    <row r="63" spans="1:41">
      <c r="A63" s="7" t="s">
        <v>112</v>
      </c>
      <c r="B63" s="19">
        <v>1.22e-5</v>
      </c>
      <c r="C63" s="19">
        <v>8.69e-5</v>
      </c>
      <c r="D63" s="19">
        <v>0.0002511</v>
      </c>
      <c r="E63" s="19">
        <v>0.0006645</v>
      </c>
      <c r="F63" s="19">
        <v>0.001611</v>
      </c>
      <c r="G63" s="20">
        <v>0.0069435</v>
      </c>
      <c r="H63" s="19">
        <v>0.0014781</v>
      </c>
      <c r="I63" s="19">
        <v>0.0005016</v>
      </c>
      <c r="J63" s="19">
        <v>2.94e-5</v>
      </c>
      <c r="K63" s="19">
        <v>2.6e-6</v>
      </c>
      <c r="L63" s="19">
        <v>2.2e-6</v>
      </c>
      <c r="O63" s="7" t="s">
        <v>112</v>
      </c>
      <c r="P63" s="21">
        <v>-0.0072</v>
      </c>
      <c r="Q63" s="21">
        <v>0.048</v>
      </c>
      <c r="R63" s="21">
        <v>0.0207</v>
      </c>
      <c r="S63" s="21">
        <v>0.0142</v>
      </c>
      <c r="T63" s="21">
        <v>0.0189</v>
      </c>
      <c r="U63" s="22">
        <v>0</v>
      </c>
      <c r="V63" s="21">
        <v>0.0604</v>
      </c>
      <c r="W63" s="21">
        <v>0.0983</v>
      </c>
      <c r="X63" s="21">
        <v>0.0738</v>
      </c>
      <c r="Y63" s="21">
        <v>-0.0063</v>
      </c>
      <c r="Z63" s="21">
        <v>-0.0209</v>
      </c>
      <c r="AC63" s="7" t="s">
        <v>112</v>
      </c>
      <c r="AD63" s="23" t="s">
        <v>591</v>
      </c>
      <c r="AE63" s="24" t="s">
        <v>592</v>
      </c>
      <c r="AF63" s="26" t="s">
        <v>593</v>
      </c>
      <c r="AG63" s="25" t="s">
        <v>594</v>
      </c>
      <c r="AH63" s="25" t="s">
        <v>595</v>
      </c>
      <c r="AI63" s="26" t="s">
        <v>228</v>
      </c>
      <c r="AJ63" s="25" t="s">
        <v>596</v>
      </c>
      <c r="AK63" s="24" t="s">
        <v>597</v>
      </c>
      <c r="AL63" s="23" t="s">
        <v>598</v>
      </c>
      <c r="AM63" s="23" t="s">
        <v>599</v>
      </c>
      <c r="AN63" s="23" t="s">
        <v>600</v>
      </c>
    </row>
    <row r="64" spans="1:41">
      <c r="A64" s="10" t="s">
        <v>113</v>
      </c>
      <c r="B64" s="28">
        <v>0.0008283</v>
      </c>
      <c r="C64" s="28">
        <v>0.0014628</v>
      </c>
      <c r="D64" s="28">
        <v>0.002008</v>
      </c>
      <c r="E64" s="28">
        <v>0.0028334</v>
      </c>
      <c r="F64" s="28">
        <v>0.0040883</v>
      </c>
      <c r="G64" s="20">
        <v>0.0119566</v>
      </c>
      <c r="H64" s="28">
        <v>0.0036776</v>
      </c>
      <c r="I64" s="28">
        <v>0.0021896</v>
      </c>
      <c r="J64" s="28">
        <v>0.0008052</v>
      </c>
      <c r="K64" s="28">
        <v>0.0003436</v>
      </c>
      <c r="L64" s="28">
        <v>0.0001708</v>
      </c>
      <c r="O64" s="10" t="s">
        <v>113</v>
      </c>
      <c r="P64" s="21">
        <v>0.0006</v>
      </c>
      <c r="Q64" s="21">
        <v>-0.0073</v>
      </c>
      <c r="R64" s="21">
        <v>0.0165</v>
      </c>
      <c r="S64" s="21">
        <v>-0.0072</v>
      </c>
      <c r="T64" s="21">
        <v>-0.0112</v>
      </c>
      <c r="U64" s="22">
        <v>0</v>
      </c>
      <c r="V64" s="21">
        <v>0.0136</v>
      </c>
      <c r="W64" s="21">
        <v>-0.029</v>
      </c>
      <c r="X64" s="21">
        <v>0.0117</v>
      </c>
      <c r="Y64" s="21">
        <v>0.0161</v>
      </c>
      <c r="Z64" s="21">
        <v>-0.0139</v>
      </c>
      <c r="AC64" s="10" t="s">
        <v>113</v>
      </c>
      <c r="AD64" s="25" t="s">
        <v>401</v>
      </c>
      <c r="AE64" s="25" t="s">
        <v>601</v>
      </c>
      <c r="AF64" s="25" t="s">
        <v>602</v>
      </c>
      <c r="AG64" s="25" t="s">
        <v>603</v>
      </c>
      <c r="AH64" s="25" t="s">
        <v>604</v>
      </c>
      <c r="AI64" s="26" t="s">
        <v>228</v>
      </c>
      <c r="AJ64" s="25" t="s">
        <v>605</v>
      </c>
      <c r="AK64" s="25" t="s">
        <v>606</v>
      </c>
      <c r="AL64" s="25" t="s">
        <v>607</v>
      </c>
      <c r="AM64" s="25" t="s">
        <v>608</v>
      </c>
      <c r="AN64" s="26" t="s">
        <v>609</v>
      </c>
    </row>
    <row r="65" spans="1:41">
      <c r="A65" s="7" t="s">
        <v>114</v>
      </c>
      <c r="B65" s="19">
        <v>0.001134</v>
      </c>
      <c r="C65" s="19">
        <v>0.0020306</v>
      </c>
      <c r="D65" s="19">
        <v>0.0027665</v>
      </c>
      <c r="E65" s="19">
        <v>0.0038189</v>
      </c>
      <c r="F65" s="19">
        <v>0.0052901</v>
      </c>
      <c r="G65" s="20">
        <v>0.0146312</v>
      </c>
      <c r="H65" s="19">
        <v>0.0049736</v>
      </c>
      <c r="I65" s="19">
        <v>0.0032676</v>
      </c>
      <c r="J65" s="19">
        <v>0.0013653</v>
      </c>
      <c r="K65" s="19">
        <v>0.0005925</v>
      </c>
      <c r="L65" s="19">
        <v>0.00028</v>
      </c>
      <c r="O65" s="7" t="s">
        <v>114</v>
      </c>
      <c r="P65" s="21">
        <v>-0.0175</v>
      </c>
      <c r="Q65" s="21">
        <v>-0.0052</v>
      </c>
      <c r="R65" s="21">
        <v>0.0388</v>
      </c>
      <c r="S65" s="21">
        <v>0.0032</v>
      </c>
      <c r="T65" s="21">
        <v>0.0316</v>
      </c>
      <c r="U65" s="22">
        <v>0</v>
      </c>
      <c r="V65" s="21">
        <v>-0.0019</v>
      </c>
      <c r="W65" s="21">
        <v>0.0194</v>
      </c>
      <c r="X65" s="21">
        <v>0.0011</v>
      </c>
      <c r="Y65" s="21">
        <v>0.01</v>
      </c>
      <c r="Z65" s="21">
        <v>-0.0075</v>
      </c>
      <c r="AC65" s="7" t="s">
        <v>114</v>
      </c>
      <c r="AD65" s="25" t="s">
        <v>610</v>
      </c>
      <c r="AE65" s="25" t="s">
        <v>611</v>
      </c>
      <c r="AF65" s="25" t="s">
        <v>612</v>
      </c>
      <c r="AG65" s="25" t="s">
        <v>613</v>
      </c>
      <c r="AH65" s="25" t="s">
        <v>614</v>
      </c>
      <c r="AI65" s="26" t="s">
        <v>228</v>
      </c>
      <c r="AJ65" s="25" t="s">
        <v>615</v>
      </c>
      <c r="AK65" s="25" t="s">
        <v>616</v>
      </c>
      <c r="AL65" s="25" t="s">
        <v>617</v>
      </c>
      <c r="AM65" s="25" t="s">
        <v>618</v>
      </c>
      <c r="AN65" s="25" t="s">
        <v>619</v>
      </c>
    </row>
    <row r="66" spans="1:41">
      <c r="A66" s="10" t="s">
        <v>115</v>
      </c>
      <c r="B66" s="28">
        <v>0.0013824</v>
      </c>
      <c r="C66" s="28">
        <v>0.002469</v>
      </c>
      <c r="D66" s="28">
        <v>0.0033394</v>
      </c>
      <c r="E66" s="28">
        <v>0.0045218</v>
      </c>
      <c r="F66" s="28">
        <v>0.0061151</v>
      </c>
      <c r="G66" s="20">
        <v>0.0164137</v>
      </c>
      <c r="H66" s="28">
        <v>0.0058485</v>
      </c>
      <c r="I66" s="28">
        <v>0.0040483</v>
      </c>
      <c r="J66" s="28">
        <v>0.0018403</v>
      </c>
      <c r="K66" s="28">
        <v>0.0008371</v>
      </c>
      <c r="L66" s="28">
        <v>0.000392</v>
      </c>
      <c r="O66" s="10" t="s">
        <v>115</v>
      </c>
      <c r="P66" s="21">
        <v>-0.012</v>
      </c>
      <c r="Q66" s="21">
        <v>0.0256</v>
      </c>
      <c r="R66" s="21">
        <v>-0.0069</v>
      </c>
      <c r="S66" s="21">
        <v>0.012</v>
      </c>
      <c r="T66" s="21">
        <v>0.0149</v>
      </c>
      <c r="U66" s="22">
        <v>0</v>
      </c>
      <c r="V66" s="21">
        <v>0.0205</v>
      </c>
      <c r="W66" s="21">
        <v>0.0127</v>
      </c>
      <c r="X66" s="21">
        <v>0.0308</v>
      </c>
      <c r="Y66" s="21">
        <v>-0.0303</v>
      </c>
      <c r="Z66" s="21">
        <v>0.0067</v>
      </c>
      <c r="AC66" s="10" t="s">
        <v>115</v>
      </c>
      <c r="AD66" s="25" t="s">
        <v>620</v>
      </c>
      <c r="AE66" s="25" t="s">
        <v>621</v>
      </c>
      <c r="AF66" s="25" t="s">
        <v>622</v>
      </c>
      <c r="AG66" s="25" t="s">
        <v>623</v>
      </c>
      <c r="AH66" s="25" t="s">
        <v>624</v>
      </c>
      <c r="AI66" s="26" t="s">
        <v>228</v>
      </c>
      <c r="AJ66" s="25" t="s">
        <v>625</v>
      </c>
      <c r="AK66" s="25" t="s">
        <v>626</v>
      </c>
      <c r="AL66" s="25" t="s">
        <v>627</v>
      </c>
      <c r="AM66" s="25" t="s">
        <v>628</v>
      </c>
      <c r="AN66" s="25" t="s">
        <v>629</v>
      </c>
    </row>
    <row r="67" spans="1:41">
      <c r="A67" s="7" t="s">
        <v>116</v>
      </c>
      <c r="B67" s="19">
        <v>0.0021078</v>
      </c>
      <c r="C67" s="19">
        <v>0.0029819</v>
      </c>
      <c r="D67" s="19">
        <v>0.00365</v>
      </c>
      <c r="E67" s="19">
        <v>0.0045811</v>
      </c>
      <c r="F67" s="19">
        <v>0.0059134</v>
      </c>
      <c r="G67" s="20">
        <v>0.0156449</v>
      </c>
      <c r="H67" s="19">
        <v>0.005459</v>
      </c>
      <c r="I67" s="19">
        <v>0.0038239</v>
      </c>
      <c r="J67" s="19">
        <v>0.0020581</v>
      </c>
      <c r="K67" s="19">
        <v>0.0012617</v>
      </c>
      <c r="L67" s="19">
        <v>0.0008537</v>
      </c>
      <c r="O67" s="7" t="s">
        <v>116</v>
      </c>
      <c r="P67" s="21">
        <v>0.0013</v>
      </c>
      <c r="Q67" s="21">
        <v>-0.0095</v>
      </c>
      <c r="R67" s="21">
        <v>0.0017</v>
      </c>
      <c r="S67" s="21">
        <v>0.0094</v>
      </c>
      <c r="T67" s="21">
        <v>-0.0033</v>
      </c>
      <c r="U67" s="22">
        <v>0</v>
      </c>
      <c r="V67" s="21">
        <v>0.01</v>
      </c>
      <c r="W67" s="21">
        <v>-0.0006</v>
      </c>
      <c r="X67" s="21">
        <v>-0.0223</v>
      </c>
      <c r="Y67" s="21">
        <v>0.0144</v>
      </c>
      <c r="Z67" s="21">
        <v>0.0006</v>
      </c>
      <c r="AC67" s="7" t="s">
        <v>116</v>
      </c>
      <c r="AD67" s="25" t="s">
        <v>630</v>
      </c>
      <c r="AE67" s="25" t="s">
        <v>631</v>
      </c>
      <c r="AF67" s="25" t="s">
        <v>632</v>
      </c>
      <c r="AG67" s="25" t="s">
        <v>633</v>
      </c>
      <c r="AH67" s="25" t="s">
        <v>634</v>
      </c>
      <c r="AI67" s="26" t="s">
        <v>228</v>
      </c>
      <c r="AJ67" s="25" t="s">
        <v>635</v>
      </c>
      <c r="AK67" s="25" t="s">
        <v>636</v>
      </c>
      <c r="AL67" s="25" t="s">
        <v>637</v>
      </c>
      <c r="AM67" s="25" t="s">
        <v>638</v>
      </c>
      <c r="AN67" s="25" t="s">
        <v>639</v>
      </c>
    </row>
    <row r="68" spans="1:41">
      <c r="A68" s="10" t="s">
        <v>117</v>
      </c>
      <c r="B68" s="28">
        <v>0.0029338</v>
      </c>
      <c r="C68" s="28">
        <v>0.0042416</v>
      </c>
      <c r="D68" s="28">
        <v>0.0051863</v>
      </c>
      <c r="E68" s="28">
        <v>0.0064227</v>
      </c>
      <c r="F68" s="28">
        <v>0.0080286</v>
      </c>
      <c r="G68" s="20">
        <v>0.0201912</v>
      </c>
      <c r="H68" s="28">
        <v>0.0076779</v>
      </c>
      <c r="I68" s="28">
        <v>0.0057833</v>
      </c>
      <c r="J68" s="28">
        <v>0.0033183</v>
      </c>
      <c r="K68" s="28">
        <v>0.0020063</v>
      </c>
      <c r="L68" s="28">
        <v>0.0012945</v>
      </c>
      <c r="O68" s="10" t="s">
        <v>117</v>
      </c>
      <c r="P68" s="21">
        <v>-0.0127</v>
      </c>
      <c r="Q68" s="21">
        <v>-0.009</v>
      </c>
      <c r="R68" s="21">
        <v>0.0336</v>
      </c>
      <c r="S68" s="21">
        <v>0.0203</v>
      </c>
      <c r="T68" s="21">
        <v>0.027</v>
      </c>
      <c r="U68" s="22">
        <v>0</v>
      </c>
      <c r="V68" s="21">
        <v>0.0017</v>
      </c>
      <c r="W68" s="21">
        <v>0.0173</v>
      </c>
      <c r="X68" s="21">
        <v>0.0157</v>
      </c>
      <c r="Y68" s="21">
        <v>0.019</v>
      </c>
      <c r="Z68" s="21">
        <v>-0.0211</v>
      </c>
      <c r="AC68" s="10" t="s">
        <v>117</v>
      </c>
      <c r="AD68" s="25" t="s">
        <v>640</v>
      </c>
      <c r="AE68" s="25" t="s">
        <v>641</v>
      </c>
      <c r="AF68" s="25" t="s">
        <v>642</v>
      </c>
      <c r="AG68" s="25" t="s">
        <v>436</v>
      </c>
      <c r="AH68" s="25" t="s">
        <v>643</v>
      </c>
      <c r="AI68" s="26" t="s">
        <v>228</v>
      </c>
      <c r="AJ68" s="25" t="s">
        <v>541</v>
      </c>
      <c r="AK68" s="25" t="s">
        <v>644</v>
      </c>
      <c r="AL68" s="25" t="s">
        <v>645</v>
      </c>
      <c r="AM68" s="25" t="s">
        <v>646</v>
      </c>
      <c r="AN68" s="25" t="s">
        <v>647</v>
      </c>
    </row>
    <row r="69" spans="1:41">
      <c r="A69" s="7" t="s">
        <v>118</v>
      </c>
      <c r="B69" s="19">
        <v>0.0034666</v>
      </c>
      <c r="C69" s="19">
        <v>0.0050149</v>
      </c>
      <c r="D69" s="19">
        <v>0.0061071</v>
      </c>
      <c r="E69" s="19">
        <v>0.0074838</v>
      </c>
      <c r="F69" s="19">
        <v>0.0092184</v>
      </c>
      <c r="G69" s="20">
        <v>0.02271</v>
      </c>
      <c r="H69" s="19">
        <v>0.0089406</v>
      </c>
      <c r="I69" s="19">
        <v>0.0069801</v>
      </c>
      <c r="J69" s="19">
        <v>0.0042361</v>
      </c>
      <c r="K69" s="19">
        <v>0.0026367</v>
      </c>
      <c r="L69" s="19">
        <v>0.0017151</v>
      </c>
      <c r="O69" s="7" t="s">
        <v>118</v>
      </c>
      <c r="P69" s="21">
        <v>-0.006</v>
      </c>
      <c r="Q69" s="21">
        <v>0.0138</v>
      </c>
      <c r="R69" s="21">
        <v>0.003</v>
      </c>
      <c r="S69" s="21">
        <v>0.0178</v>
      </c>
      <c r="T69" s="21">
        <v>-0.0313</v>
      </c>
      <c r="U69" s="22">
        <v>0</v>
      </c>
      <c r="V69" s="21">
        <v>0.014</v>
      </c>
      <c r="W69" s="21">
        <v>-0.0131</v>
      </c>
      <c r="X69" s="21">
        <v>0.0135</v>
      </c>
      <c r="Y69" s="21">
        <v>0.027</v>
      </c>
      <c r="Z69" s="21">
        <v>-0.0245</v>
      </c>
      <c r="AC69" s="7" t="s">
        <v>118</v>
      </c>
      <c r="AD69" s="25" t="s">
        <v>648</v>
      </c>
      <c r="AE69" s="25" t="s">
        <v>649</v>
      </c>
      <c r="AF69" s="25" t="s">
        <v>650</v>
      </c>
      <c r="AG69" s="25" t="s">
        <v>651</v>
      </c>
      <c r="AH69" s="25" t="s">
        <v>652</v>
      </c>
      <c r="AI69" s="26" t="s">
        <v>228</v>
      </c>
      <c r="AJ69" s="25" t="s">
        <v>653</v>
      </c>
      <c r="AK69" s="25" t="s">
        <v>308</v>
      </c>
      <c r="AL69" s="25" t="s">
        <v>654</v>
      </c>
      <c r="AM69" s="25" t="s">
        <v>655</v>
      </c>
      <c r="AN69" s="25" t="s">
        <v>656</v>
      </c>
    </row>
    <row r="70" spans="1:41">
      <c r="A70" s="6" t="s">
        <v>317</v>
      </c>
      <c r="B70" s="30" t="s">
        <v>318</v>
      </c>
      <c r="C70" s="2"/>
      <c r="D70" s="2"/>
      <c r="E70" s="2"/>
      <c r="F70" s="2"/>
      <c r="G70" s="2"/>
      <c r="H70" s="2"/>
      <c r="I70" s="2"/>
      <c r="J70" s="2"/>
      <c r="K70" s="2"/>
      <c r="L70" s="3"/>
      <c r="O70" s="6" t="s">
        <v>317</v>
      </c>
      <c r="P70" s="21">
        <v>0.0119</v>
      </c>
      <c r="Q70" s="21">
        <v>0.0208</v>
      </c>
      <c r="R70" s="21">
        <v>0.0223</v>
      </c>
      <c r="S70" s="21">
        <v>0.012</v>
      </c>
      <c r="T70" s="21">
        <v>0.0242</v>
      </c>
      <c r="U70" s="22">
        <v>0</v>
      </c>
      <c r="V70" s="21">
        <v>0.0293</v>
      </c>
      <c r="W70" s="21">
        <v>0.0506</v>
      </c>
      <c r="X70" s="21">
        <v>0.0323</v>
      </c>
      <c r="Y70" s="21">
        <v>0.0201</v>
      </c>
      <c r="Z70" s="21">
        <v>0.014</v>
      </c>
      <c r="AC70" s="6" t="s">
        <v>317</v>
      </c>
      <c r="AD70" s="31">
        <v>0.0749</v>
      </c>
      <c r="AE70" s="32">
        <v>2.2972</v>
      </c>
      <c r="AF70" s="32">
        <v>1.417</v>
      </c>
      <c r="AG70" s="31">
        <v>0.1271</v>
      </c>
      <c r="AH70" s="31">
        <v>0.1754</v>
      </c>
      <c r="AI70" s="26" t="s">
        <v>319</v>
      </c>
      <c r="AJ70" s="31">
        <v>0.2752</v>
      </c>
      <c r="AK70" s="32">
        <v>1.8656</v>
      </c>
      <c r="AL70" s="31">
        <v>0.1033</v>
      </c>
      <c r="AM70" s="31">
        <v>0.2622</v>
      </c>
      <c r="AN70" s="31">
        <v>0.3669</v>
      </c>
    </row>
    <row r="71" spans="1:41">
      <c r="A71" s="12" t="s">
        <v>119</v>
      </c>
      <c r="B71" s="12" t="s">
        <v>119</v>
      </c>
      <c r="C71" s="12" t="s">
        <v>119</v>
      </c>
      <c r="D71" s="12" t="s">
        <v>119</v>
      </c>
      <c r="E71" s="12" t="s">
        <v>119</v>
      </c>
      <c r="F71" s="12" t="s">
        <v>119</v>
      </c>
      <c r="G71" s="12" t="s">
        <v>119</v>
      </c>
      <c r="H71" s="12" t="s">
        <v>119</v>
      </c>
      <c r="I71" s="12" t="s">
        <v>119</v>
      </c>
      <c r="J71" s="12" t="s">
        <v>119</v>
      </c>
      <c r="K71" s="12" t="s">
        <v>119</v>
      </c>
      <c r="L71" s="12" t="s">
        <v>119</v>
      </c>
      <c r="M71" s="12" t="s">
        <v>119</v>
      </c>
      <c r="N71" s="12" t="s">
        <v>119</v>
      </c>
      <c r="O71" s="12" t="s">
        <v>119</v>
      </c>
      <c r="P71" s="12" t="s">
        <v>119</v>
      </c>
      <c r="Q71" s="12" t="s">
        <v>119</v>
      </c>
      <c r="R71" s="12" t="s">
        <v>119</v>
      </c>
      <c r="S71" s="12" t="s">
        <v>119</v>
      </c>
      <c r="T71" s="12" t="s">
        <v>119</v>
      </c>
      <c r="U71" s="12" t="s">
        <v>119</v>
      </c>
      <c r="V71" s="12" t="s">
        <v>119</v>
      </c>
      <c r="W71" s="12" t="s">
        <v>119</v>
      </c>
      <c r="X71" s="12" t="s">
        <v>119</v>
      </c>
      <c r="Y71" s="12" t="s">
        <v>119</v>
      </c>
      <c r="Z71" s="12" t="s">
        <v>119</v>
      </c>
      <c r="AA71" s="12" t="s">
        <v>119</v>
      </c>
      <c r="AB71" s="12" t="s">
        <v>119</v>
      </c>
      <c r="AC71" s="12" t="s">
        <v>119</v>
      </c>
      <c r="AD71" s="12" t="s">
        <v>119</v>
      </c>
      <c r="AE71" s="12" t="s">
        <v>119</v>
      </c>
      <c r="AF71" s="12" t="s">
        <v>119</v>
      </c>
      <c r="AG71" s="12" t="s">
        <v>119</v>
      </c>
      <c r="AH71" s="12" t="s">
        <v>119</v>
      </c>
      <c r="AI71" s="12" t="s">
        <v>119</v>
      </c>
      <c r="AJ71" s="12" t="s">
        <v>119</v>
      </c>
      <c r="AK71" s="12" t="s">
        <v>119</v>
      </c>
      <c r="AL71" s="12" t="s">
        <v>119</v>
      </c>
      <c r="AM71" s="12" t="s">
        <v>119</v>
      </c>
      <c r="AN71" s="12" t="s">
        <v>119</v>
      </c>
      <c r="AO71" s="12" t="s">
        <v>119</v>
      </c>
    </row>
    <row r="72" spans="1:41">
      <c r="A72" s="30" t="s">
        <v>657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3"/>
    </row>
  </sheetData>
  <mergeCells count="27">
    <mergeCell ref="A1:AN1"/>
    <mergeCell ref="A2:AN2"/>
    <mergeCell ref="A3:L3"/>
    <mergeCell ref="O3:Z3"/>
    <mergeCell ref="AC3:AN3"/>
    <mergeCell ref="B14:L14"/>
    <mergeCell ref="A16:AN16"/>
    <mergeCell ref="A17:L17"/>
    <mergeCell ref="O17:Z17"/>
    <mergeCell ref="AC17:AN17"/>
    <mergeCell ref="B28:L28"/>
    <mergeCell ref="A30:AN30"/>
    <mergeCell ref="A31:L31"/>
    <mergeCell ref="O31:Z31"/>
    <mergeCell ref="AC31:AN31"/>
    <mergeCell ref="B42:L42"/>
    <mergeCell ref="A44:AN44"/>
    <mergeCell ref="A45:L45"/>
    <mergeCell ref="O45:Z45"/>
    <mergeCell ref="AC45:AN45"/>
    <mergeCell ref="B56:L56"/>
    <mergeCell ref="A58:AN58"/>
    <mergeCell ref="A59:L59"/>
    <mergeCell ref="O59:Z59"/>
    <mergeCell ref="AC59:AN59"/>
    <mergeCell ref="B70:L70"/>
    <mergeCell ref="A72:AN7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9"/>
  <sheetViews>
    <sheetView tabSelected="1" topLeftCell="M1" workbookViewId="0">
      <pane ySplit="1" topLeftCell="A64" activePane="bottomLeft" state="frozen"/>
      <selection/>
      <selection pane="bottomLeft" activeCell="O83" sqref="O83"/>
    </sheetView>
  </sheetViews>
  <sheetFormatPr defaultColWidth="9" defaultRowHeight="16.8"/>
  <cols>
    <col min="1" max="12" width="9" customWidth="1"/>
    <col min="13" max="13" width="8.25" customWidth="1"/>
    <col min="14" max="14" width="8.3125" customWidth="1"/>
    <col min="15" max="26" width="9" customWidth="1"/>
  </cols>
  <sheetData>
    <row r="1" ht="30" customHeight="1" spans="1:27">
      <c r="A1" s="1" t="s">
        <v>658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7">
      <c r="A2" s="4" t="s">
        <v>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</row>
    <row r="3" spans="1:27">
      <c r="A3" s="4" t="s">
        <v>659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O3" s="5" t="s">
        <v>660</v>
      </c>
      <c r="P3" s="2"/>
      <c r="Q3" s="2"/>
      <c r="R3" s="2"/>
      <c r="S3" s="2"/>
      <c r="T3" s="2"/>
      <c r="U3" s="2"/>
      <c r="V3" s="2"/>
      <c r="W3" s="2"/>
      <c r="X3" s="2"/>
      <c r="Y3" s="2"/>
      <c r="Z3" s="3"/>
    </row>
    <row r="4" spans="1:27">
      <c r="A4" s="6" t="s">
        <v>95</v>
      </c>
      <c r="B4" s="6" t="s">
        <v>96</v>
      </c>
      <c r="C4" s="6" t="s">
        <v>97</v>
      </c>
      <c r="D4" s="6" t="s">
        <v>98</v>
      </c>
      <c r="E4" s="6" t="s">
        <v>99</v>
      </c>
      <c r="F4" s="6" t="s">
        <v>100</v>
      </c>
      <c r="G4" s="6" t="s">
        <v>47</v>
      </c>
      <c r="H4" s="6" t="s">
        <v>101</v>
      </c>
      <c r="I4" s="6" t="s">
        <v>102</v>
      </c>
      <c r="J4" s="6" t="s">
        <v>103</v>
      </c>
      <c r="K4" s="6" t="s">
        <v>104</v>
      </c>
      <c r="L4" s="6" t="s">
        <v>105</v>
      </c>
      <c r="O4" s="6" t="s">
        <v>95</v>
      </c>
      <c r="P4" s="6" t="s">
        <v>96</v>
      </c>
      <c r="Q4" s="6" t="s">
        <v>97</v>
      </c>
      <c r="R4" s="6" t="s">
        <v>98</v>
      </c>
      <c r="S4" s="6" t="s">
        <v>99</v>
      </c>
      <c r="T4" s="6" t="s">
        <v>100</v>
      </c>
      <c r="U4" s="6" t="s">
        <v>47</v>
      </c>
      <c r="V4" s="6" t="s">
        <v>101</v>
      </c>
      <c r="W4" s="6" t="s">
        <v>102</v>
      </c>
      <c r="X4" s="6" t="s">
        <v>103</v>
      </c>
      <c r="Y4" s="6" t="s">
        <v>104</v>
      </c>
      <c r="Z4" s="6" t="s">
        <v>105</v>
      </c>
    </row>
    <row r="5" spans="1:27">
      <c r="A5" s="7" t="s">
        <v>108</v>
      </c>
      <c r="B5" s="8">
        <v>96.19</v>
      </c>
      <c r="C5" s="8">
        <v>80.32</v>
      </c>
      <c r="D5" s="8">
        <v>74.82</v>
      </c>
      <c r="E5" s="8">
        <v>69.16</v>
      </c>
      <c r="F5" s="8">
        <v>63.86</v>
      </c>
      <c r="G5" s="9">
        <v>59.99</v>
      </c>
      <c r="H5" s="8">
        <v>58.17</v>
      </c>
      <c r="I5" s="8">
        <v>58.59</v>
      </c>
      <c r="J5" s="8">
        <v>62.25</v>
      </c>
      <c r="K5" s="8">
        <v>87.69</v>
      </c>
      <c r="L5" s="8">
        <v>101.84</v>
      </c>
      <c r="O5" s="7" t="s">
        <v>108</v>
      </c>
      <c r="P5" s="8">
        <v>93.54</v>
      </c>
      <c r="Q5" s="8">
        <v>81.14</v>
      </c>
      <c r="R5" s="8">
        <v>75.01</v>
      </c>
      <c r="S5" s="8">
        <v>69.15</v>
      </c>
      <c r="T5" s="8">
        <v>63.92</v>
      </c>
      <c r="U5" s="9">
        <v>59.99</v>
      </c>
      <c r="V5" s="8">
        <v>58.22</v>
      </c>
      <c r="W5" s="8">
        <v>58.96</v>
      </c>
      <c r="X5" s="8">
        <v>65.6</v>
      </c>
      <c r="Y5" s="8">
        <v>75.01</v>
      </c>
      <c r="Z5" s="8">
        <v>85.1</v>
      </c>
    </row>
    <row r="6" spans="1:27">
      <c r="A6" s="10" t="s">
        <v>111</v>
      </c>
      <c r="B6" s="11">
        <v>99.49</v>
      </c>
      <c r="C6" s="11">
        <v>91.4</v>
      </c>
      <c r="D6" s="11">
        <v>85.99</v>
      </c>
      <c r="E6" s="11">
        <v>81.76</v>
      </c>
      <c r="F6" s="11">
        <v>77.99</v>
      </c>
      <c r="G6" s="9">
        <v>74.97</v>
      </c>
      <c r="H6" s="11">
        <v>73.2</v>
      </c>
      <c r="I6" s="11">
        <v>72.66</v>
      </c>
      <c r="J6" s="11">
        <v>73.22</v>
      </c>
      <c r="K6" s="11">
        <v>98.5</v>
      </c>
      <c r="L6" s="11">
        <v>117.49</v>
      </c>
      <c r="O6" s="10" t="s">
        <v>111</v>
      </c>
      <c r="P6" s="11">
        <v>102.38</v>
      </c>
      <c r="Q6" s="11">
        <v>91.66</v>
      </c>
      <c r="R6" s="11">
        <v>86.58</v>
      </c>
      <c r="S6" s="11">
        <v>81.9</v>
      </c>
      <c r="T6" s="11">
        <v>77.9</v>
      </c>
      <c r="U6" s="9">
        <v>74.97</v>
      </c>
      <c r="V6" s="11">
        <v>73.49</v>
      </c>
      <c r="W6" s="11">
        <v>73.63</v>
      </c>
      <c r="X6" s="11">
        <v>77.97</v>
      </c>
      <c r="Y6" s="11">
        <v>85.42</v>
      </c>
      <c r="Z6" s="11">
        <v>94.11</v>
      </c>
    </row>
    <row r="7" spans="1:27">
      <c r="A7" s="7" t="s">
        <v>112</v>
      </c>
      <c r="B7" s="8">
        <v>107.45</v>
      </c>
      <c r="C7" s="8">
        <v>97.85</v>
      </c>
      <c r="D7" s="8">
        <v>94.24</v>
      </c>
      <c r="E7" s="8">
        <v>90.64</v>
      </c>
      <c r="F7" s="8">
        <v>87.38</v>
      </c>
      <c r="G7" s="9">
        <v>85.01</v>
      </c>
      <c r="H7" s="8">
        <v>83.44</v>
      </c>
      <c r="I7" s="8">
        <v>82.94</v>
      </c>
      <c r="J7" s="8">
        <v>84.46</v>
      </c>
      <c r="K7" s="8">
        <v>101.83</v>
      </c>
      <c r="L7" s="8">
        <v>112.12</v>
      </c>
      <c r="O7" s="7" t="s">
        <v>112</v>
      </c>
      <c r="P7" s="8">
        <v>107.8</v>
      </c>
      <c r="Q7" s="8">
        <v>98.63</v>
      </c>
      <c r="R7" s="8">
        <v>94.4</v>
      </c>
      <c r="S7" s="8">
        <v>90.59</v>
      </c>
      <c r="T7" s="8">
        <v>87.38</v>
      </c>
      <c r="U7" s="9">
        <v>85.01</v>
      </c>
      <c r="V7" s="8">
        <v>83.67</v>
      </c>
      <c r="W7" s="8">
        <v>83.47</v>
      </c>
      <c r="X7" s="8">
        <v>86.22</v>
      </c>
      <c r="Y7" s="8">
        <v>91.89</v>
      </c>
      <c r="Z7" s="8">
        <v>99.08</v>
      </c>
    </row>
    <row r="8" spans="1:27">
      <c r="A8" s="10" t="s">
        <v>113</v>
      </c>
      <c r="B8" s="11">
        <v>95.27</v>
      </c>
      <c r="C8" s="11">
        <v>83.8</v>
      </c>
      <c r="D8" s="11">
        <v>78.12</v>
      </c>
      <c r="E8" s="11">
        <v>72.91</v>
      </c>
      <c r="F8" s="11">
        <v>68.29</v>
      </c>
      <c r="G8" s="9">
        <v>64.99</v>
      </c>
      <c r="H8" s="11">
        <v>63.5</v>
      </c>
      <c r="I8" s="11">
        <v>64.09</v>
      </c>
      <c r="J8" s="11">
        <v>69.85</v>
      </c>
      <c r="K8" s="11">
        <v>78.48</v>
      </c>
      <c r="L8" s="11">
        <v>87.96</v>
      </c>
      <c r="O8" s="10" t="s">
        <v>113</v>
      </c>
      <c r="P8" s="11">
        <v>95.3</v>
      </c>
      <c r="Q8" s="11">
        <v>83.74</v>
      </c>
      <c r="R8" s="11">
        <v>78.14</v>
      </c>
      <c r="S8" s="11">
        <v>72.88</v>
      </c>
      <c r="T8" s="11">
        <v>68.32</v>
      </c>
      <c r="U8" s="9">
        <v>64.99</v>
      </c>
      <c r="V8" s="11">
        <v>63.49</v>
      </c>
      <c r="W8" s="11">
        <v>64.07</v>
      </c>
      <c r="X8" s="11">
        <v>69.84</v>
      </c>
      <c r="Y8" s="11">
        <v>78.49</v>
      </c>
      <c r="Z8" s="11">
        <v>88.02</v>
      </c>
    </row>
    <row r="9" spans="1:27">
      <c r="A9" s="7" t="s">
        <v>114</v>
      </c>
      <c r="B9" s="8">
        <v>103.38</v>
      </c>
      <c r="C9" s="8">
        <v>94.03</v>
      </c>
      <c r="D9" s="8">
        <v>89.67</v>
      </c>
      <c r="E9" s="8">
        <v>85.77</v>
      </c>
      <c r="F9" s="8">
        <v>82.43</v>
      </c>
      <c r="G9" s="9">
        <v>79.98</v>
      </c>
      <c r="H9" s="8">
        <v>78.72</v>
      </c>
      <c r="I9" s="8">
        <v>78.65</v>
      </c>
      <c r="J9" s="8">
        <v>81.88</v>
      </c>
      <c r="K9" s="8">
        <v>88.1</v>
      </c>
      <c r="L9" s="8">
        <v>95.74</v>
      </c>
      <c r="O9" s="7" t="s">
        <v>114</v>
      </c>
      <c r="P9" s="8">
        <v>103.44</v>
      </c>
      <c r="Q9" s="8">
        <v>94.03</v>
      </c>
      <c r="R9" s="8">
        <v>89.66</v>
      </c>
      <c r="S9" s="8">
        <v>85.72</v>
      </c>
      <c r="T9" s="8">
        <v>82.4</v>
      </c>
      <c r="U9" s="9">
        <v>79.98</v>
      </c>
      <c r="V9" s="8">
        <v>78.69</v>
      </c>
      <c r="W9" s="8">
        <v>78.66</v>
      </c>
      <c r="X9" s="8">
        <v>81.92</v>
      </c>
      <c r="Y9" s="8">
        <v>88.09</v>
      </c>
      <c r="Z9" s="8">
        <v>95.65</v>
      </c>
    </row>
    <row r="10" spans="1:27">
      <c r="A10" s="10" t="s">
        <v>115</v>
      </c>
      <c r="B10" s="11">
        <v>109.46</v>
      </c>
      <c r="C10" s="11">
        <v>101.39</v>
      </c>
      <c r="D10" s="11">
        <v>97.8</v>
      </c>
      <c r="E10" s="11">
        <v>94.61</v>
      </c>
      <c r="F10" s="11">
        <v>91.97</v>
      </c>
      <c r="G10" s="9">
        <v>89.99</v>
      </c>
      <c r="H10" s="11">
        <v>88.88</v>
      </c>
      <c r="I10" s="11">
        <v>88.64</v>
      </c>
      <c r="J10" s="11">
        <v>90.74</v>
      </c>
      <c r="K10" s="11">
        <v>95.53</v>
      </c>
      <c r="L10" s="11">
        <v>101.83</v>
      </c>
      <c r="O10" s="10" t="s">
        <v>115</v>
      </c>
      <c r="P10" s="11">
        <v>109.45</v>
      </c>
      <c r="Q10" s="11">
        <v>101.43</v>
      </c>
      <c r="R10" s="11">
        <v>97.82</v>
      </c>
      <c r="S10" s="11">
        <v>94.61</v>
      </c>
      <c r="T10" s="11">
        <v>91.95</v>
      </c>
      <c r="U10" s="9">
        <v>89.99</v>
      </c>
      <c r="V10" s="11">
        <v>88.88</v>
      </c>
      <c r="W10" s="11">
        <v>88.67</v>
      </c>
      <c r="X10" s="11">
        <v>90.8</v>
      </c>
      <c r="Y10" s="11">
        <v>95.51</v>
      </c>
      <c r="Z10" s="11">
        <v>101.74</v>
      </c>
    </row>
    <row r="11" spans="1:27">
      <c r="A11" s="7" t="s">
        <v>116</v>
      </c>
      <c r="B11" s="8">
        <v>87.78</v>
      </c>
      <c r="C11" s="8">
        <v>76.97</v>
      </c>
      <c r="D11" s="8">
        <v>71.73</v>
      </c>
      <c r="E11" s="8">
        <v>66.87</v>
      </c>
      <c r="F11" s="8">
        <v>62.79</v>
      </c>
      <c r="G11" s="9">
        <v>60.01</v>
      </c>
      <c r="H11" s="8">
        <v>59.09</v>
      </c>
      <c r="I11" s="8">
        <v>60.22</v>
      </c>
      <c r="J11" s="8">
        <v>66.43</v>
      </c>
      <c r="K11" s="8">
        <v>75.23</v>
      </c>
      <c r="L11" s="8">
        <v>84.57</v>
      </c>
      <c r="O11" s="7" t="s">
        <v>116</v>
      </c>
      <c r="P11" s="8">
        <v>87.79</v>
      </c>
      <c r="Q11" s="8">
        <v>76.95</v>
      </c>
      <c r="R11" s="8">
        <v>71.73</v>
      </c>
      <c r="S11" s="8">
        <v>66.89</v>
      </c>
      <c r="T11" s="8">
        <v>62.8</v>
      </c>
      <c r="U11" s="9">
        <v>60.01</v>
      </c>
      <c r="V11" s="8">
        <v>59.1</v>
      </c>
      <c r="W11" s="8">
        <v>60.2</v>
      </c>
      <c r="X11" s="8">
        <v>66.5</v>
      </c>
      <c r="Y11" s="8">
        <v>75.19</v>
      </c>
      <c r="Z11" s="8">
        <v>84.55</v>
      </c>
    </row>
    <row r="12" spans="1:27">
      <c r="A12" s="10" t="s">
        <v>117</v>
      </c>
      <c r="B12" s="11">
        <v>98.5</v>
      </c>
      <c r="C12" s="11">
        <v>90.03</v>
      </c>
      <c r="D12" s="11">
        <v>86.13</v>
      </c>
      <c r="E12" s="11">
        <v>82.73</v>
      </c>
      <c r="F12" s="11">
        <v>79.95</v>
      </c>
      <c r="G12" s="9">
        <v>78.01</v>
      </c>
      <c r="H12" s="11">
        <v>77.09</v>
      </c>
      <c r="I12" s="11">
        <v>77.29</v>
      </c>
      <c r="J12" s="11">
        <v>80.62</v>
      </c>
      <c r="K12" s="11">
        <v>86.54</v>
      </c>
      <c r="L12" s="11">
        <v>93.67</v>
      </c>
      <c r="O12" s="10" t="s">
        <v>117</v>
      </c>
      <c r="P12" s="11">
        <v>98.49</v>
      </c>
      <c r="Q12" s="11">
        <v>90.02</v>
      </c>
      <c r="R12" s="11">
        <v>86.16</v>
      </c>
      <c r="S12" s="11">
        <v>82.74</v>
      </c>
      <c r="T12" s="11">
        <v>79.95</v>
      </c>
      <c r="U12" s="9">
        <v>78.01</v>
      </c>
      <c r="V12" s="11">
        <v>77.11</v>
      </c>
      <c r="W12" s="11">
        <v>77.32</v>
      </c>
      <c r="X12" s="11">
        <v>80.64</v>
      </c>
      <c r="Y12" s="11">
        <v>86.52</v>
      </c>
      <c r="Z12" s="11">
        <v>93.66</v>
      </c>
    </row>
    <row r="13" spans="1:27">
      <c r="A13" s="7" t="s">
        <v>118</v>
      </c>
      <c r="B13" s="8">
        <v>104.96</v>
      </c>
      <c r="C13" s="8">
        <v>97.71</v>
      </c>
      <c r="D13" s="8">
        <v>94.49</v>
      </c>
      <c r="E13" s="8">
        <v>91.73</v>
      </c>
      <c r="F13" s="8">
        <v>89.49</v>
      </c>
      <c r="G13" s="9">
        <v>88</v>
      </c>
      <c r="H13" s="8">
        <v>87.29</v>
      </c>
      <c r="I13" s="8">
        <v>87.42</v>
      </c>
      <c r="J13" s="8">
        <v>90.04</v>
      </c>
      <c r="K13" s="8">
        <v>94.9</v>
      </c>
      <c r="L13" s="8">
        <v>101.09</v>
      </c>
      <c r="O13" s="7" t="s">
        <v>118</v>
      </c>
      <c r="P13" s="8">
        <v>104.97</v>
      </c>
      <c r="Q13" s="8">
        <v>97.7</v>
      </c>
      <c r="R13" s="8">
        <v>94.49</v>
      </c>
      <c r="S13" s="8">
        <v>91.71</v>
      </c>
      <c r="T13" s="8">
        <v>89.5</v>
      </c>
      <c r="U13" s="9">
        <v>88</v>
      </c>
      <c r="V13" s="8">
        <v>87.3</v>
      </c>
      <c r="W13" s="8">
        <v>87.44</v>
      </c>
      <c r="X13" s="8">
        <v>90.03</v>
      </c>
      <c r="Y13" s="8">
        <v>94.89</v>
      </c>
      <c r="Z13" s="8">
        <v>101.09</v>
      </c>
    </row>
    <row r="14" spans="1:27">
      <c r="A14" s="12" t="s">
        <v>119</v>
      </c>
      <c r="B14" s="12" t="s">
        <v>119</v>
      </c>
      <c r="C14" s="12" t="s">
        <v>119</v>
      </c>
      <c r="D14" s="12" t="s">
        <v>119</v>
      </c>
      <c r="E14" s="12" t="s">
        <v>119</v>
      </c>
      <c r="F14" s="12" t="s">
        <v>119</v>
      </c>
      <c r="G14" s="12" t="s">
        <v>119</v>
      </c>
      <c r="H14" s="12" t="s">
        <v>119</v>
      </c>
      <c r="I14" s="12" t="s">
        <v>119</v>
      </c>
      <c r="J14" s="12" t="s">
        <v>119</v>
      </c>
      <c r="K14" s="12" t="s">
        <v>119</v>
      </c>
      <c r="L14" s="12" t="s">
        <v>119</v>
      </c>
      <c r="M14" s="12" t="s">
        <v>119</v>
      </c>
      <c r="N14" s="12" t="s">
        <v>119</v>
      </c>
      <c r="O14" s="12" t="s">
        <v>119</v>
      </c>
      <c r="P14" s="12" t="s">
        <v>119</v>
      </c>
      <c r="Q14" s="12" t="s">
        <v>119</v>
      </c>
      <c r="R14" s="12" t="s">
        <v>119</v>
      </c>
      <c r="S14" s="12" t="s">
        <v>119</v>
      </c>
      <c r="T14" s="12" t="s">
        <v>119</v>
      </c>
      <c r="U14" s="12" t="s">
        <v>119</v>
      </c>
      <c r="V14" s="12" t="s">
        <v>119</v>
      </c>
      <c r="W14" s="12" t="s">
        <v>119</v>
      </c>
      <c r="X14" s="12" t="s">
        <v>119</v>
      </c>
      <c r="Y14" s="12" t="s">
        <v>119</v>
      </c>
      <c r="Z14" s="12" t="s">
        <v>119</v>
      </c>
      <c r="AA14" s="12" t="s">
        <v>119</v>
      </c>
    </row>
    <row r="15" spans="1:27">
      <c r="A15" s="4" t="s">
        <v>120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3"/>
    </row>
    <row r="16" spans="1:27">
      <c r="A16" s="4" t="s">
        <v>659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  <c r="O16" s="5" t="s">
        <v>660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3"/>
    </row>
    <row r="17" spans="1:27">
      <c r="A17" s="6" t="s">
        <v>95</v>
      </c>
      <c r="B17" s="6" t="s">
        <v>96</v>
      </c>
      <c r="C17" s="6" t="s">
        <v>97</v>
      </c>
      <c r="D17" s="6" t="s">
        <v>98</v>
      </c>
      <c r="E17" s="6" t="s">
        <v>99</v>
      </c>
      <c r="F17" s="6" t="s">
        <v>100</v>
      </c>
      <c r="G17" s="6" t="s">
        <v>47</v>
      </c>
      <c r="H17" s="6" t="s">
        <v>101</v>
      </c>
      <c r="I17" s="6" t="s">
        <v>102</v>
      </c>
      <c r="J17" s="6" t="s">
        <v>103</v>
      </c>
      <c r="K17" s="6" t="s">
        <v>104</v>
      </c>
      <c r="L17" s="6" t="s">
        <v>105</v>
      </c>
      <c r="O17" s="6" t="s">
        <v>95</v>
      </c>
      <c r="P17" s="6" t="s">
        <v>96</v>
      </c>
      <c r="Q17" s="6" t="s">
        <v>97</v>
      </c>
      <c r="R17" s="6" t="s">
        <v>98</v>
      </c>
      <c r="S17" s="6" t="s">
        <v>99</v>
      </c>
      <c r="T17" s="6" t="s">
        <v>100</v>
      </c>
      <c r="U17" s="6" t="s">
        <v>47</v>
      </c>
      <c r="V17" s="6" t="s">
        <v>101</v>
      </c>
      <c r="W17" s="6" t="s">
        <v>102</v>
      </c>
      <c r="X17" s="6" t="s">
        <v>103</v>
      </c>
      <c r="Y17" s="6" t="s">
        <v>104</v>
      </c>
      <c r="Z17" s="6" t="s">
        <v>105</v>
      </c>
    </row>
    <row r="18" spans="1:27">
      <c r="A18" s="7" t="s">
        <v>108</v>
      </c>
      <c r="B18" s="8">
        <v>90.57</v>
      </c>
      <c r="C18" s="8">
        <v>79.34</v>
      </c>
      <c r="D18" s="8">
        <v>74.91</v>
      </c>
      <c r="E18" s="8">
        <v>69.38</v>
      </c>
      <c r="F18" s="8">
        <v>64.32</v>
      </c>
      <c r="G18" s="9">
        <v>60.5</v>
      </c>
      <c r="H18" s="8">
        <v>58.57</v>
      </c>
      <c r="I18" s="8">
        <v>59.29</v>
      </c>
      <c r="J18" s="8">
        <v>65.58</v>
      </c>
      <c r="K18" s="8">
        <v>86.76</v>
      </c>
      <c r="L18" s="8">
        <v>60.5</v>
      </c>
      <c r="O18" s="7" t="s">
        <v>108</v>
      </c>
      <c r="P18" s="8">
        <v>92.78</v>
      </c>
      <c r="Q18" s="8">
        <v>80.78</v>
      </c>
      <c r="R18" s="8">
        <v>74.87</v>
      </c>
      <c r="S18" s="8">
        <v>69.25</v>
      </c>
      <c r="T18" s="8">
        <v>64.25</v>
      </c>
      <c r="U18" s="9">
        <v>60.5</v>
      </c>
      <c r="V18" s="8">
        <v>58.75</v>
      </c>
      <c r="W18" s="8">
        <v>59.34</v>
      </c>
      <c r="X18" s="8">
        <v>65.51</v>
      </c>
      <c r="Y18" s="8">
        <v>74.5</v>
      </c>
      <c r="Z18" s="8">
        <v>84.23</v>
      </c>
    </row>
    <row r="19" spans="1:27">
      <c r="A19" s="10" t="s">
        <v>111</v>
      </c>
      <c r="B19" s="11">
        <v>89.26</v>
      </c>
      <c r="C19" s="11">
        <v>91.73</v>
      </c>
      <c r="D19" s="11">
        <v>86.92</v>
      </c>
      <c r="E19" s="11">
        <v>82.68</v>
      </c>
      <c r="F19" s="11">
        <v>78.51</v>
      </c>
      <c r="G19" s="9">
        <v>75.51</v>
      </c>
      <c r="H19" s="11">
        <v>73.68</v>
      </c>
      <c r="I19" s="11">
        <v>73.11</v>
      </c>
      <c r="J19" s="11">
        <v>77.94</v>
      </c>
      <c r="K19" s="11">
        <v>94.01</v>
      </c>
      <c r="L19" s="11">
        <v>121.54</v>
      </c>
      <c r="O19" s="10" t="s">
        <v>111</v>
      </c>
      <c r="P19" s="11">
        <v>103.54</v>
      </c>
      <c r="Q19" s="11">
        <v>92.57</v>
      </c>
      <c r="R19" s="11">
        <v>87.37</v>
      </c>
      <c r="S19" s="11">
        <v>82.58</v>
      </c>
      <c r="T19" s="11">
        <v>78.49</v>
      </c>
      <c r="U19" s="9">
        <v>75.51</v>
      </c>
      <c r="V19" s="11">
        <v>74.02</v>
      </c>
      <c r="W19" s="11">
        <v>74.21</v>
      </c>
      <c r="X19" s="11">
        <v>78.77</v>
      </c>
      <c r="Y19" s="11">
        <v>86.46</v>
      </c>
      <c r="Z19" s="11">
        <v>95.39</v>
      </c>
    </row>
    <row r="20" spans="1:27">
      <c r="A20" s="7" t="s">
        <v>112</v>
      </c>
      <c r="B20" s="8">
        <v>105.31</v>
      </c>
      <c r="C20" s="8">
        <v>99.44</v>
      </c>
      <c r="D20" s="8">
        <v>94.58</v>
      </c>
      <c r="E20" s="8">
        <v>91.17</v>
      </c>
      <c r="F20" s="8">
        <v>88.07</v>
      </c>
      <c r="G20" s="9">
        <v>85.47</v>
      </c>
      <c r="H20" s="8">
        <v>83.93</v>
      </c>
      <c r="I20" s="8">
        <v>83.47</v>
      </c>
      <c r="J20" s="8">
        <v>84.99</v>
      </c>
      <c r="K20" s="8">
        <v>80.84</v>
      </c>
      <c r="L20" s="8">
        <v>85.47</v>
      </c>
      <c r="O20" s="7" t="s">
        <v>112</v>
      </c>
      <c r="P20" s="8">
        <v>107.55</v>
      </c>
      <c r="Q20" s="8">
        <v>98.83</v>
      </c>
      <c r="R20" s="8">
        <v>94.78</v>
      </c>
      <c r="S20" s="8">
        <v>91.1</v>
      </c>
      <c r="T20" s="8">
        <v>87.94</v>
      </c>
      <c r="U20" s="9">
        <v>85.47</v>
      </c>
      <c r="V20" s="8">
        <v>83.9</v>
      </c>
      <c r="W20" s="8">
        <v>83.31</v>
      </c>
      <c r="X20" s="8">
        <v>85.05</v>
      </c>
      <c r="Y20" s="8">
        <v>89.68</v>
      </c>
      <c r="Z20" s="8">
        <v>95.95</v>
      </c>
    </row>
    <row r="21" spans="1:27">
      <c r="A21" s="10" t="s">
        <v>113</v>
      </c>
      <c r="B21" s="11">
        <v>95.73</v>
      </c>
      <c r="C21" s="11">
        <v>84.25</v>
      </c>
      <c r="D21" s="11">
        <v>78.61</v>
      </c>
      <c r="E21" s="11">
        <v>73.43</v>
      </c>
      <c r="F21" s="11">
        <v>68.81</v>
      </c>
      <c r="G21" s="9">
        <v>65.5</v>
      </c>
      <c r="H21" s="11">
        <v>64.01</v>
      </c>
      <c r="I21" s="11">
        <v>64.51</v>
      </c>
      <c r="J21" s="11">
        <v>70.27</v>
      </c>
      <c r="K21" s="11">
        <v>79</v>
      </c>
      <c r="L21" s="11">
        <v>88.11</v>
      </c>
      <c r="O21" s="10" t="s">
        <v>113</v>
      </c>
      <c r="P21" s="11">
        <v>95.77</v>
      </c>
      <c r="Q21" s="11">
        <v>84.22</v>
      </c>
      <c r="R21" s="11">
        <v>78.62</v>
      </c>
      <c r="S21" s="11">
        <v>73.38</v>
      </c>
      <c r="T21" s="11">
        <v>68.82</v>
      </c>
      <c r="U21" s="9">
        <v>65.5</v>
      </c>
      <c r="V21" s="11">
        <v>63.99</v>
      </c>
      <c r="W21" s="11">
        <v>64.53</v>
      </c>
      <c r="X21" s="11">
        <v>70.24</v>
      </c>
      <c r="Y21" s="11">
        <v>78.85</v>
      </c>
      <c r="Z21" s="11">
        <v>88.36</v>
      </c>
    </row>
    <row r="22" spans="1:27">
      <c r="A22" s="7" t="s">
        <v>114</v>
      </c>
      <c r="B22" s="8">
        <v>103.93</v>
      </c>
      <c r="C22" s="8">
        <v>94.54</v>
      </c>
      <c r="D22" s="8">
        <v>90.19</v>
      </c>
      <c r="E22" s="8">
        <v>86.2</v>
      </c>
      <c r="F22" s="8">
        <v>82.89</v>
      </c>
      <c r="G22" s="9">
        <v>80.51</v>
      </c>
      <c r="H22" s="8">
        <v>79.21</v>
      </c>
      <c r="I22" s="8">
        <v>79.16</v>
      </c>
      <c r="J22" s="8">
        <v>82.37</v>
      </c>
      <c r="K22" s="8">
        <v>88.43</v>
      </c>
      <c r="L22" s="8">
        <v>96.03</v>
      </c>
      <c r="O22" s="7" t="s">
        <v>114</v>
      </c>
      <c r="P22" s="8">
        <v>103.92</v>
      </c>
      <c r="Q22" s="8">
        <v>94.53</v>
      </c>
      <c r="R22" s="8">
        <v>90.17</v>
      </c>
      <c r="S22" s="8">
        <v>86.23</v>
      </c>
      <c r="T22" s="8">
        <v>82.93</v>
      </c>
      <c r="U22" s="9">
        <v>80.51</v>
      </c>
      <c r="V22" s="8">
        <v>79.21</v>
      </c>
      <c r="W22" s="8">
        <v>79.15</v>
      </c>
      <c r="X22" s="8">
        <v>82.36</v>
      </c>
      <c r="Y22" s="8">
        <v>88.47</v>
      </c>
      <c r="Z22" s="8">
        <v>96</v>
      </c>
    </row>
    <row r="23" spans="1:27">
      <c r="A23" s="10" t="s">
        <v>115</v>
      </c>
      <c r="B23" s="11">
        <v>109.9</v>
      </c>
      <c r="C23" s="11">
        <v>101.88</v>
      </c>
      <c r="D23" s="11">
        <v>98.35</v>
      </c>
      <c r="E23" s="11">
        <v>95.11</v>
      </c>
      <c r="F23" s="11">
        <v>92.42</v>
      </c>
      <c r="G23" s="9">
        <v>90.51</v>
      </c>
      <c r="H23" s="11">
        <v>89.36</v>
      </c>
      <c r="I23" s="11">
        <v>89.18</v>
      </c>
      <c r="J23" s="11">
        <v>91.29</v>
      </c>
      <c r="K23" s="11">
        <v>95.87</v>
      </c>
      <c r="L23" s="11">
        <v>102.21</v>
      </c>
      <c r="O23" s="10" t="s">
        <v>115</v>
      </c>
      <c r="P23" s="11">
        <v>109.9</v>
      </c>
      <c r="Q23" s="11">
        <v>101.91</v>
      </c>
      <c r="R23" s="11">
        <v>98.31</v>
      </c>
      <c r="S23" s="11">
        <v>95.11</v>
      </c>
      <c r="T23" s="11">
        <v>92.46</v>
      </c>
      <c r="U23" s="9">
        <v>90.51</v>
      </c>
      <c r="V23" s="11">
        <v>89.39</v>
      </c>
      <c r="W23" s="11">
        <v>89.17</v>
      </c>
      <c r="X23" s="11">
        <v>91.27</v>
      </c>
      <c r="Y23" s="11">
        <v>95.94</v>
      </c>
      <c r="Z23" s="11">
        <v>102.14</v>
      </c>
    </row>
    <row r="24" spans="1:27">
      <c r="A24" s="7" t="s">
        <v>116</v>
      </c>
      <c r="B24" s="8">
        <v>88.25</v>
      </c>
      <c r="C24" s="8">
        <v>77.42</v>
      </c>
      <c r="D24" s="8">
        <v>72.23</v>
      </c>
      <c r="E24" s="8">
        <v>67.36</v>
      </c>
      <c r="F24" s="8">
        <v>63.27</v>
      </c>
      <c r="G24" s="9">
        <v>60.49</v>
      </c>
      <c r="H24" s="8">
        <v>59.57</v>
      </c>
      <c r="I24" s="8">
        <v>60.66</v>
      </c>
      <c r="J24" s="8">
        <v>66.93</v>
      </c>
      <c r="K24" s="8">
        <v>75.6</v>
      </c>
      <c r="L24" s="8">
        <v>84.99</v>
      </c>
      <c r="O24" s="7" t="s">
        <v>116</v>
      </c>
      <c r="P24" s="8">
        <v>88.27</v>
      </c>
      <c r="Q24" s="8">
        <v>77.42</v>
      </c>
      <c r="R24" s="8">
        <v>72.2</v>
      </c>
      <c r="S24" s="8">
        <v>67.37</v>
      </c>
      <c r="T24" s="8">
        <v>63.28</v>
      </c>
      <c r="U24" s="9">
        <v>60.49</v>
      </c>
      <c r="V24" s="8">
        <v>59.58</v>
      </c>
      <c r="W24" s="8">
        <v>60.65</v>
      </c>
      <c r="X24" s="8">
        <v>66.93</v>
      </c>
      <c r="Y24" s="8">
        <v>75.61</v>
      </c>
      <c r="Z24" s="8">
        <v>84.98</v>
      </c>
    </row>
    <row r="25" spans="1:27">
      <c r="A25" s="10" t="s">
        <v>117</v>
      </c>
      <c r="B25" s="11">
        <v>98.97</v>
      </c>
      <c r="C25" s="11">
        <v>90.53</v>
      </c>
      <c r="D25" s="11">
        <v>86.64</v>
      </c>
      <c r="E25" s="11">
        <v>83.27</v>
      </c>
      <c r="F25" s="11">
        <v>80.45</v>
      </c>
      <c r="G25" s="9">
        <v>78.49</v>
      </c>
      <c r="H25" s="11">
        <v>77.58</v>
      </c>
      <c r="I25" s="11">
        <v>77.8</v>
      </c>
      <c r="J25" s="11">
        <v>81.08</v>
      </c>
      <c r="K25" s="11">
        <v>86.96</v>
      </c>
      <c r="L25" s="11">
        <v>94.09</v>
      </c>
      <c r="O25" s="10" t="s">
        <v>117</v>
      </c>
      <c r="P25" s="11">
        <v>98.99</v>
      </c>
      <c r="Q25" s="11">
        <v>90.52</v>
      </c>
      <c r="R25" s="11">
        <v>86.66</v>
      </c>
      <c r="S25" s="11">
        <v>83.23</v>
      </c>
      <c r="T25" s="11">
        <v>80.44</v>
      </c>
      <c r="U25" s="9">
        <v>78.49</v>
      </c>
      <c r="V25" s="11">
        <v>77.59</v>
      </c>
      <c r="W25" s="11">
        <v>77.78</v>
      </c>
      <c r="X25" s="11">
        <v>81.08</v>
      </c>
      <c r="Y25" s="11">
        <v>86.95</v>
      </c>
      <c r="Z25" s="11">
        <v>94.09</v>
      </c>
    </row>
    <row r="26" spans="1:27">
      <c r="A26" s="7" t="s">
        <v>118</v>
      </c>
      <c r="B26" s="8">
        <v>105.43</v>
      </c>
      <c r="C26" s="8">
        <v>98.16</v>
      </c>
      <c r="D26" s="8">
        <v>94.95</v>
      </c>
      <c r="E26" s="8">
        <v>92.2</v>
      </c>
      <c r="F26" s="8">
        <v>90.02</v>
      </c>
      <c r="G26" s="9">
        <v>88.5</v>
      </c>
      <c r="H26" s="8">
        <v>87.78</v>
      </c>
      <c r="I26" s="8">
        <v>87.93</v>
      </c>
      <c r="J26" s="8">
        <v>90.5</v>
      </c>
      <c r="K26" s="8">
        <v>95.31</v>
      </c>
      <c r="L26" s="8">
        <v>101.52</v>
      </c>
      <c r="O26" s="7" t="s">
        <v>118</v>
      </c>
      <c r="P26" s="8">
        <v>105.42</v>
      </c>
      <c r="Q26" s="8">
        <v>98.17</v>
      </c>
      <c r="R26" s="8">
        <v>94.97</v>
      </c>
      <c r="S26" s="8">
        <v>92.2</v>
      </c>
      <c r="T26" s="8">
        <v>90</v>
      </c>
      <c r="U26" s="9">
        <v>88.5</v>
      </c>
      <c r="V26" s="8">
        <v>87.8</v>
      </c>
      <c r="W26" s="8">
        <v>87.93</v>
      </c>
      <c r="X26" s="8">
        <v>90.5</v>
      </c>
      <c r="Y26" s="8">
        <v>95.33</v>
      </c>
      <c r="Z26" s="8">
        <v>101.51</v>
      </c>
    </row>
    <row r="27" spans="1:27">
      <c r="A27" s="12" t="s">
        <v>119</v>
      </c>
      <c r="B27" s="12" t="s">
        <v>119</v>
      </c>
      <c r="C27" s="12" t="s">
        <v>119</v>
      </c>
      <c r="D27" s="12" t="s">
        <v>119</v>
      </c>
      <c r="E27" s="12" t="s">
        <v>119</v>
      </c>
      <c r="F27" s="12" t="s">
        <v>119</v>
      </c>
      <c r="G27" s="12" t="s">
        <v>119</v>
      </c>
      <c r="H27" s="12" t="s">
        <v>119</v>
      </c>
      <c r="I27" s="12" t="s">
        <v>119</v>
      </c>
      <c r="J27" s="12" t="s">
        <v>119</v>
      </c>
      <c r="K27" s="12" t="s">
        <v>119</v>
      </c>
      <c r="L27" s="12" t="s">
        <v>119</v>
      </c>
      <c r="M27" s="12" t="s">
        <v>119</v>
      </c>
      <c r="N27" s="12" t="s">
        <v>119</v>
      </c>
      <c r="O27" s="12" t="s">
        <v>119</v>
      </c>
      <c r="P27" s="12" t="s">
        <v>119</v>
      </c>
      <c r="Q27" s="12" t="s">
        <v>119</v>
      </c>
      <c r="R27" s="12" t="s">
        <v>119</v>
      </c>
      <c r="S27" s="12" t="s">
        <v>119</v>
      </c>
      <c r="T27" s="12" t="s">
        <v>119</v>
      </c>
      <c r="U27" s="12" t="s">
        <v>119</v>
      </c>
      <c r="V27" s="12" t="s">
        <v>119</v>
      </c>
      <c r="W27" s="12" t="s">
        <v>119</v>
      </c>
      <c r="X27" s="12" t="s">
        <v>119</v>
      </c>
      <c r="Y27" s="12" t="s">
        <v>119</v>
      </c>
      <c r="Z27" s="12" t="s">
        <v>119</v>
      </c>
      <c r="AA27" s="12" t="s">
        <v>119</v>
      </c>
    </row>
    <row r="28" spans="1:27">
      <c r="A28" s="4" t="s">
        <v>121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3"/>
    </row>
    <row r="29" spans="1:27">
      <c r="A29" s="4" t="s">
        <v>659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O29" s="5" t="s">
        <v>660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3"/>
    </row>
    <row r="30" spans="1:27">
      <c r="A30" s="6" t="s">
        <v>95</v>
      </c>
      <c r="B30" s="6" t="s">
        <v>96</v>
      </c>
      <c r="C30" s="6" t="s">
        <v>97</v>
      </c>
      <c r="D30" s="6" t="s">
        <v>98</v>
      </c>
      <c r="E30" s="6" t="s">
        <v>99</v>
      </c>
      <c r="F30" s="6" t="s">
        <v>100</v>
      </c>
      <c r="G30" s="6" t="s">
        <v>47</v>
      </c>
      <c r="H30" s="6" t="s">
        <v>101</v>
      </c>
      <c r="I30" s="6" t="s">
        <v>102</v>
      </c>
      <c r="J30" s="6" t="s">
        <v>103</v>
      </c>
      <c r="K30" s="6" t="s">
        <v>104</v>
      </c>
      <c r="L30" s="6" t="s">
        <v>105</v>
      </c>
      <c r="O30" s="6" t="s">
        <v>95</v>
      </c>
      <c r="P30" s="6" t="s">
        <v>96</v>
      </c>
      <c r="Q30" s="6" t="s">
        <v>97</v>
      </c>
      <c r="R30" s="6" t="s">
        <v>98</v>
      </c>
      <c r="S30" s="6" t="s">
        <v>99</v>
      </c>
      <c r="T30" s="6" t="s">
        <v>100</v>
      </c>
      <c r="U30" s="6" t="s">
        <v>47</v>
      </c>
      <c r="V30" s="6" t="s">
        <v>101</v>
      </c>
      <c r="W30" s="6" t="s">
        <v>102</v>
      </c>
      <c r="X30" s="6" t="s">
        <v>103</v>
      </c>
      <c r="Y30" s="6" t="s">
        <v>104</v>
      </c>
      <c r="Z30" s="6" t="s">
        <v>105</v>
      </c>
    </row>
    <row r="31" spans="1:27">
      <c r="A31" s="7" t="s">
        <v>108</v>
      </c>
      <c r="B31" s="8">
        <v>94.01</v>
      </c>
      <c r="C31" s="8">
        <v>80.21</v>
      </c>
      <c r="D31" s="8">
        <v>75.66</v>
      </c>
      <c r="E31" s="8">
        <v>69.99</v>
      </c>
      <c r="F31" s="8">
        <v>64.94</v>
      </c>
      <c r="G31" s="9">
        <v>61.03</v>
      </c>
      <c r="H31" s="8">
        <v>58.94</v>
      </c>
      <c r="I31" s="8">
        <v>59.15</v>
      </c>
      <c r="J31" s="8">
        <v>67.42</v>
      </c>
      <c r="K31" s="8">
        <v>90.57</v>
      </c>
      <c r="L31" s="8">
        <v>117.49</v>
      </c>
      <c r="O31" s="7" t="s">
        <v>108</v>
      </c>
      <c r="P31" s="8">
        <v>95.01</v>
      </c>
      <c r="Q31" s="8">
        <v>82.34</v>
      </c>
      <c r="R31" s="8">
        <v>76.1</v>
      </c>
      <c r="S31" s="8">
        <v>70.15</v>
      </c>
      <c r="T31" s="8">
        <v>64.89</v>
      </c>
      <c r="U31" s="9">
        <v>61.03</v>
      </c>
      <c r="V31" s="8">
        <v>59.43</v>
      </c>
      <c r="W31" s="8">
        <v>60.42</v>
      </c>
      <c r="X31" s="8">
        <v>67.55</v>
      </c>
      <c r="Y31" s="8">
        <v>77.37</v>
      </c>
      <c r="Z31" s="8">
        <v>87.82</v>
      </c>
    </row>
    <row r="32" spans="1:27">
      <c r="A32" s="10" t="s">
        <v>111</v>
      </c>
      <c r="B32" s="11">
        <v>111.97</v>
      </c>
      <c r="C32" s="11">
        <v>92.5</v>
      </c>
      <c r="D32" s="11">
        <v>87.64</v>
      </c>
      <c r="E32" s="11">
        <v>83.02</v>
      </c>
      <c r="F32" s="11">
        <v>79.06</v>
      </c>
      <c r="G32" s="9">
        <v>75.99</v>
      </c>
      <c r="H32" s="11">
        <v>74.22</v>
      </c>
      <c r="I32" s="11">
        <v>73.65</v>
      </c>
      <c r="J32" s="11">
        <v>76.35</v>
      </c>
      <c r="K32" s="11">
        <v>80.84</v>
      </c>
      <c r="L32" s="11">
        <v>75.99</v>
      </c>
      <c r="O32" s="10" t="s">
        <v>111</v>
      </c>
      <c r="P32" s="11">
        <v>104.3</v>
      </c>
      <c r="Q32" s="11">
        <v>93.43</v>
      </c>
      <c r="R32" s="11">
        <v>88.24</v>
      </c>
      <c r="S32" s="11">
        <v>83.42</v>
      </c>
      <c r="T32" s="11">
        <v>79.21</v>
      </c>
      <c r="U32" s="9">
        <v>75.99</v>
      </c>
      <c r="V32" s="11">
        <v>74.14</v>
      </c>
      <c r="W32" s="11">
        <v>73.88</v>
      </c>
      <c r="X32" s="11">
        <v>77.56</v>
      </c>
      <c r="Y32" s="11">
        <v>84.58</v>
      </c>
      <c r="Z32" s="11">
        <v>92.99</v>
      </c>
    </row>
    <row r="33" spans="1:27">
      <c r="A33" s="7" t="s">
        <v>112</v>
      </c>
      <c r="B33" s="8">
        <v>112.85</v>
      </c>
      <c r="C33" s="8">
        <v>98.67</v>
      </c>
      <c r="D33" s="8">
        <v>95.43</v>
      </c>
      <c r="E33" s="8">
        <v>91.46</v>
      </c>
      <c r="F33" s="8">
        <v>88.41</v>
      </c>
      <c r="G33" s="9">
        <v>86.03</v>
      </c>
      <c r="H33" s="8">
        <v>84.47</v>
      </c>
      <c r="I33" s="8">
        <v>83.84</v>
      </c>
      <c r="J33" s="8">
        <v>85.31</v>
      </c>
      <c r="K33" s="8">
        <v>96.51</v>
      </c>
      <c r="L33" s="8">
        <v>86.03</v>
      </c>
      <c r="O33" s="7" t="s">
        <v>112</v>
      </c>
      <c r="P33" s="8">
        <v>108.69</v>
      </c>
      <c r="Q33" s="8">
        <v>99.68</v>
      </c>
      <c r="R33" s="8">
        <v>95.51</v>
      </c>
      <c r="S33" s="8">
        <v>91.72</v>
      </c>
      <c r="T33" s="8">
        <v>88.49</v>
      </c>
      <c r="U33" s="9">
        <v>86.03</v>
      </c>
      <c r="V33" s="8">
        <v>84.51</v>
      </c>
      <c r="W33" s="8">
        <v>84.07</v>
      </c>
      <c r="X33" s="8">
        <v>86.22</v>
      </c>
      <c r="Y33" s="8">
        <v>91.32</v>
      </c>
      <c r="Z33" s="8">
        <v>98.03</v>
      </c>
    </row>
    <row r="34" spans="1:27">
      <c r="A34" s="10" t="s">
        <v>113</v>
      </c>
      <c r="B34" s="11">
        <v>96.27</v>
      </c>
      <c r="C34" s="11">
        <v>84.7</v>
      </c>
      <c r="D34" s="11">
        <v>79.09</v>
      </c>
      <c r="E34" s="11">
        <v>73.93</v>
      </c>
      <c r="F34" s="11">
        <v>69.34</v>
      </c>
      <c r="G34" s="9">
        <v>65.98</v>
      </c>
      <c r="H34" s="11">
        <v>64.49</v>
      </c>
      <c r="I34" s="11">
        <v>64.99</v>
      </c>
      <c r="J34" s="11">
        <v>70.72</v>
      </c>
      <c r="K34" s="11">
        <v>79.2</v>
      </c>
      <c r="L34" s="11">
        <v>88.75</v>
      </c>
      <c r="O34" s="10" t="s">
        <v>113</v>
      </c>
      <c r="P34" s="11">
        <v>96.28</v>
      </c>
      <c r="Q34" s="11">
        <v>84.71</v>
      </c>
      <c r="R34" s="11">
        <v>79.11</v>
      </c>
      <c r="S34" s="11">
        <v>73.86</v>
      </c>
      <c r="T34" s="11">
        <v>69.31</v>
      </c>
      <c r="U34" s="9">
        <v>65.98</v>
      </c>
      <c r="V34" s="11">
        <v>64.46</v>
      </c>
      <c r="W34" s="11">
        <v>64.98</v>
      </c>
      <c r="X34" s="11">
        <v>70.66</v>
      </c>
      <c r="Y34" s="11">
        <v>79.26</v>
      </c>
      <c r="Z34" s="11">
        <v>88.78</v>
      </c>
    </row>
    <row r="35" spans="1:27">
      <c r="A35" s="7" t="s">
        <v>114</v>
      </c>
      <c r="B35" s="8">
        <v>104.42</v>
      </c>
      <c r="C35" s="8">
        <v>95.03</v>
      </c>
      <c r="D35" s="8">
        <v>90.62</v>
      </c>
      <c r="E35" s="8">
        <v>86.71</v>
      </c>
      <c r="F35" s="8">
        <v>83.41</v>
      </c>
      <c r="G35" s="9">
        <v>80.99</v>
      </c>
      <c r="H35" s="8">
        <v>79.74</v>
      </c>
      <c r="I35" s="8">
        <v>79.64</v>
      </c>
      <c r="J35" s="8">
        <v>82.75</v>
      </c>
      <c r="K35" s="8">
        <v>88.96</v>
      </c>
      <c r="L35" s="8">
        <v>96.66</v>
      </c>
      <c r="O35" s="7" t="s">
        <v>114</v>
      </c>
      <c r="P35" s="8">
        <v>104.42</v>
      </c>
      <c r="Q35" s="8">
        <v>95.01</v>
      </c>
      <c r="R35" s="8">
        <v>90.65</v>
      </c>
      <c r="S35" s="8">
        <v>86.71</v>
      </c>
      <c r="T35" s="8">
        <v>83.41</v>
      </c>
      <c r="U35" s="9">
        <v>80.99</v>
      </c>
      <c r="V35" s="8">
        <v>79.7</v>
      </c>
      <c r="W35" s="8">
        <v>79.65</v>
      </c>
      <c r="X35" s="8">
        <v>82.85</v>
      </c>
      <c r="Y35" s="8">
        <v>88.97</v>
      </c>
      <c r="Z35" s="8">
        <v>96.51</v>
      </c>
    </row>
    <row r="36" spans="1:27">
      <c r="A36" s="10" t="s">
        <v>115</v>
      </c>
      <c r="B36" s="11">
        <v>110.4</v>
      </c>
      <c r="C36" s="11">
        <v>102.33</v>
      </c>
      <c r="D36" s="11">
        <v>98.77</v>
      </c>
      <c r="E36" s="11">
        <v>95.62</v>
      </c>
      <c r="F36" s="11">
        <v>92.93</v>
      </c>
      <c r="G36" s="9">
        <v>91</v>
      </c>
      <c r="H36" s="11">
        <v>89.89</v>
      </c>
      <c r="I36" s="11">
        <v>89.62</v>
      </c>
      <c r="J36" s="11">
        <v>91.71</v>
      </c>
      <c r="K36" s="11">
        <v>96.16</v>
      </c>
      <c r="L36" s="11">
        <v>102.41</v>
      </c>
      <c r="O36" s="10" t="s">
        <v>115</v>
      </c>
      <c r="P36" s="11">
        <v>110.34</v>
      </c>
      <c r="Q36" s="11">
        <v>102.38</v>
      </c>
      <c r="R36" s="11">
        <v>98.79</v>
      </c>
      <c r="S36" s="11">
        <v>95.6</v>
      </c>
      <c r="T36" s="11">
        <v>92.96</v>
      </c>
      <c r="U36" s="9">
        <v>91</v>
      </c>
      <c r="V36" s="11">
        <v>89.87</v>
      </c>
      <c r="W36" s="11">
        <v>89.63</v>
      </c>
      <c r="X36" s="11">
        <v>91.66</v>
      </c>
      <c r="Y36" s="11">
        <v>96.25</v>
      </c>
      <c r="Z36" s="11">
        <v>102.38</v>
      </c>
    </row>
    <row r="37" spans="1:27">
      <c r="A37" s="7" t="s">
        <v>116</v>
      </c>
      <c r="B37" s="8">
        <v>88.69</v>
      </c>
      <c r="C37" s="8">
        <v>77.84</v>
      </c>
      <c r="D37" s="8">
        <v>72.7</v>
      </c>
      <c r="E37" s="8">
        <v>67.82</v>
      </c>
      <c r="F37" s="8">
        <v>63.76</v>
      </c>
      <c r="G37" s="9">
        <v>61</v>
      </c>
      <c r="H37" s="8">
        <v>60.1</v>
      </c>
      <c r="I37" s="8">
        <v>61.1</v>
      </c>
      <c r="J37" s="8">
        <v>67.37</v>
      </c>
      <c r="K37" s="8">
        <v>75.99</v>
      </c>
      <c r="L37" s="8">
        <v>85.3</v>
      </c>
      <c r="O37" s="7" t="s">
        <v>116</v>
      </c>
      <c r="P37" s="8">
        <v>88.69</v>
      </c>
      <c r="Q37" s="8">
        <v>77.86</v>
      </c>
      <c r="R37" s="8">
        <v>72.66</v>
      </c>
      <c r="S37" s="8">
        <v>67.84</v>
      </c>
      <c r="T37" s="8">
        <v>63.77</v>
      </c>
      <c r="U37" s="9">
        <v>61</v>
      </c>
      <c r="V37" s="8">
        <v>60.08</v>
      </c>
      <c r="W37" s="8">
        <v>61.13</v>
      </c>
      <c r="X37" s="8">
        <v>67.34</v>
      </c>
      <c r="Y37" s="8">
        <v>75.99</v>
      </c>
      <c r="Z37" s="8">
        <v>85.33</v>
      </c>
    </row>
    <row r="38" spans="1:27">
      <c r="A38" s="10" t="s">
        <v>117</v>
      </c>
      <c r="B38" s="11">
        <v>99.44</v>
      </c>
      <c r="C38" s="11">
        <v>90.98</v>
      </c>
      <c r="D38" s="11">
        <v>87.12</v>
      </c>
      <c r="E38" s="11">
        <v>83.72</v>
      </c>
      <c r="F38" s="11">
        <v>80.93</v>
      </c>
      <c r="G38" s="9">
        <v>79</v>
      </c>
      <c r="H38" s="11">
        <v>78.1</v>
      </c>
      <c r="I38" s="11">
        <v>78.31</v>
      </c>
      <c r="J38" s="11">
        <v>81.51</v>
      </c>
      <c r="K38" s="11">
        <v>87.43</v>
      </c>
      <c r="L38" s="11">
        <v>94.4</v>
      </c>
      <c r="O38" s="10" t="s">
        <v>117</v>
      </c>
      <c r="P38" s="11">
        <v>99.43</v>
      </c>
      <c r="Q38" s="11">
        <v>90.97</v>
      </c>
      <c r="R38" s="11">
        <v>87.13</v>
      </c>
      <c r="S38" s="11">
        <v>83.72</v>
      </c>
      <c r="T38" s="11">
        <v>80.94</v>
      </c>
      <c r="U38" s="9">
        <v>79</v>
      </c>
      <c r="V38" s="11">
        <v>78.09</v>
      </c>
      <c r="W38" s="11">
        <v>78.28</v>
      </c>
      <c r="X38" s="11">
        <v>81.54</v>
      </c>
      <c r="Y38" s="11">
        <v>87.36</v>
      </c>
      <c r="Z38" s="11">
        <v>94.47</v>
      </c>
    </row>
    <row r="39" spans="1:27">
      <c r="A39" s="7" t="s">
        <v>118</v>
      </c>
      <c r="B39" s="8">
        <v>105.9</v>
      </c>
      <c r="C39" s="8">
        <v>98.66</v>
      </c>
      <c r="D39" s="8">
        <v>95.47</v>
      </c>
      <c r="E39" s="8">
        <v>92.69</v>
      </c>
      <c r="F39" s="8">
        <v>90.5</v>
      </c>
      <c r="G39" s="9">
        <v>89</v>
      </c>
      <c r="H39" s="8">
        <v>88.29</v>
      </c>
      <c r="I39" s="8">
        <v>88.44</v>
      </c>
      <c r="J39" s="8">
        <v>90.97</v>
      </c>
      <c r="K39" s="8">
        <v>95.76</v>
      </c>
      <c r="L39" s="8">
        <v>101.97</v>
      </c>
      <c r="O39" s="7" t="s">
        <v>118</v>
      </c>
      <c r="P39" s="8">
        <v>105.9</v>
      </c>
      <c r="Q39" s="8">
        <v>98.65</v>
      </c>
      <c r="R39" s="8">
        <v>95.46</v>
      </c>
      <c r="S39" s="8">
        <v>92.7</v>
      </c>
      <c r="T39" s="8">
        <v>90.5</v>
      </c>
      <c r="U39" s="9">
        <v>89</v>
      </c>
      <c r="V39" s="8">
        <v>88.29</v>
      </c>
      <c r="W39" s="8">
        <v>88.42</v>
      </c>
      <c r="X39" s="8">
        <v>90.97</v>
      </c>
      <c r="Y39" s="8">
        <v>95.79</v>
      </c>
      <c r="Z39" s="8">
        <v>101.95</v>
      </c>
    </row>
    <row r="40" spans="1:27">
      <c r="A40" s="12" t="s">
        <v>119</v>
      </c>
      <c r="B40" s="12" t="s">
        <v>119</v>
      </c>
      <c r="C40" s="12" t="s">
        <v>119</v>
      </c>
      <c r="D40" s="12" t="s">
        <v>119</v>
      </c>
      <c r="E40" s="12" t="s">
        <v>119</v>
      </c>
      <c r="F40" s="12" t="s">
        <v>119</v>
      </c>
      <c r="G40" s="12" t="s">
        <v>119</v>
      </c>
      <c r="H40" s="12" t="s">
        <v>119</v>
      </c>
      <c r="I40" s="12" t="s">
        <v>119</v>
      </c>
      <c r="J40" s="12" t="s">
        <v>119</v>
      </c>
      <c r="K40" s="12" t="s">
        <v>119</v>
      </c>
      <c r="L40" s="12" t="s">
        <v>119</v>
      </c>
      <c r="M40" s="12" t="s">
        <v>119</v>
      </c>
      <c r="N40" s="12" t="s">
        <v>119</v>
      </c>
      <c r="O40" s="12" t="s">
        <v>119</v>
      </c>
      <c r="P40" s="12" t="s">
        <v>119</v>
      </c>
      <c r="Q40" s="12" t="s">
        <v>119</v>
      </c>
      <c r="R40" s="12" t="s">
        <v>119</v>
      </c>
      <c r="S40" s="12" t="s">
        <v>119</v>
      </c>
      <c r="T40" s="12" t="s">
        <v>119</v>
      </c>
      <c r="U40" s="12" t="s">
        <v>119</v>
      </c>
      <c r="V40" s="12" t="s">
        <v>119</v>
      </c>
      <c r="W40" s="12" t="s">
        <v>119</v>
      </c>
      <c r="X40" s="12" t="s">
        <v>119</v>
      </c>
      <c r="Y40" s="12" t="s">
        <v>119</v>
      </c>
      <c r="Z40" s="12" t="s">
        <v>119</v>
      </c>
      <c r="AA40" s="12" t="s">
        <v>119</v>
      </c>
    </row>
    <row r="41" spans="1:27">
      <c r="A41" s="4" t="s">
        <v>122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3"/>
    </row>
    <row r="42" spans="1:27">
      <c r="A42" s="4" t="s">
        <v>659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3"/>
      <c r="O42" s="5" t="s">
        <v>660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3"/>
    </row>
    <row r="43" spans="1:27">
      <c r="A43" s="6" t="s">
        <v>95</v>
      </c>
      <c r="B43" s="6" t="s">
        <v>96</v>
      </c>
      <c r="C43" s="6" t="s">
        <v>97</v>
      </c>
      <c r="D43" s="6" t="s">
        <v>98</v>
      </c>
      <c r="E43" s="6" t="s">
        <v>99</v>
      </c>
      <c r="F43" s="6" t="s">
        <v>100</v>
      </c>
      <c r="G43" s="6" t="s">
        <v>47</v>
      </c>
      <c r="H43" s="6" t="s">
        <v>101</v>
      </c>
      <c r="I43" s="6" t="s">
        <v>102</v>
      </c>
      <c r="J43" s="6" t="s">
        <v>103</v>
      </c>
      <c r="K43" s="6" t="s">
        <v>104</v>
      </c>
      <c r="L43" s="6" t="s">
        <v>105</v>
      </c>
      <c r="O43" s="6" t="s">
        <v>95</v>
      </c>
      <c r="P43" s="6" t="s">
        <v>96</v>
      </c>
      <c r="Q43" s="6" t="s">
        <v>97</v>
      </c>
      <c r="R43" s="6" t="s">
        <v>98</v>
      </c>
      <c r="S43" s="6" t="s">
        <v>99</v>
      </c>
      <c r="T43" s="6" t="s">
        <v>100</v>
      </c>
      <c r="U43" s="6" t="s">
        <v>47</v>
      </c>
      <c r="V43" s="6" t="s">
        <v>101</v>
      </c>
      <c r="W43" s="6" t="s">
        <v>102</v>
      </c>
      <c r="X43" s="6" t="s">
        <v>103</v>
      </c>
      <c r="Y43" s="6" t="s">
        <v>104</v>
      </c>
      <c r="Z43" s="6" t="s">
        <v>105</v>
      </c>
    </row>
    <row r="44" spans="1:27">
      <c r="A44" s="7" t="s">
        <v>108</v>
      </c>
      <c r="B44" s="8">
        <v>96.19</v>
      </c>
      <c r="C44" s="8">
        <v>82.66</v>
      </c>
      <c r="D44" s="8">
        <v>76.22</v>
      </c>
      <c r="E44" s="8">
        <v>70.28</v>
      </c>
      <c r="F44" s="8">
        <v>65.33</v>
      </c>
      <c r="G44" s="9">
        <v>61.52</v>
      </c>
      <c r="H44" s="8">
        <v>59.57</v>
      </c>
      <c r="I44" s="8">
        <v>59.81</v>
      </c>
      <c r="J44" s="8">
        <v>66.78</v>
      </c>
      <c r="K44" s="8">
        <v>95.86</v>
      </c>
      <c r="L44" s="8">
        <v>61.52</v>
      </c>
      <c r="O44" s="7" t="s">
        <v>108</v>
      </c>
      <c r="P44" s="8">
        <v>95.56</v>
      </c>
      <c r="Q44" s="8">
        <v>82.86</v>
      </c>
      <c r="R44" s="8">
        <v>76.61</v>
      </c>
      <c r="S44" s="8">
        <v>70.65</v>
      </c>
      <c r="T44" s="8">
        <v>65.38</v>
      </c>
      <c r="U44" s="9">
        <v>61.52</v>
      </c>
      <c r="V44" s="8">
        <v>59.93</v>
      </c>
      <c r="W44" s="8">
        <v>60.91</v>
      </c>
      <c r="X44" s="8">
        <v>68.04</v>
      </c>
      <c r="Y44" s="8">
        <v>77.89</v>
      </c>
      <c r="Z44" s="8">
        <v>88.38</v>
      </c>
    </row>
    <row r="45" spans="1:27">
      <c r="A45" s="10" t="s">
        <v>111</v>
      </c>
      <c r="B45" s="11">
        <v>104.57</v>
      </c>
      <c r="C45" s="11">
        <v>92.57</v>
      </c>
      <c r="D45" s="11">
        <v>87.82</v>
      </c>
      <c r="E45" s="11">
        <v>83.52</v>
      </c>
      <c r="F45" s="11">
        <v>79.57</v>
      </c>
      <c r="G45" s="9">
        <v>76.52</v>
      </c>
      <c r="H45" s="11">
        <v>74.75</v>
      </c>
      <c r="I45" s="11">
        <v>74.23</v>
      </c>
      <c r="J45" s="11">
        <v>78.07</v>
      </c>
      <c r="K45" s="11">
        <v>87.69</v>
      </c>
      <c r="L45" s="11">
        <v>76.52</v>
      </c>
      <c r="O45" s="10" t="s">
        <v>111</v>
      </c>
      <c r="P45" s="11">
        <v>103.23</v>
      </c>
      <c r="Q45" s="11">
        <v>92.91</v>
      </c>
      <c r="R45" s="11">
        <v>88.01</v>
      </c>
      <c r="S45" s="11">
        <v>83.48</v>
      </c>
      <c r="T45" s="11">
        <v>79.54</v>
      </c>
      <c r="U45" s="9">
        <v>76.52</v>
      </c>
      <c r="V45" s="11">
        <v>74.75</v>
      </c>
      <c r="W45" s="11">
        <v>74.42</v>
      </c>
      <c r="X45" s="11">
        <v>77.65</v>
      </c>
      <c r="Y45" s="11">
        <v>84.14</v>
      </c>
      <c r="Z45" s="11">
        <v>92.05</v>
      </c>
    </row>
    <row r="46" spans="1:27">
      <c r="A46" s="7" t="s">
        <v>112</v>
      </c>
      <c r="B46" s="8">
        <v>108.4</v>
      </c>
      <c r="C46" s="8">
        <v>99.91</v>
      </c>
      <c r="D46" s="8">
        <v>95.9</v>
      </c>
      <c r="E46" s="8">
        <v>92.03</v>
      </c>
      <c r="F46" s="8">
        <v>89.06</v>
      </c>
      <c r="G46" s="9">
        <v>86.47</v>
      </c>
      <c r="H46" s="8">
        <v>84.89</v>
      </c>
      <c r="I46" s="8">
        <v>84.56</v>
      </c>
      <c r="J46" s="8">
        <v>86.87</v>
      </c>
      <c r="K46" s="8">
        <v>96.19</v>
      </c>
      <c r="L46" s="8">
        <v>119.7</v>
      </c>
      <c r="O46" s="7" t="s">
        <v>112</v>
      </c>
      <c r="P46" s="8">
        <v>109.62</v>
      </c>
      <c r="Q46" s="8">
        <v>100.3</v>
      </c>
      <c r="R46" s="8">
        <v>96.01</v>
      </c>
      <c r="S46" s="8">
        <v>92.14</v>
      </c>
      <c r="T46" s="8">
        <v>88.88</v>
      </c>
      <c r="U46" s="9">
        <v>86.47</v>
      </c>
      <c r="V46" s="8">
        <v>85.12</v>
      </c>
      <c r="W46" s="8">
        <v>84.92</v>
      </c>
      <c r="X46" s="8">
        <v>87.71</v>
      </c>
      <c r="Y46" s="8">
        <v>93.47</v>
      </c>
      <c r="Z46" s="8">
        <v>100.77</v>
      </c>
    </row>
    <row r="47" spans="1:27">
      <c r="A47" s="10" t="s">
        <v>113</v>
      </c>
      <c r="B47" s="11">
        <v>96.72</v>
      </c>
      <c r="C47" s="11">
        <v>85.14</v>
      </c>
      <c r="D47" s="11">
        <v>79.59</v>
      </c>
      <c r="E47" s="11">
        <v>74.34</v>
      </c>
      <c r="F47" s="11">
        <v>69.84</v>
      </c>
      <c r="G47" s="9">
        <v>66.5</v>
      </c>
      <c r="H47" s="11">
        <v>64.96</v>
      </c>
      <c r="I47" s="11">
        <v>65.47</v>
      </c>
      <c r="J47" s="11">
        <v>71.12</v>
      </c>
      <c r="K47" s="11">
        <v>79.61</v>
      </c>
      <c r="L47" s="11">
        <v>89.02</v>
      </c>
      <c r="O47" s="10" t="s">
        <v>113</v>
      </c>
      <c r="P47" s="11">
        <v>96.7</v>
      </c>
      <c r="Q47" s="11">
        <v>85.16</v>
      </c>
      <c r="R47" s="11">
        <v>79.58</v>
      </c>
      <c r="S47" s="11">
        <v>74.35</v>
      </c>
      <c r="T47" s="11">
        <v>69.82</v>
      </c>
      <c r="U47" s="9">
        <v>66.5</v>
      </c>
      <c r="V47" s="11">
        <v>64.97</v>
      </c>
      <c r="W47" s="11">
        <v>65.47</v>
      </c>
      <c r="X47" s="11">
        <v>71.07</v>
      </c>
      <c r="Y47" s="11">
        <v>79.62</v>
      </c>
      <c r="Z47" s="11">
        <v>89.09</v>
      </c>
    </row>
    <row r="48" spans="1:27">
      <c r="A48" s="7" t="s">
        <v>114</v>
      </c>
      <c r="B48" s="8">
        <v>104.87</v>
      </c>
      <c r="C48" s="8">
        <v>95.49</v>
      </c>
      <c r="D48" s="8">
        <v>91.12</v>
      </c>
      <c r="E48" s="8">
        <v>87.2</v>
      </c>
      <c r="F48" s="8">
        <v>83.92</v>
      </c>
      <c r="G48" s="9">
        <v>81.48</v>
      </c>
      <c r="H48" s="8">
        <v>80.16</v>
      </c>
      <c r="I48" s="8">
        <v>80.1</v>
      </c>
      <c r="J48" s="8">
        <v>83.25</v>
      </c>
      <c r="K48" s="8">
        <v>89.33</v>
      </c>
      <c r="L48" s="8">
        <v>96.99</v>
      </c>
      <c r="O48" s="7" t="s">
        <v>114</v>
      </c>
      <c r="P48" s="8">
        <v>104.88</v>
      </c>
      <c r="Q48" s="8">
        <v>95.48</v>
      </c>
      <c r="R48" s="8">
        <v>91.13</v>
      </c>
      <c r="S48" s="8">
        <v>87.2</v>
      </c>
      <c r="T48" s="8">
        <v>83.9</v>
      </c>
      <c r="U48" s="9">
        <v>81.48</v>
      </c>
      <c r="V48" s="8">
        <v>80.18</v>
      </c>
      <c r="W48" s="8">
        <v>80.11</v>
      </c>
      <c r="X48" s="8">
        <v>83.28</v>
      </c>
      <c r="Y48" s="8">
        <v>89.36</v>
      </c>
      <c r="Z48" s="8">
        <v>96.88</v>
      </c>
    </row>
    <row r="49" spans="1:27">
      <c r="A49" s="10" t="s">
        <v>115</v>
      </c>
      <c r="B49" s="11">
        <v>110.86</v>
      </c>
      <c r="C49" s="11">
        <v>102.85</v>
      </c>
      <c r="D49" s="11">
        <v>99.27</v>
      </c>
      <c r="E49" s="11">
        <v>96.06</v>
      </c>
      <c r="F49" s="11">
        <v>93.44</v>
      </c>
      <c r="G49" s="9">
        <v>91.5</v>
      </c>
      <c r="H49" s="11">
        <v>90.38</v>
      </c>
      <c r="I49" s="11">
        <v>90.12</v>
      </c>
      <c r="J49" s="11">
        <v>92.2</v>
      </c>
      <c r="K49" s="11">
        <v>96.88</v>
      </c>
      <c r="L49" s="11">
        <v>102.92</v>
      </c>
      <c r="O49" s="10" t="s">
        <v>115</v>
      </c>
      <c r="P49" s="11">
        <v>110.84</v>
      </c>
      <c r="Q49" s="11">
        <v>102.86</v>
      </c>
      <c r="R49" s="11">
        <v>99.27</v>
      </c>
      <c r="S49" s="11">
        <v>96.08</v>
      </c>
      <c r="T49" s="11">
        <v>93.44</v>
      </c>
      <c r="U49" s="9">
        <v>91.5</v>
      </c>
      <c r="V49" s="11">
        <v>90.37</v>
      </c>
      <c r="W49" s="11">
        <v>90.14</v>
      </c>
      <c r="X49" s="11">
        <v>92.2</v>
      </c>
      <c r="Y49" s="11">
        <v>96.83</v>
      </c>
      <c r="Z49" s="11">
        <v>102.99</v>
      </c>
    </row>
    <row r="50" spans="1:27">
      <c r="A50" s="7" t="s">
        <v>116</v>
      </c>
      <c r="B50" s="8">
        <v>89.17</v>
      </c>
      <c r="C50" s="8">
        <v>78.35</v>
      </c>
      <c r="D50" s="8">
        <v>73.13</v>
      </c>
      <c r="E50" s="8">
        <v>68.33</v>
      </c>
      <c r="F50" s="8">
        <v>64.27</v>
      </c>
      <c r="G50" s="9">
        <v>61.5</v>
      </c>
      <c r="H50" s="8">
        <v>60.56</v>
      </c>
      <c r="I50" s="8">
        <v>61.6</v>
      </c>
      <c r="J50" s="8">
        <v>67.78</v>
      </c>
      <c r="K50" s="8">
        <v>76.44</v>
      </c>
      <c r="L50" s="8">
        <v>85.78</v>
      </c>
      <c r="O50" s="7" t="s">
        <v>116</v>
      </c>
      <c r="P50" s="8">
        <v>89.17</v>
      </c>
      <c r="Q50" s="8">
        <v>78.34</v>
      </c>
      <c r="R50" s="8">
        <v>73.14</v>
      </c>
      <c r="S50" s="8">
        <v>68.33</v>
      </c>
      <c r="T50" s="8">
        <v>64.27</v>
      </c>
      <c r="U50" s="9">
        <v>61.5</v>
      </c>
      <c r="V50" s="8">
        <v>60.57</v>
      </c>
      <c r="W50" s="8">
        <v>61.61</v>
      </c>
      <c r="X50" s="8">
        <v>67.79</v>
      </c>
      <c r="Y50" s="8">
        <v>76.42</v>
      </c>
      <c r="Z50" s="8">
        <v>85.77</v>
      </c>
    </row>
    <row r="51" spans="1:27">
      <c r="A51" s="10" t="s">
        <v>117</v>
      </c>
      <c r="B51" s="11">
        <v>99.95</v>
      </c>
      <c r="C51" s="11">
        <v>91.43</v>
      </c>
      <c r="D51" s="11">
        <v>87.63</v>
      </c>
      <c r="E51" s="11">
        <v>84.21</v>
      </c>
      <c r="F51" s="11">
        <v>81.47</v>
      </c>
      <c r="G51" s="9">
        <v>79.49</v>
      </c>
      <c r="H51" s="11">
        <v>78.57</v>
      </c>
      <c r="I51" s="11">
        <v>78.75</v>
      </c>
      <c r="J51" s="11">
        <v>81.95</v>
      </c>
      <c r="K51" s="11">
        <v>87.78</v>
      </c>
      <c r="L51" s="11">
        <v>94.86</v>
      </c>
      <c r="O51" s="10" t="s">
        <v>117</v>
      </c>
      <c r="P51" s="11">
        <v>99.92</v>
      </c>
      <c r="Q51" s="11">
        <v>91.47</v>
      </c>
      <c r="R51" s="11">
        <v>87.63</v>
      </c>
      <c r="S51" s="11">
        <v>84.22</v>
      </c>
      <c r="T51" s="11">
        <v>81.43</v>
      </c>
      <c r="U51" s="9">
        <v>79.49</v>
      </c>
      <c r="V51" s="11">
        <v>78.57</v>
      </c>
      <c r="W51" s="11">
        <v>78.75</v>
      </c>
      <c r="X51" s="11">
        <v>81.97</v>
      </c>
      <c r="Y51" s="11">
        <v>87.77</v>
      </c>
      <c r="Z51" s="11">
        <v>94.86</v>
      </c>
    </row>
    <row r="52" spans="1:27">
      <c r="A52" s="7" t="s">
        <v>118</v>
      </c>
      <c r="B52" s="8">
        <v>106.37</v>
      </c>
      <c r="C52" s="8">
        <v>99.14</v>
      </c>
      <c r="D52" s="8">
        <v>95.98</v>
      </c>
      <c r="E52" s="8">
        <v>93.21</v>
      </c>
      <c r="F52" s="8">
        <v>90.99</v>
      </c>
      <c r="G52" s="9">
        <v>89.49</v>
      </c>
      <c r="H52" s="8">
        <v>88.8</v>
      </c>
      <c r="I52" s="8">
        <v>88.89</v>
      </c>
      <c r="J52" s="8">
        <v>91.47</v>
      </c>
      <c r="K52" s="8">
        <v>96.25</v>
      </c>
      <c r="L52" s="8">
        <v>102.35</v>
      </c>
      <c r="O52" s="7" t="s">
        <v>118</v>
      </c>
      <c r="P52" s="8">
        <v>106.38</v>
      </c>
      <c r="Q52" s="8">
        <v>99.14</v>
      </c>
      <c r="R52" s="8">
        <v>95.95</v>
      </c>
      <c r="S52" s="8">
        <v>93.19</v>
      </c>
      <c r="T52" s="8">
        <v>90.99</v>
      </c>
      <c r="U52" s="9">
        <v>89.49</v>
      </c>
      <c r="V52" s="8">
        <v>88.78</v>
      </c>
      <c r="W52" s="8">
        <v>88.91</v>
      </c>
      <c r="X52" s="8">
        <v>91.43</v>
      </c>
      <c r="Y52" s="8">
        <v>96.23</v>
      </c>
      <c r="Z52" s="8">
        <v>102.39</v>
      </c>
    </row>
    <row r="53" spans="1:27">
      <c r="A53" s="12" t="s">
        <v>119</v>
      </c>
      <c r="B53" s="12" t="s">
        <v>119</v>
      </c>
      <c r="C53" s="12" t="s">
        <v>119</v>
      </c>
      <c r="D53" s="12" t="s">
        <v>119</v>
      </c>
      <c r="E53" s="12" t="s">
        <v>119</v>
      </c>
      <c r="F53" s="12" t="s">
        <v>119</v>
      </c>
      <c r="G53" s="12" t="s">
        <v>119</v>
      </c>
      <c r="H53" s="12" t="s">
        <v>119</v>
      </c>
      <c r="I53" s="12" t="s">
        <v>119</v>
      </c>
      <c r="J53" s="12" t="s">
        <v>119</v>
      </c>
      <c r="K53" s="12" t="s">
        <v>119</v>
      </c>
      <c r="L53" s="12" t="s">
        <v>119</v>
      </c>
      <c r="M53" s="12" t="s">
        <v>119</v>
      </c>
      <c r="N53" s="12" t="s">
        <v>119</v>
      </c>
      <c r="O53" s="12" t="s">
        <v>119</v>
      </c>
      <c r="P53" s="12" t="s">
        <v>119</v>
      </c>
      <c r="Q53" s="12" t="s">
        <v>119</v>
      </c>
      <c r="R53" s="12" t="s">
        <v>119</v>
      </c>
      <c r="S53" s="12" t="s">
        <v>119</v>
      </c>
      <c r="T53" s="12" t="s">
        <v>119</v>
      </c>
      <c r="U53" s="12" t="s">
        <v>119</v>
      </c>
      <c r="V53" s="12" t="s">
        <v>119</v>
      </c>
      <c r="W53" s="12" t="s">
        <v>119</v>
      </c>
      <c r="X53" s="12" t="s">
        <v>119</v>
      </c>
      <c r="Y53" s="12" t="s">
        <v>119</v>
      </c>
      <c r="Z53" s="12" t="s">
        <v>119</v>
      </c>
      <c r="AA53" s="12" t="s">
        <v>119</v>
      </c>
    </row>
    <row r="54" spans="1:27">
      <c r="A54" s="4" t="s">
        <v>123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3"/>
    </row>
    <row r="55" spans="1:27">
      <c r="A55" s="4" t="s">
        <v>659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3"/>
      <c r="O55" s="5" t="s">
        <v>660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3"/>
    </row>
    <row r="56" spans="1:27">
      <c r="A56" s="6" t="s">
        <v>95</v>
      </c>
      <c r="B56" s="6" t="s">
        <v>96</v>
      </c>
      <c r="C56" s="6" t="s">
        <v>97</v>
      </c>
      <c r="D56" s="6" t="s">
        <v>98</v>
      </c>
      <c r="E56" s="6" t="s">
        <v>99</v>
      </c>
      <c r="F56" s="6" t="s">
        <v>100</v>
      </c>
      <c r="G56" s="6" t="s">
        <v>47</v>
      </c>
      <c r="H56" s="6" t="s">
        <v>101</v>
      </c>
      <c r="I56" s="6" t="s">
        <v>102</v>
      </c>
      <c r="J56" s="6" t="s">
        <v>103</v>
      </c>
      <c r="K56" s="6" t="s">
        <v>104</v>
      </c>
      <c r="L56" s="6" t="s">
        <v>105</v>
      </c>
      <c r="O56" s="6" t="s">
        <v>95</v>
      </c>
      <c r="P56" s="6" t="s">
        <v>96</v>
      </c>
      <c r="Q56" s="6" t="s">
        <v>97</v>
      </c>
      <c r="R56" s="6" t="s">
        <v>98</v>
      </c>
      <c r="S56" s="6" t="s">
        <v>99</v>
      </c>
      <c r="T56" s="6" t="s">
        <v>100</v>
      </c>
      <c r="U56" s="6" t="s">
        <v>47</v>
      </c>
      <c r="V56" s="6" t="s">
        <v>101</v>
      </c>
      <c r="W56" s="6" t="s">
        <v>102</v>
      </c>
      <c r="X56" s="6" t="s">
        <v>103</v>
      </c>
      <c r="Y56" s="6" t="s">
        <v>104</v>
      </c>
      <c r="Z56" s="6" t="s">
        <v>105</v>
      </c>
    </row>
    <row r="57" spans="1:27">
      <c r="A57" s="7" t="s">
        <v>108</v>
      </c>
      <c r="B57" s="8">
        <v>61.99</v>
      </c>
      <c r="C57" s="8">
        <v>83.61</v>
      </c>
      <c r="D57" s="8">
        <v>76.45</v>
      </c>
      <c r="E57" s="8">
        <v>71.04</v>
      </c>
      <c r="F57" s="8">
        <v>65.75</v>
      </c>
      <c r="G57" s="9">
        <v>61.99</v>
      </c>
      <c r="H57" s="8">
        <v>60.02</v>
      </c>
      <c r="I57" s="8">
        <v>60.29</v>
      </c>
      <c r="J57" s="8">
        <v>63.07</v>
      </c>
      <c r="K57" s="8">
        <v>91.7</v>
      </c>
      <c r="L57" s="8">
        <v>61.99</v>
      </c>
      <c r="O57" s="7" t="s">
        <v>108</v>
      </c>
      <c r="P57" s="8">
        <v>95.51</v>
      </c>
      <c r="Q57" s="8">
        <v>83.07</v>
      </c>
      <c r="R57" s="8">
        <v>76.94</v>
      </c>
      <c r="S57" s="8">
        <v>71.1</v>
      </c>
      <c r="T57" s="8">
        <v>65.89</v>
      </c>
      <c r="U57" s="9">
        <v>61.99</v>
      </c>
      <c r="V57" s="8">
        <v>60.17</v>
      </c>
      <c r="W57" s="8">
        <v>60.81</v>
      </c>
      <c r="X57" s="8">
        <v>67.26</v>
      </c>
      <c r="Y57" s="8">
        <v>76.6</v>
      </c>
      <c r="Z57" s="8">
        <v>86.68</v>
      </c>
    </row>
    <row r="58" spans="1:27">
      <c r="A58" s="10" t="s">
        <v>111</v>
      </c>
      <c r="B58" s="11">
        <v>102.75</v>
      </c>
      <c r="C58" s="11">
        <v>93.24</v>
      </c>
      <c r="D58" s="11">
        <v>88.46</v>
      </c>
      <c r="E58" s="11">
        <v>83.97</v>
      </c>
      <c r="F58" s="11">
        <v>79.95</v>
      </c>
      <c r="G58" s="9">
        <v>76.96</v>
      </c>
      <c r="H58" s="11">
        <v>75.25</v>
      </c>
      <c r="I58" s="11">
        <v>74.75</v>
      </c>
      <c r="J58" s="11">
        <v>76.5</v>
      </c>
      <c r="K58" s="11">
        <v>99.25</v>
      </c>
      <c r="L58" s="11">
        <v>105.94</v>
      </c>
      <c r="O58" s="10" t="s">
        <v>111</v>
      </c>
      <c r="P58" s="11">
        <v>104.38</v>
      </c>
      <c r="Q58" s="11">
        <v>93.69</v>
      </c>
      <c r="R58" s="11">
        <v>88.62</v>
      </c>
      <c r="S58" s="11">
        <v>83.95</v>
      </c>
      <c r="T58" s="11">
        <v>79.95</v>
      </c>
      <c r="U58" s="9">
        <v>76.96</v>
      </c>
      <c r="V58" s="11">
        <v>75.36</v>
      </c>
      <c r="W58" s="11">
        <v>75.32</v>
      </c>
      <c r="X58" s="11">
        <v>79.29</v>
      </c>
      <c r="Y58" s="11">
        <v>86.47</v>
      </c>
      <c r="Z58" s="11">
        <v>94.98</v>
      </c>
    </row>
    <row r="59" spans="1:27">
      <c r="A59" s="7" t="s">
        <v>112</v>
      </c>
      <c r="B59" s="8">
        <v>111.51</v>
      </c>
      <c r="C59" s="8">
        <v>100.37</v>
      </c>
      <c r="D59" s="8">
        <v>96.63</v>
      </c>
      <c r="E59" s="8">
        <v>92.75</v>
      </c>
      <c r="F59" s="8">
        <v>89.42</v>
      </c>
      <c r="G59" s="9">
        <v>87.02</v>
      </c>
      <c r="H59" s="8">
        <v>85.5</v>
      </c>
      <c r="I59" s="8">
        <v>85.06</v>
      </c>
      <c r="J59" s="8">
        <v>86.07</v>
      </c>
      <c r="K59" s="8">
        <v>96.82</v>
      </c>
      <c r="L59" s="8">
        <v>124.51</v>
      </c>
      <c r="O59" s="7" t="s">
        <v>112</v>
      </c>
      <c r="P59" s="8">
        <v>110.82</v>
      </c>
      <c r="Q59" s="8">
        <v>101.23</v>
      </c>
      <c r="R59" s="8">
        <v>96.8</v>
      </c>
      <c r="S59" s="8">
        <v>92.82</v>
      </c>
      <c r="T59" s="8">
        <v>89.48</v>
      </c>
      <c r="U59" s="9">
        <v>87.02</v>
      </c>
      <c r="V59" s="8">
        <v>85.68</v>
      </c>
      <c r="W59" s="8">
        <v>85.55</v>
      </c>
      <c r="X59" s="8">
        <v>88.62</v>
      </c>
      <c r="Y59" s="8">
        <v>94.7</v>
      </c>
      <c r="Z59" s="8">
        <v>102.31</v>
      </c>
    </row>
    <row r="60" spans="1:27">
      <c r="A60" s="10" t="s">
        <v>113</v>
      </c>
      <c r="B60" s="11">
        <v>97.09</v>
      </c>
      <c r="C60" s="11">
        <v>85.6</v>
      </c>
      <c r="D60" s="11">
        <v>80</v>
      </c>
      <c r="E60" s="11">
        <v>74.83</v>
      </c>
      <c r="F60" s="11">
        <v>70.33</v>
      </c>
      <c r="G60" s="9">
        <v>67.02</v>
      </c>
      <c r="H60" s="11">
        <v>65.47</v>
      </c>
      <c r="I60" s="11">
        <v>66</v>
      </c>
      <c r="J60" s="11">
        <v>71.45</v>
      </c>
      <c r="K60" s="11">
        <v>79.9</v>
      </c>
      <c r="L60" s="11">
        <v>89.52</v>
      </c>
      <c r="O60" s="10" t="s">
        <v>113</v>
      </c>
      <c r="P60" s="11">
        <v>97.09</v>
      </c>
      <c r="Q60" s="11">
        <v>85.58</v>
      </c>
      <c r="R60" s="11">
        <v>80.02</v>
      </c>
      <c r="S60" s="11">
        <v>74.82</v>
      </c>
      <c r="T60" s="11">
        <v>70.32</v>
      </c>
      <c r="U60" s="9">
        <v>67.02</v>
      </c>
      <c r="V60" s="11">
        <v>65.48</v>
      </c>
      <c r="W60" s="11">
        <v>65.96</v>
      </c>
      <c r="X60" s="11">
        <v>71.48</v>
      </c>
      <c r="Y60" s="11">
        <v>79.97</v>
      </c>
      <c r="Z60" s="11">
        <v>89.41</v>
      </c>
    </row>
    <row r="61" spans="1:27">
      <c r="A61" s="7" t="s">
        <v>114</v>
      </c>
      <c r="B61" s="8">
        <v>105.34</v>
      </c>
      <c r="C61" s="8">
        <v>95.95</v>
      </c>
      <c r="D61" s="8">
        <v>91.56</v>
      </c>
      <c r="E61" s="8">
        <v>87.7</v>
      </c>
      <c r="F61" s="8">
        <v>84.38</v>
      </c>
      <c r="G61" s="9">
        <v>82.01</v>
      </c>
      <c r="H61" s="8">
        <v>80.7</v>
      </c>
      <c r="I61" s="8">
        <v>80.58</v>
      </c>
      <c r="J61" s="8">
        <v>83.69</v>
      </c>
      <c r="K61" s="8">
        <v>89.66</v>
      </c>
      <c r="L61" s="8">
        <v>97.19</v>
      </c>
      <c r="O61" s="7" t="s">
        <v>114</v>
      </c>
      <c r="P61" s="8">
        <v>105.3</v>
      </c>
      <c r="Q61" s="8">
        <v>95.94</v>
      </c>
      <c r="R61" s="8">
        <v>91.61</v>
      </c>
      <c r="S61" s="8">
        <v>87.7</v>
      </c>
      <c r="T61" s="8">
        <v>84.42</v>
      </c>
      <c r="U61" s="9">
        <v>82.01</v>
      </c>
      <c r="V61" s="8">
        <v>80.7</v>
      </c>
      <c r="W61" s="8">
        <v>80.6</v>
      </c>
      <c r="X61" s="8">
        <v>83.69</v>
      </c>
      <c r="Y61" s="8">
        <v>89.7</v>
      </c>
      <c r="Z61" s="8">
        <v>97.15</v>
      </c>
    </row>
    <row r="62" spans="1:27">
      <c r="A62" s="10" t="s">
        <v>115</v>
      </c>
      <c r="B62" s="11">
        <v>111.34</v>
      </c>
      <c r="C62" s="11">
        <v>103.31</v>
      </c>
      <c r="D62" s="11">
        <v>99.77</v>
      </c>
      <c r="E62" s="11">
        <v>96.56</v>
      </c>
      <c r="F62" s="11">
        <v>93.93</v>
      </c>
      <c r="G62" s="9">
        <v>92</v>
      </c>
      <c r="H62" s="11">
        <v>90.85</v>
      </c>
      <c r="I62" s="11">
        <v>90.61</v>
      </c>
      <c r="J62" s="11">
        <v>92.6</v>
      </c>
      <c r="K62" s="11">
        <v>97.34</v>
      </c>
      <c r="L62" s="11">
        <v>103.36</v>
      </c>
      <c r="O62" s="10" t="s">
        <v>115</v>
      </c>
      <c r="P62" s="11">
        <v>111.31</v>
      </c>
      <c r="Q62" s="11">
        <v>103.35</v>
      </c>
      <c r="R62" s="11">
        <v>99.76</v>
      </c>
      <c r="S62" s="11">
        <v>96.58</v>
      </c>
      <c r="T62" s="11">
        <v>93.94</v>
      </c>
      <c r="U62" s="9">
        <v>92</v>
      </c>
      <c r="V62" s="11">
        <v>90.87</v>
      </c>
      <c r="W62" s="11">
        <v>90.63</v>
      </c>
      <c r="X62" s="11">
        <v>92.66</v>
      </c>
      <c r="Y62" s="11">
        <v>97.25</v>
      </c>
      <c r="Z62" s="11">
        <v>103.39</v>
      </c>
    </row>
    <row r="63" spans="1:27">
      <c r="A63" s="7" t="s">
        <v>116</v>
      </c>
      <c r="B63" s="8">
        <v>89.6</v>
      </c>
      <c r="C63" s="8">
        <v>78.8</v>
      </c>
      <c r="D63" s="8">
        <v>73.61</v>
      </c>
      <c r="E63" s="8">
        <v>68.8</v>
      </c>
      <c r="F63" s="8">
        <v>64.77</v>
      </c>
      <c r="G63" s="9">
        <v>62.01</v>
      </c>
      <c r="H63" s="8">
        <v>61.05</v>
      </c>
      <c r="I63" s="8">
        <v>62.06</v>
      </c>
      <c r="J63" s="8">
        <v>68.18</v>
      </c>
      <c r="K63" s="8">
        <v>76.71</v>
      </c>
      <c r="L63" s="8">
        <v>86.05</v>
      </c>
      <c r="O63" s="7" t="s">
        <v>116</v>
      </c>
      <c r="P63" s="8">
        <v>89.6</v>
      </c>
      <c r="Q63" s="8">
        <v>78.79</v>
      </c>
      <c r="R63" s="8">
        <v>73.61</v>
      </c>
      <c r="S63" s="8">
        <v>68.81</v>
      </c>
      <c r="T63" s="8">
        <v>64.77</v>
      </c>
      <c r="U63" s="9">
        <v>62.01</v>
      </c>
      <c r="V63" s="8">
        <v>61.06</v>
      </c>
      <c r="W63" s="8">
        <v>62.06</v>
      </c>
      <c r="X63" s="8">
        <v>68.16</v>
      </c>
      <c r="Y63" s="8">
        <v>76.74</v>
      </c>
      <c r="Z63" s="8">
        <v>86.05</v>
      </c>
    </row>
    <row r="64" spans="1:27">
      <c r="A64" s="10" t="s">
        <v>117</v>
      </c>
      <c r="B64" s="11">
        <v>100.39</v>
      </c>
      <c r="C64" s="11">
        <v>91.96</v>
      </c>
      <c r="D64" s="11">
        <v>88.09</v>
      </c>
      <c r="E64" s="11">
        <v>84.71</v>
      </c>
      <c r="F64" s="11">
        <v>81.94</v>
      </c>
      <c r="G64" s="9">
        <v>80.02</v>
      </c>
      <c r="H64" s="11">
        <v>79.1</v>
      </c>
      <c r="I64" s="11">
        <v>79.25</v>
      </c>
      <c r="J64" s="11">
        <v>82.43</v>
      </c>
      <c r="K64" s="11">
        <v>88.18</v>
      </c>
      <c r="L64" s="11">
        <v>95.3</v>
      </c>
      <c r="O64" s="10" t="s">
        <v>117</v>
      </c>
      <c r="P64" s="11">
        <v>100.37</v>
      </c>
      <c r="Q64" s="11">
        <v>91.95</v>
      </c>
      <c r="R64" s="11">
        <v>88.12</v>
      </c>
      <c r="S64" s="11">
        <v>84.73</v>
      </c>
      <c r="T64" s="11">
        <v>81.96</v>
      </c>
      <c r="U64" s="9">
        <v>80.02</v>
      </c>
      <c r="V64" s="11">
        <v>79.1</v>
      </c>
      <c r="W64" s="11">
        <v>79.26</v>
      </c>
      <c r="X64" s="11">
        <v>82.45</v>
      </c>
      <c r="Y64" s="11">
        <v>88.2</v>
      </c>
      <c r="Z64" s="11">
        <v>95.26</v>
      </c>
    </row>
    <row r="65" spans="1:27">
      <c r="A65" s="7" t="s">
        <v>118</v>
      </c>
      <c r="B65" s="8">
        <v>106.81</v>
      </c>
      <c r="C65" s="8">
        <v>99.58</v>
      </c>
      <c r="D65" s="8">
        <v>96.42</v>
      </c>
      <c r="E65" s="8">
        <v>93.67</v>
      </c>
      <c r="F65" s="8">
        <v>91.53</v>
      </c>
      <c r="G65" s="9">
        <v>90.01</v>
      </c>
      <c r="H65" s="8">
        <v>89.29</v>
      </c>
      <c r="I65" s="8">
        <v>89.43</v>
      </c>
      <c r="J65" s="8">
        <v>91.9</v>
      </c>
      <c r="K65" s="8">
        <v>96.65</v>
      </c>
      <c r="L65" s="8">
        <v>102.84</v>
      </c>
      <c r="O65" s="7" t="s">
        <v>118</v>
      </c>
      <c r="P65" s="8">
        <v>106.81</v>
      </c>
      <c r="Q65" s="8">
        <v>99.6</v>
      </c>
      <c r="R65" s="8">
        <v>96.42</v>
      </c>
      <c r="S65" s="8">
        <v>93.68</v>
      </c>
      <c r="T65" s="8">
        <v>91.5</v>
      </c>
      <c r="U65" s="9">
        <v>90.01</v>
      </c>
      <c r="V65" s="8">
        <v>89.3</v>
      </c>
      <c r="W65" s="8">
        <v>89.42</v>
      </c>
      <c r="X65" s="8">
        <v>91.92</v>
      </c>
      <c r="Y65" s="8">
        <v>96.68</v>
      </c>
      <c r="Z65" s="8">
        <v>102.8</v>
      </c>
    </row>
    <row r="66" spans="1:27">
      <c r="A66" s="12" t="s">
        <v>119</v>
      </c>
      <c r="B66" s="12" t="s">
        <v>119</v>
      </c>
      <c r="C66" s="12" t="s">
        <v>119</v>
      </c>
      <c r="D66" s="12" t="s">
        <v>119</v>
      </c>
      <c r="E66" s="12" t="s">
        <v>119</v>
      </c>
      <c r="F66" s="12" t="s">
        <v>119</v>
      </c>
      <c r="G66" s="12" t="s">
        <v>119</v>
      </c>
      <c r="H66" s="12" t="s">
        <v>119</v>
      </c>
      <c r="I66" s="12" t="s">
        <v>119</v>
      </c>
      <c r="J66" s="12" t="s">
        <v>119</v>
      </c>
      <c r="K66" s="12" t="s">
        <v>119</v>
      </c>
      <c r="L66" s="12" t="s">
        <v>119</v>
      </c>
      <c r="M66" s="12" t="s">
        <v>119</v>
      </c>
      <c r="N66" s="12" t="s">
        <v>119</v>
      </c>
      <c r="O66" s="12" t="s">
        <v>119</v>
      </c>
      <c r="P66" s="12" t="s">
        <v>119</v>
      </c>
      <c r="Q66" s="12" t="s">
        <v>119</v>
      </c>
      <c r="R66" s="12" t="s">
        <v>119</v>
      </c>
      <c r="S66" s="12" t="s">
        <v>119</v>
      </c>
      <c r="T66" s="12" t="s">
        <v>119</v>
      </c>
      <c r="U66" s="12" t="s">
        <v>119</v>
      </c>
      <c r="V66" s="12" t="s">
        <v>119</v>
      </c>
      <c r="W66" s="12" t="s">
        <v>119</v>
      </c>
      <c r="X66" s="12" t="s">
        <v>119</v>
      </c>
      <c r="Y66" s="12" t="s">
        <v>119</v>
      </c>
      <c r="Z66" s="12" t="s">
        <v>119</v>
      </c>
      <c r="AA66" s="12" t="s">
        <v>119</v>
      </c>
    </row>
    <row r="67" spans="1:27">
      <c r="A67" s="6" t="s">
        <v>661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3"/>
    </row>
    <row r="68" spans="1:27">
      <c r="A68" s="6" t="s">
        <v>662</v>
      </c>
      <c r="B68" s="4" t="s">
        <v>663</v>
      </c>
      <c r="C68" s="5" t="s">
        <v>664</v>
      </c>
      <c r="D68" s="4" t="s">
        <v>665</v>
      </c>
      <c r="E68" s="5" t="s">
        <v>666</v>
      </c>
      <c r="F68" s="4" t="s">
        <v>667</v>
      </c>
      <c r="G68" s="5" t="s">
        <v>668</v>
      </c>
      <c r="H68" s="4" t="s">
        <v>669</v>
      </c>
      <c r="I68" s="5" t="s">
        <v>670</v>
      </c>
      <c r="J68" s="4" t="s">
        <v>671</v>
      </c>
      <c r="K68" s="5" t="s">
        <v>672</v>
      </c>
      <c r="L68" s="4" t="s">
        <v>673</v>
      </c>
      <c r="M68" s="5" t="s">
        <v>674</v>
      </c>
      <c r="N68" s="4" t="s">
        <v>675</v>
      </c>
      <c r="O68" s="5" t="s">
        <v>676</v>
      </c>
      <c r="P68" s="4" t="s">
        <v>677</v>
      </c>
      <c r="Q68" s="5" t="s">
        <v>678</v>
      </c>
      <c r="R68" s="4" t="s">
        <v>679</v>
      </c>
      <c r="S68" s="5" t="s">
        <v>680</v>
      </c>
    </row>
    <row r="69" spans="1:27">
      <c r="A69" s="13">
        <v>-300</v>
      </c>
      <c r="B69" s="11">
        <v>96.19</v>
      </c>
      <c r="C69" s="11">
        <v>93.54</v>
      </c>
      <c r="D69" s="11">
        <v>99.49</v>
      </c>
      <c r="E69" s="11">
        <v>102.38</v>
      </c>
      <c r="F69" s="11">
        <v>107.45</v>
      </c>
      <c r="G69" s="11">
        <v>107.8</v>
      </c>
      <c r="H69" s="11">
        <v>95.27</v>
      </c>
      <c r="I69" s="11">
        <v>95.3</v>
      </c>
      <c r="J69" s="11">
        <v>103.38</v>
      </c>
      <c r="K69" s="11">
        <v>103.44</v>
      </c>
      <c r="L69" s="11">
        <v>109.46</v>
      </c>
      <c r="M69" s="11">
        <v>109.45</v>
      </c>
      <c r="N69" s="11">
        <v>87.78</v>
      </c>
      <c r="O69" s="11">
        <v>87.79</v>
      </c>
      <c r="P69" s="11">
        <v>98.5</v>
      </c>
      <c r="Q69" s="11">
        <v>98.49</v>
      </c>
      <c r="R69" s="11">
        <v>104.96</v>
      </c>
      <c r="S69" s="11">
        <v>104.97</v>
      </c>
      <c r="T69">
        <f>S69-R69</f>
        <v>0.0100000000000051</v>
      </c>
    </row>
    <row r="70" spans="1:27">
      <c r="A70" s="14">
        <v>-200</v>
      </c>
      <c r="B70" s="8">
        <v>80.32</v>
      </c>
      <c r="C70" s="8">
        <v>81.14</v>
      </c>
      <c r="D70" s="8">
        <v>91.4</v>
      </c>
      <c r="E70" s="8">
        <v>91.66</v>
      </c>
      <c r="F70" s="8">
        <v>97.85</v>
      </c>
      <c r="G70" s="8">
        <v>98.63</v>
      </c>
      <c r="H70" s="8">
        <v>83.8</v>
      </c>
      <c r="I70" s="8">
        <v>83.74</v>
      </c>
      <c r="J70" s="8">
        <v>94.03</v>
      </c>
      <c r="K70" s="8">
        <v>94.03</v>
      </c>
      <c r="L70" s="8">
        <v>101.39</v>
      </c>
      <c r="M70" s="8">
        <v>101.43</v>
      </c>
      <c r="N70" s="8">
        <v>76.97</v>
      </c>
      <c r="O70" s="8">
        <v>76.95</v>
      </c>
      <c r="P70" s="8">
        <v>90.03</v>
      </c>
      <c r="Q70" s="8">
        <v>90.02</v>
      </c>
      <c r="R70" s="8">
        <v>97.71</v>
      </c>
      <c r="S70" s="8">
        <v>97.7</v>
      </c>
      <c r="T70">
        <f t="shared" ref="T70:T79" si="0">S70-R70</f>
        <v>-0.00999999999999091</v>
      </c>
    </row>
    <row r="71" spans="1:27">
      <c r="A71" s="13">
        <v>-150</v>
      </c>
      <c r="B71" s="11">
        <v>74.82</v>
      </c>
      <c r="C71" s="11">
        <v>75.01</v>
      </c>
      <c r="D71" s="11">
        <v>85.99</v>
      </c>
      <c r="E71" s="11">
        <v>86.58</v>
      </c>
      <c r="F71" s="11">
        <v>94.24</v>
      </c>
      <c r="G71" s="11">
        <v>94.4</v>
      </c>
      <c r="H71" s="11">
        <v>78.12</v>
      </c>
      <c r="I71" s="11">
        <v>78.14</v>
      </c>
      <c r="J71" s="11">
        <v>89.67</v>
      </c>
      <c r="K71" s="11">
        <v>89.66</v>
      </c>
      <c r="L71" s="11">
        <v>97.8</v>
      </c>
      <c r="M71" s="11">
        <v>97.82</v>
      </c>
      <c r="N71" s="11">
        <v>71.73</v>
      </c>
      <c r="O71" s="11">
        <v>71.73</v>
      </c>
      <c r="P71" s="11">
        <v>86.13</v>
      </c>
      <c r="Q71" s="11">
        <v>86.16</v>
      </c>
      <c r="R71" s="11">
        <v>94.49</v>
      </c>
      <c r="S71" s="11">
        <v>94.49</v>
      </c>
      <c r="T71">
        <f t="shared" si="0"/>
        <v>0</v>
      </c>
    </row>
    <row r="72" spans="1:27">
      <c r="A72" s="14">
        <v>-100</v>
      </c>
      <c r="B72" s="8">
        <v>69.16</v>
      </c>
      <c r="C72" s="8">
        <v>69.15</v>
      </c>
      <c r="D72" s="8">
        <v>81.76</v>
      </c>
      <c r="E72" s="8">
        <v>81.9</v>
      </c>
      <c r="F72" s="8">
        <v>90.64</v>
      </c>
      <c r="G72" s="8">
        <v>90.59</v>
      </c>
      <c r="H72" s="8">
        <v>72.91</v>
      </c>
      <c r="I72" s="8">
        <v>72.88</v>
      </c>
      <c r="J72" s="8">
        <v>85.77</v>
      </c>
      <c r="K72" s="8">
        <v>85.72</v>
      </c>
      <c r="L72" s="8">
        <v>94.61</v>
      </c>
      <c r="M72" s="8">
        <v>94.61</v>
      </c>
      <c r="N72" s="8">
        <v>66.87</v>
      </c>
      <c r="O72" s="8">
        <v>66.89</v>
      </c>
      <c r="P72" s="8">
        <v>82.73</v>
      </c>
      <c r="Q72" s="8">
        <v>82.74</v>
      </c>
      <c r="R72" s="8">
        <v>91.73</v>
      </c>
      <c r="S72" s="8">
        <v>91.71</v>
      </c>
      <c r="T72">
        <f t="shared" si="0"/>
        <v>-0.0200000000000102</v>
      </c>
    </row>
    <row r="73" spans="1:27">
      <c r="A73" s="13">
        <v>-50</v>
      </c>
      <c r="B73" s="11">
        <v>63.86</v>
      </c>
      <c r="C73" s="11">
        <v>63.92</v>
      </c>
      <c r="D73" s="11">
        <v>77.99</v>
      </c>
      <c r="E73" s="11">
        <v>77.9</v>
      </c>
      <c r="F73" s="11">
        <v>87.38</v>
      </c>
      <c r="G73" s="11">
        <v>87.38</v>
      </c>
      <c r="H73" s="11">
        <v>68.29</v>
      </c>
      <c r="I73" s="11">
        <v>68.32</v>
      </c>
      <c r="J73" s="11">
        <v>82.43</v>
      </c>
      <c r="K73" s="11">
        <v>82.4</v>
      </c>
      <c r="L73" s="11">
        <v>91.97</v>
      </c>
      <c r="M73" s="11">
        <v>91.95</v>
      </c>
      <c r="N73" s="11">
        <v>62.79</v>
      </c>
      <c r="O73" s="11">
        <v>62.8</v>
      </c>
      <c r="P73" s="11">
        <v>79.95</v>
      </c>
      <c r="Q73" s="11">
        <v>79.95</v>
      </c>
      <c r="R73" s="11">
        <v>89.49</v>
      </c>
      <c r="S73" s="11">
        <v>89.5</v>
      </c>
      <c r="T73">
        <f t="shared" si="0"/>
        <v>0.0100000000000051</v>
      </c>
    </row>
    <row r="74" spans="1:27">
      <c r="A74" s="14">
        <v>0</v>
      </c>
      <c r="B74" s="8">
        <v>59.99</v>
      </c>
      <c r="C74" s="8">
        <v>59.99</v>
      </c>
      <c r="D74" s="8">
        <v>74.97</v>
      </c>
      <c r="E74" s="8">
        <v>74.97</v>
      </c>
      <c r="F74" s="8">
        <v>85.01</v>
      </c>
      <c r="G74" s="8">
        <v>85.01</v>
      </c>
      <c r="H74" s="8">
        <v>64.99</v>
      </c>
      <c r="I74" s="8">
        <v>64.99</v>
      </c>
      <c r="J74" s="8">
        <v>79.98</v>
      </c>
      <c r="K74" s="8">
        <v>79.98</v>
      </c>
      <c r="L74" s="8">
        <v>89.99</v>
      </c>
      <c r="M74" s="8">
        <v>89.99</v>
      </c>
      <c r="N74" s="8">
        <v>60.01</v>
      </c>
      <c r="O74" s="8">
        <v>60.01</v>
      </c>
      <c r="P74" s="8">
        <v>78.01</v>
      </c>
      <c r="Q74" s="8">
        <v>78.01</v>
      </c>
      <c r="R74" s="8">
        <v>88</v>
      </c>
      <c r="S74" s="8">
        <v>88</v>
      </c>
      <c r="T74">
        <f t="shared" si="0"/>
        <v>0</v>
      </c>
    </row>
    <row r="75" spans="1:27">
      <c r="A75" s="13">
        <v>50</v>
      </c>
      <c r="B75" s="11">
        <v>58.17</v>
      </c>
      <c r="C75" s="11">
        <v>58.22</v>
      </c>
      <c r="D75" s="11">
        <v>73.2</v>
      </c>
      <c r="E75" s="11">
        <v>73.49</v>
      </c>
      <c r="F75" s="11">
        <v>83.44</v>
      </c>
      <c r="G75" s="11">
        <v>83.67</v>
      </c>
      <c r="H75" s="11">
        <v>63.5</v>
      </c>
      <c r="I75" s="11">
        <v>63.49</v>
      </c>
      <c r="J75" s="11">
        <v>78.72</v>
      </c>
      <c r="K75" s="11">
        <v>78.69</v>
      </c>
      <c r="L75" s="11">
        <v>88.88</v>
      </c>
      <c r="M75" s="11">
        <v>88.88</v>
      </c>
      <c r="N75" s="11">
        <v>59.09</v>
      </c>
      <c r="O75" s="11">
        <v>59.1</v>
      </c>
      <c r="P75" s="11">
        <v>77.09</v>
      </c>
      <c r="Q75" s="11">
        <v>77.11</v>
      </c>
      <c r="R75" s="11">
        <v>87.29</v>
      </c>
      <c r="S75" s="11">
        <v>87.3</v>
      </c>
      <c r="T75">
        <f t="shared" si="0"/>
        <v>0.00999999999999091</v>
      </c>
    </row>
    <row r="76" spans="1:27">
      <c r="A76" s="14">
        <v>100</v>
      </c>
      <c r="B76" s="8">
        <v>58.59</v>
      </c>
      <c r="C76" s="8">
        <v>58.96</v>
      </c>
      <c r="D76" s="8">
        <v>72.66</v>
      </c>
      <c r="E76" s="8">
        <v>73.63</v>
      </c>
      <c r="F76" s="8">
        <v>82.94</v>
      </c>
      <c r="G76" s="8">
        <v>83.47</v>
      </c>
      <c r="H76" s="8">
        <v>64.09</v>
      </c>
      <c r="I76" s="8">
        <v>64.07</v>
      </c>
      <c r="J76" s="8">
        <v>78.65</v>
      </c>
      <c r="K76" s="8">
        <v>78.66</v>
      </c>
      <c r="L76" s="8">
        <v>88.64</v>
      </c>
      <c r="M76" s="8">
        <v>88.67</v>
      </c>
      <c r="N76" s="8">
        <v>60.22</v>
      </c>
      <c r="O76" s="8">
        <v>60.2</v>
      </c>
      <c r="P76" s="8">
        <v>77.29</v>
      </c>
      <c r="Q76" s="8">
        <v>77.32</v>
      </c>
      <c r="R76" s="8">
        <v>87.42</v>
      </c>
      <c r="S76" s="8">
        <v>87.44</v>
      </c>
      <c r="T76">
        <f t="shared" si="0"/>
        <v>0.019999999999996</v>
      </c>
    </row>
    <row r="77" spans="1:27">
      <c r="A77" s="13">
        <v>200</v>
      </c>
      <c r="B77" s="11">
        <v>62.25</v>
      </c>
      <c r="C77" s="11">
        <v>65.6</v>
      </c>
      <c r="D77" s="11">
        <v>73.22</v>
      </c>
      <c r="E77" s="11">
        <v>77.97</v>
      </c>
      <c r="F77" s="11">
        <v>84.46</v>
      </c>
      <c r="G77" s="11">
        <v>86.22</v>
      </c>
      <c r="H77" s="11">
        <v>69.85</v>
      </c>
      <c r="I77" s="11">
        <v>69.84</v>
      </c>
      <c r="J77" s="11">
        <v>81.88</v>
      </c>
      <c r="K77" s="11">
        <v>81.92</v>
      </c>
      <c r="L77" s="11">
        <v>90.74</v>
      </c>
      <c r="M77" s="11">
        <v>90.8</v>
      </c>
      <c r="N77" s="11">
        <v>66.43</v>
      </c>
      <c r="O77" s="11">
        <v>66.5</v>
      </c>
      <c r="P77" s="11">
        <v>80.62</v>
      </c>
      <c r="Q77" s="11">
        <v>80.64</v>
      </c>
      <c r="R77" s="11">
        <v>90.04</v>
      </c>
      <c r="S77" s="11">
        <v>90.03</v>
      </c>
      <c r="T77">
        <f t="shared" si="0"/>
        <v>-0.0100000000000051</v>
      </c>
    </row>
    <row r="78" spans="1:27">
      <c r="A78" s="14">
        <v>300</v>
      </c>
      <c r="B78" s="8">
        <v>87.69</v>
      </c>
      <c r="C78" s="8">
        <v>75.01</v>
      </c>
      <c r="D78" s="8">
        <v>98.5</v>
      </c>
      <c r="E78" s="8">
        <v>85.42</v>
      </c>
      <c r="F78" s="8">
        <v>101.83</v>
      </c>
      <c r="G78" s="8">
        <v>91.89</v>
      </c>
      <c r="H78" s="8">
        <v>78.48</v>
      </c>
      <c r="I78" s="8">
        <v>78.49</v>
      </c>
      <c r="J78" s="8">
        <v>88.1</v>
      </c>
      <c r="K78" s="8">
        <v>88.09</v>
      </c>
      <c r="L78" s="8">
        <v>95.53</v>
      </c>
      <c r="M78" s="8">
        <v>95.51</v>
      </c>
      <c r="N78" s="8">
        <v>75.23</v>
      </c>
      <c r="O78" s="8">
        <v>75.19</v>
      </c>
      <c r="P78" s="8">
        <v>86.54</v>
      </c>
      <c r="Q78" s="8">
        <v>86.52</v>
      </c>
      <c r="R78" s="8">
        <v>94.9</v>
      </c>
      <c r="S78" s="8">
        <v>94.89</v>
      </c>
      <c r="T78">
        <f t="shared" si="0"/>
        <v>-0.0100000000000051</v>
      </c>
    </row>
    <row r="79" spans="1:27">
      <c r="A79" s="13">
        <v>400</v>
      </c>
      <c r="B79" s="11">
        <v>101.84</v>
      </c>
      <c r="C79" s="11">
        <v>85.1</v>
      </c>
      <c r="D79" s="11">
        <v>117.49</v>
      </c>
      <c r="E79" s="11">
        <v>94.11</v>
      </c>
      <c r="F79" s="11">
        <v>112.12</v>
      </c>
      <c r="G79" s="11">
        <v>99.08</v>
      </c>
      <c r="H79" s="11">
        <v>87.96</v>
      </c>
      <c r="I79" s="11">
        <v>88.02</v>
      </c>
      <c r="J79" s="11">
        <v>95.74</v>
      </c>
      <c r="K79" s="11">
        <v>95.65</v>
      </c>
      <c r="L79" s="11">
        <v>101.83</v>
      </c>
      <c r="M79" s="11">
        <v>101.74</v>
      </c>
      <c r="N79" s="11">
        <v>84.57</v>
      </c>
      <c r="O79" s="11">
        <v>84.55</v>
      </c>
      <c r="P79" s="11">
        <v>93.67</v>
      </c>
      <c r="Q79" s="11">
        <v>93.66</v>
      </c>
      <c r="R79" s="11">
        <v>101.09</v>
      </c>
      <c r="S79" s="11">
        <v>101.09</v>
      </c>
      <c r="T79">
        <f t="shared" si="0"/>
        <v>0</v>
      </c>
    </row>
  </sheetData>
  <mergeCells count="17">
    <mergeCell ref="A1:Z1"/>
    <mergeCell ref="A2:Z2"/>
    <mergeCell ref="A3:L3"/>
    <mergeCell ref="O3:Z3"/>
    <mergeCell ref="A15:Z15"/>
    <mergeCell ref="A16:L16"/>
    <mergeCell ref="O16:Z16"/>
    <mergeCell ref="A28:Z28"/>
    <mergeCell ref="A29:L29"/>
    <mergeCell ref="O29:Z29"/>
    <mergeCell ref="A41:Z41"/>
    <mergeCell ref="A42:L42"/>
    <mergeCell ref="O42:Z42"/>
    <mergeCell ref="A54:Z54"/>
    <mergeCell ref="A55:L55"/>
    <mergeCell ref="O55:Z55"/>
    <mergeCell ref="A67:S6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1_Overview</vt:lpstr>
      <vt:lpstr>2_Input_Sanity</vt:lpstr>
      <vt:lpstr>3_Input_Prices</vt:lpstr>
      <vt:lpstr>4_Market_IVs_bps</vt:lpstr>
      <vt:lpstr>5_Vega_Weights</vt:lpstr>
      <vt:lpstr>6_Calibrated_Params</vt:lpstr>
      <vt:lpstr>7_Calib_Quality</vt:lpstr>
      <vt:lpstr>8_Model_IVs_bps</vt:lpstr>
      <vt:lpstr>9_IV_Fit_Error_bps</vt:lpstr>
      <vt:lpstr>10_Price_RoundTrip</vt:lpstr>
      <vt:lpstr>11_IV_Smile_AllDays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Kunal Kumar</cp:lastModifiedBy>
  <dcterms:created xsi:type="dcterms:W3CDTF">2026-06-01T13:24:00Z</dcterms:created>
  <dcterms:modified xsi:type="dcterms:W3CDTF">2026-06-04T19:42:16Z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5772D881011D32FCC087216AD79A2522_42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