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540" tabRatio="772" firstSheet="1" activeTab="8"/>
  </bookViews>
  <sheets>
    <sheet name="Instruments" sheetId="1" r:id="rId1"/>
    <sheet name="OIS_Curve" sheetId="2" r:id="rId2"/>
    <sheet name="Proj_Curve" sheetId="3" r:id="rId3"/>
    <sheet name="Par_Rates" sheetId="4" r:id="rId4"/>
    <sheet name="HW_Caplets" sheetId="5" r:id="rId5"/>
    <sheet name="TRY_Caplets" sheetId="11" r:id="rId6"/>
    <sheet name="Cap_Prices" sheetId="6" r:id="rId7"/>
    <sheet name="TRY_CapPrices" sheetId="12" r:id="rId8"/>
    <sheet name="Parameters" sheetId="7" r:id="rId9"/>
    <sheet name="TRY_OIS" sheetId="8" r:id="rId10"/>
    <sheet name="TRY_Proj" sheetId="9" r:id="rId11"/>
    <sheet name="TRY_Par" sheetId="10" r:id="rId12"/>
  </sheets>
  <definedNames>
    <definedName name="solver_adj" localSheetId="8" hidden="1">Parameters!$C$4:$C$5</definedName>
    <definedName name="solver_cvg" localSheetId="8" hidden="1">0.0001</definedName>
    <definedName name="solver_drv" localSheetId="8" hidden="1">1</definedName>
    <definedName name="solver_eng" localSheetId="8" hidden="1">1</definedName>
    <definedName name="solver_eng" localSheetId="7" hidden="1">1</definedName>
    <definedName name="solver_est" localSheetId="8" hidden="1">1</definedName>
    <definedName name="solver_itr" localSheetId="8" hidden="1">2147483647</definedName>
    <definedName name="solver_lhs1" localSheetId="8" hidden="1">Parameters!$C$5</definedName>
    <definedName name="solver_lhs2" localSheetId="8" hidden="1">Parameters!$C$4</definedName>
    <definedName name="solver_lin" localSheetId="8" hidden="1">1</definedName>
    <definedName name="solver_lin" localSheetId="7" hidden="1">0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eg" localSheetId="7" hidden="1">1</definedName>
    <definedName name="solver_nod" localSheetId="8" hidden="1">2147483647</definedName>
    <definedName name="solver_num" localSheetId="8" hidden="1">2</definedName>
    <definedName name="solver_num" localSheetId="7" hidden="1">0</definedName>
    <definedName name="solver_nwt" localSheetId="8" hidden="1">1</definedName>
    <definedName name="solver_opt" localSheetId="8" hidden="1">Parameters!$C$10</definedName>
    <definedName name="solver_opt" localSheetId="7" hidden="1">TRY_CapPrices!$I$13</definedName>
    <definedName name="solver_pre" localSheetId="8" hidden="1">0.000001</definedName>
    <definedName name="solver_rbv" localSheetId="8" hidden="1">1</definedName>
    <definedName name="solver_rel1" localSheetId="8" hidden="1">3</definedName>
    <definedName name="solver_rel2" localSheetId="8" hidden="1">3</definedName>
    <definedName name="solver_rhs1" localSheetId="8" hidden="1">0.0001</definedName>
    <definedName name="solver_rhs2" localSheetId="8" hidden="1">0.001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2</definedName>
    <definedName name="solver_typ" localSheetId="7" hidden="1">1</definedName>
    <definedName name="solver_val" localSheetId="8" hidden="1">0</definedName>
    <definedName name="solver_val" localSheetId="7" hidden="1">0</definedName>
    <definedName name="solver_ver" localSheetId="8" hidden="1">3</definedName>
    <definedName name="solver_ver" localSheetId="7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<sst xmlns="http://schemas.openxmlformats.org/spreadsheetml/2006/main" count="442" uniqueCount="173">
  <si>
    <t>Market Instruments  ·  All input cells (blue) — do not modify</t>
  </si>
  <si>
    <t>OIS MONEY MARKET  (Simple Interest, Act/360)</t>
  </si>
  <si>
    <t>Instrument</t>
  </si>
  <si>
    <t>Tenor</t>
  </si>
  <si>
    <t>Rate</t>
  </si>
  <si>
    <t>Description</t>
  </si>
  <si>
    <t>3M SOFR</t>
  </si>
  <si>
    <t>6M SOFR</t>
  </si>
  <si>
    <t>OIS SWAPS  (Annual Fixed vs Daily Compounded SOFR)</t>
  </si>
  <si>
    <t>Par Rate</t>
  </si>
  <si>
    <t>1Y OIS</t>
  </si>
  <si>
    <t>2Y OIS</t>
  </si>
  <si>
    <t>3Y OIS</t>
  </si>
  <si>
    <t>5Y OIS</t>
  </si>
  <si>
    <t>7Y OIS</t>
  </si>
  <si>
    <t>10Y OIS</t>
  </si>
  <si>
    <t>SOFR FUTURES  (Implies 3M SOFR forward rate per quarterly period)</t>
  </si>
  <si>
    <t>Contract</t>
  </si>
  <si>
    <t>T_start</t>
  </si>
  <si>
    <t>T_end</t>
  </si>
  <si>
    <t>Implied 3M Fwd</t>
  </si>
  <si>
    <t>Sep25</t>
  </si>
  <si>
    <t>3M SOFR for Sep25</t>
  </si>
  <si>
    <t>Dec25</t>
  </si>
  <si>
    <t>3M SOFR for Dec25</t>
  </si>
  <si>
    <t>Mar26</t>
  </si>
  <si>
    <t>3M SOFR for Mar26</t>
  </si>
  <si>
    <t>Jun26</t>
  </si>
  <si>
    <t>3M SOFR for Jun26</t>
  </si>
  <si>
    <t>Sep26</t>
  </si>
  <si>
    <t>3M SOFR for Sep26</t>
  </si>
  <si>
    <t>Dec26</t>
  </si>
  <si>
    <t>3M SOFR for Dec26</t>
  </si>
  <si>
    <t>Mar27</t>
  </si>
  <si>
    <t>3M SOFR for Mar27</t>
  </si>
  <si>
    <t>Jun27</t>
  </si>
  <si>
    <t>3M SOFR for Jun27</t>
  </si>
  <si>
    <t>3M SOFR IRS  (Quarterly Float vs Annual Fixed, used for 2Y+ projection curve)</t>
  </si>
  <si>
    <t>2Y SOFR IRS</t>
  </si>
  <si>
    <t>3M SOFR IRS 2Y par rate — used to bootstrap projection fwds beyond 2Y</t>
  </si>
  <si>
    <t>3Y SOFR IRS</t>
  </si>
  <si>
    <t>3M SOFR IRS 3Y par rate — used to bootstrap projection fwds beyond 2Y</t>
  </si>
  <si>
    <t>5Y SOFR IRS</t>
  </si>
  <si>
    <t>3M SOFR IRS 5Y par rate — used to bootstrap projection fwds beyond 2Y</t>
  </si>
  <si>
    <t>7Y SOFR IRS</t>
  </si>
  <si>
    <t>3M SOFR IRS 7Y par rate — used to bootstrap projection fwds beyond 2Y</t>
  </si>
  <si>
    <t>10Y SOFR IRS</t>
  </si>
  <si>
    <t>3M SOFR IRS 10Y par rate — used to bootstrap projection fwds beyond 2Y</t>
  </si>
  <si>
    <t>OIS Curve  ·  Bootstrap → Discount Factors → Zero Rates → Quarterly Grid</t>
  </si>
  <si>
    <t>SECTION 1 — SEQUENTIAL OIS BOOTSTRAP (liquid &amp; interpolated tenors)</t>
  </si>
  <si>
    <t>Type</t>
  </si>
  <si>
    <t>Instr Rate</t>
  </si>
  <si>
    <t>Discount Factor</t>
  </si>
  <si>
    <t>Zero Rate (cont)</t>
  </si>
  <si>
    <t>Formula / Note</t>
  </si>
  <si>
    <t>MM</t>
  </si>
  <si>
    <t>P = 1/(1+r·T)  [simple interest, T=0.25]</t>
  </si>
  <si>
    <t>P = 1/(1+r·T)  [simple interest, T=0.50]</t>
  </si>
  <si>
    <t>OIS Swap</t>
  </si>
  <si>
    <t>P = 1/(1+S)    [1Y swap: single payment, P(1)=1/(1+S)]</t>
  </si>
  <si>
    <t>P = (1-S·P1)/(1+S)   [2Y bootstrap]</t>
  </si>
  <si>
    <t>P = (1-S·(P1+P2))/(1+S)   [3Y bootstrap]</t>
  </si>
  <si>
    <t>Interp</t>
  </si>
  <si>
    <t>—</t>
  </si>
  <si>
    <t>INTERP: z4 = z3 + (S5Y-z3)·(4-3)/(5-3)  →  P4 = EXP(-z4·4)  [uses S5Y as proxy for z5]</t>
  </si>
  <si>
    <t>P = (1-S·(P1+P2+P3+P4))/(1+S)   [5Y bootstrap using interpolated P4]</t>
  </si>
  <si>
    <t>INTERP: z6 = z5 + (S7Y-z5)·(6-5)/(7-5)  →  P6 = EXP(-z6·6)</t>
  </si>
  <si>
    <t>P = (1-S·(P1+...+P6))/(1+S)   [7Y bootstrap]</t>
  </si>
  <si>
    <t>INTERP: z8 = z7 + (S10Y-z7)·(8-7)/(10-7)  →  P8 = EXP(-z8·8)</t>
  </si>
  <si>
    <t>INTERP: z9 = z7 + (S10Y-z7)·(9-7)/(10-7)  →  P9 = EXP(-z9·9)</t>
  </si>
  <si>
    <t>P = (1-S·(P1+...+P9))/(1+S)   [10Y bootstrap]</t>
  </si>
  <si>
    <t>SECTION 2 — QUARTERLY OUTPUT GRID (piecewise linear interp on zero rates)</t>
  </si>
  <si>
    <t>Zero Rate (interp)</t>
  </si>
  <si>
    <t>Inst. Fwd Rate</t>
  </si>
  <si>
    <t>3M OIS Fwd</t>
  </si>
  <si>
    <t>Formula Key</t>
  </si>
  <si>
    <t>Z=MATCH+INDEX linear interp  |  DF=EXP(-Z·T)  |  IF=central diff  |  3Mfwd=(DF/DF+1-1)/0.25</t>
  </si>
  <si>
    <t>Projection Curve  ·  SOFR Futures (0-2Y)  +  IRS Bootstrap (2-10Y)</t>
  </si>
  <si>
    <t>SECTION 1 — SOFR FUTURES  (Implied 3M Forward Rate per Quarterly Period)</t>
  </si>
  <si>
    <t>Note</t>
  </si>
  <si>
    <t>3M SOFR forward for Sep25 — directly observed from futures market</t>
  </si>
  <si>
    <t>3M SOFR forward for Dec25 — directly observed from futures market</t>
  </si>
  <si>
    <t>3M SOFR forward for Mar26 — directly observed from futures market</t>
  </si>
  <si>
    <t>3M SOFR forward for Jun26 — directly observed from futures market</t>
  </si>
  <si>
    <t>3M SOFR forward for Sep26 — directly observed from futures market</t>
  </si>
  <si>
    <t>3M SOFR forward for Dec26 — directly observed from futures market</t>
  </si>
  <si>
    <t>3M SOFR forward for Mar27 — directly observed from futures market</t>
  </si>
  <si>
    <t>3M SOFR forward for Jun27 — directly observed from futures market</t>
  </si>
  <si>
    <t>SECTION 2 — IRS BOOTSTRAP  (Flat Forward per Band, bootstrapped from 3M SOFR IRS)</t>
  </si>
  <si>
    <t>IRS Mat</t>
  </si>
  <si>
    <t>Band</t>
  </si>
  <si>
    <t>Flat Fwd (bootstrapped)</t>
  </si>
  <si>
    <t>Bootstrap Formula</t>
  </si>
  <si>
    <t>2Y-3Y</t>
  </si>
  <si>
    <t>Flat Fwd = (K·Ann(3Y) - PV_Float(0-2Y)) / Ann(2Y-3Y)  where Ann=δ·ΣP_OIS(Ti), PV_Float=δ·ΣF_i·P_OIS(Ti)</t>
  </si>
  <si>
    <t>3Y-5Y</t>
  </si>
  <si>
    <t>Flat Fwd = (K·Ann(5Y) - PV_Float(0-3Y)) / Ann(3Y-5Y)  where Ann=δ·ΣP_OIS(Ti), PV_Float=δ·ΣF_i·P_OIS(Ti)</t>
  </si>
  <si>
    <t>5Y-7Y</t>
  </si>
  <si>
    <t>Flat Fwd = (K·Ann(7Y) - PV_Float(0-5Y)) / Ann(5Y-7Y)  where Ann=δ·ΣP_OIS(Ti), PV_Float=δ·ΣF_i·P_OIS(Ti)</t>
  </si>
  <si>
    <t>7Y-10Y</t>
  </si>
  <si>
    <t>Flat Fwd = (K·Ann(10Y) - PV_Float(0-7Y)) / Ann(7Y-10Y)  where Ann=δ·ΣP_OIS(Ti), PV_Float=δ·ΣF_i·P_OIS(Ti)</t>
  </si>
  <si>
    <t>SECTION 3 — QUARTERLY PROJECTION GRID  (40 periods: T_start 0 to 9.75)</t>
  </si>
  <si>
    <t>3M Forward Rate</t>
  </si>
  <si>
    <t>Proj DF at T_end</t>
  </si>
  <si>
    <t>Proj DF(T_end)=Proj DF(T_start)/(1+Fwd·δ)  where Proj DF(0)=1</t>
  </si>
  <si>
    <t>ATM Par Swap Rates  ·  Cap Strike K per Maturity (Dual-Curve Formula)</t>
  </si>
  <si>
    <t>Par Rate = PV(Float) / Annuity  |  PV(Float) = δ·Σ F_i·P_OIS(T_i)  |  Annuity = δ·Σ P_OIS(T_i)</t>
  </si>
  <si>
    <t>Cap Maturity</t>
  </si>
  <si>
    <t>Annuity</t>
  </si>
  <si>
    <t>PV(Floating)</t>
  </si>
  <si>
    <t>Par Rate K</t>
  </si>
  <si>
    <t>Market Cap (bps)</t>
  </si>
  <si>
    <t>2Y</t>
  </si>
  <si>
    <t>3Y</t>
  </si>
  <si>
    <t>5Y</t>
  </si>
  <si>
    <t>7Y</t>
  </si>
  <si>
    <t>10Y</t>
  </si>
  <si>
    <t>HW Caplet Pricing  ·  Organised by Cap Maturity  ·  Formula-driven</t>
  </si>
  <si>
    <t>Caplet = (1+Kδ)·[K̃·P(0,S)·Φ(-h+σ_p) - P(0,S+δ)·Φ(-h)]  |  σ_p=(σ/a)·(1-e^{-aδ})·√[(1-e^{-2aS})/(2a)]  |  h=(1/σ_p)·ln[P(0,S+δ)/(P(0,S)·K̃)]+σ_p/2  |  K̃=1/(1+Kδ)</t>
  </si>
  <si>
    <t>2Y Cap  ·  K = 3.961%  ·  7 caplets  (T_start = 0.25 to 1.75)</t>
  </si>
  <si>
    <t>P(0,S)</t>
  </si>
  <si>
    <t>P(0,S+δ)</t>
  </si>
  <si>
    <t>K</t>
  </si>
  <si>
    <t>K̃</t>
  </si>
  <si>
    <t>σ_p</t>
  </si>
  <si>
    <t>h</t>
  </si>
  <si>
    <t>Φ(-h+σ_p)</t>
  </si>
  <si>
    <t>Φ(-h)</t>
  </si>
  <si>
    <t>Caplet (dec)</t>
  </si>
  <si>
    <t>Caplet (bps)</t>
  </si>
  <si>
    <t>Cap 2Y Total  (Model)</t>
  </si>
  <si>
    <t>3Y Cap  ·  K = 3.670%  ·  11 caplets  (T_start = 0.25 to 2.75)</t>
  </si>
  <si>
    <t>Cap 3Y Total  (Model)</t>
  </si>
  <si>
    <t>5Y Cap  ·  K = 3.640%  ·  19 caplets  (T_start = 0.25 to 4.75)</t>
  </si>
  <si>
    <t>Cap 5Y Total  (Model)</t>
  </si>
  <si>
    <t>7Y Cap  ·  K = 3.620%  ·  27 caplets  (T_start = 0.25 to 6.75)</t>
  </si>
  <si>
    <t>Cap 7Y Total  (Model)</t>
  </si>
  <si>
    <t>10Y Cap  ·  K = 3.590%  ·  39 caplets  (T_start = 0.25 to 9.75)</t>
  </si>
  <si>
    <t>Cap 10Y Total  (Model)</t>
  </si>
  <si>
    <t>PRACTICE: HW Caplet Pricing  ·  Yellow cells = YOUR TURN  ·  Check col shows OK/CHECK</t>
  </si>
  <si>
    <t>Check vs Solution</t>
  </si>
  <si>
    <t>Cap Prices  ·  Model vs Market  ·  SSE  →  Solver Target</t>
  </si>
  <si>
    <t>Market Price (bps)</t>
  </si>
  <si>
    <t>Model Price (bps)</t>
  </si>
  <si>
    <t>Error (bps)</t>
  </si>
  <si>
    <t>Squared Error</t>
  </si>
  <si>
    <t>◀  SSE — SOLVER MINIMISES THIS CELL</t>
  </si>
  <si>
    <t>SOLVER SETUP</t>
  </si>
  <si>
    <t>Set Objective Cell  →  Cap_Prices!F10  →  Minimize</t>
  </si>
  <si>
    <t>By Changing         →  Parameters!C4  (a)   and   Parameters!C5  (σ)</t>
  </si>
  <si>
    <t>Add Constraints     →  Parameters!C4 &gt;= 0.001   |   Parameters!C5 &gt;= 0.0001</t>
  </si>
  <si>
    <t>Solving Method      →  GRG Nonlinear</t>
  </si>
  <si>
    <t>★  True parameters embedded in market prices:  a = 0.15,  σ = 0.008  (+ small noise)</t>
  </si>
  <si>
    <t>PRACTICE: Cap Prices &amp; Calibration  ·  Yellow cells = YOUR TURN  ·  Check col shows OK/CHECK</t>
  </si>
  <si>
    <t>HW1F Parameters  ·  a and σ are Solver Variables</t>
  </si>
  <si>
    <t>Parameter</t>
  </si>
  <si>
    <t>Value</t>
  </si>
  <si>
    <t>Notes</t>
  </si>
  <si>
    <t>a   (Mean Reversion Speed)</t>
  </si>
  <si>
    <t>Solver variable  ·  true=0.15  ·  must be &gt; 0</t>
  </si>
  <si>
    <t>σ   (Short Rate Volatility)</t>
  </si>
  <si>
    <t>Solver variable  ·  true=0.008 ·  must be &gt; 0</t>
  </si>
  <si>
    <t>r₀  (Initial Short Rate)</t>
  </si>
  <si>
    <t>≈ overnight rate from OIS curve short end</t>
  </si>
  <si>
    <t>K   (Cap Strike)</t>
  </si>
  <si>
    <t>per cap</t>
  </si>
  <si>
    <t>ATM par swap rate per maturity — see Par_Rates sheet</t>
  </si>
  <si>
    <t>δ   (Caplet Tenor)</t>
  </si>
  <si>
    <t>Quarterly (3M)</t>
  </si>
  <si>
    <t>PRACTICE: OIS Curve Bootstrap  ·  Yellow cells = YOUR TURN  ·  Check col shows OK/CHECK</t>
  </si>
  <si>
    <t>PRACTICE: Projection Curve  ·  Yellow cells = YOUR TURN  ·  Check col shows OK/CHECK</t>
  </si>
  <si>
    <t>DF</t>
  </si>
  <si>
    <t>PRACTICE: Par Swap Rates (ATM Strikes)  ·  Yellow cells = YOUR TURN  ·  Check col shows OK/CHECK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</si>
</sst>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00"/>
    <numFmt numFmtId="177" formatCode="0.000%"/>
    <numFmt numFmtId="178" formatCode="0.0000"/>
    <numFmt numFmtId="179" formatCode="0\Y"/>
    <numFmt numFmtId="180" formatCode="0.00000_ "/>
    <numFmt numFmtId="181" formatCode="0.00000%"/>
    <numFmt numFmtId="182" formatCode="0.00000"/>
    <numFmt numFmtId="183" formatCode="0.000000%"/>
    <numFmt numFmtId="184" formatCode="0.0000%"/>
  </numFmts>
  <fonts count="38">
    <font>
      <sz val="11"/>
      <color theme="1"/>
      <name val="Calibri"/>
      <charset val="1"/>
    </font>
    <font>
      <b/>
      <sz val="12"/>
      <color rgb="FFFFFFFF"/>
      <name val="Arial"/>
      <charset val="134"/>
    </font>
    <font>
      <i/>
      <sz val="8"/>
      <color rgb="FF666666"/>
      <name val="Arial"/>
      <charset val="134"/>
    </font>
    <font>
      <b/>
      <sz val="9"/>
      <color rgb="FF002060"/>
      <name val="Arial"/>
      <charset val="134"/>
    </font>
    <font>
      <b/>
      <sz val="10"/>
      <color rgb="FFFFFFFF"/>
      <name val="Arial"/>
      <charset val="134"/>
    </font>
    <font>
      <b/>
      <sz val="10"/>
      <color rgb="FF0000FF"/>
      <name val="Arial"/>
      <charset val="134"/>
    </font>
    <font>
      <sz val="10"/>
      <color rgb="FF000000"/>
      <name val="Arial"/>
      <charset val="134"/>
    </font>
    <font>
      <b/>
      <sz val="9"/>
      <color rgb="FF000000"/>
      <name val="Arial"/>
      <charset val="134"/>
    </font>
    <font>
      <b/>
      <sz val="11"/>
      <color rgb="FF002060"/>
      <name val="Arial"/>
      <charset val="134"/>
    </font>
    <font>
      <sz val="10"/>
      <name val="Arial"/>
      <charset val="134"/>
    </font>
    <font>
      <sz val="9"/>
      <color rgb="FF888888"/>
      <name val="Arial"/>
      <charset val="134"/>
    </font>
    <font>
      <b/>
      <sz val="11"/>
      <color rgb="FF0000FF"/>
      <name val="Arial"/>
      <charset val="134"/>
    </font>
    <font>
      <i/>
      <sz val="9"/>
      <color rgb="FF555555"/>
      <name val="Arial"/>
      <charset val="134"/>
    </font>
    <font>
      <b/>
      <sz val="10"/>
      <color rgb="FF002060"/>
      <name val="Arial"/>
      <charset val="134"/>
    </font>
    <font>
      <sz val="10"/>
      <color rgb="FF333333"/>
      <name val="Arial"/>
      <charset val="134"/>
    </font>
    <font>
      <b/>
      <sz val="10"/>
      <color rgb="FF000000"/>
      <name val="Arial"/>
      <charset val="134"/>
    </font>
    <font>
      <b/>
      <sz val="13"/>
      <color rgb="FF002060"/>
      <name val="Arial"/>
      <charset val="134"/>
    </font>
    <font>
      <b/>
      <sz val="13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FFFF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0070C0"/>
        <bgColor rgb="FF008080"/>
      </patternFill>
    </fill>
    <fill>
      <patternFill patternType="solid">
        <fgColor rgb="FFD6E4F0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FFE2CC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9" fillId="0" borderId="0" applyBorder="0" applyAlignment="0" applyProtection="0"/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0" borderId="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5" applyNumberFormat="0" applyAlignment="0" applyProtection="0">
      <alignment vertical="center"/>
    </xf>
    <xf numFmtId="0" fontId="28" fillId="12" borderId="6" applyNumberFormat="0" applyAlignment="0" applyProtection="0">
      <alignment vertical="center"/>
    </xf>
    <xf numFmtId="0" fontId="29" fillId="12" borderId="5" applyNumberFormat="0" applyAlignment="0" applyProtection="0">
      <alignment vertical="center"/>
    </xf>
    <xf numFmtId="0" fontId="30" fillId="13" borderId="7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</cellStyleXfs>
  <cellXfs count="6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176" fontId="6" fillId="7" borderId="1" xfId="0" applyNumberFormat="1" applyFont="1" applyFill="1" applyBorder="1" applyAlignment="1">
      <alignment horizontal="center" vertical="center"/>
    </xf>
    <xf numFmtId="177" fontId="6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6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2" fontId="6" fillId="3" borderId="1" xfId="0" applyNumberFormat="1" applyFont="1" applyFill="1" applyBorder="1" applyAlignment="1">
      <alignment horizontal="center" vertical="center"/>
    </xf>
    <xf numFmtId="177" fontId="5" fillId="6" borderId="1" xfId="0" applyNumberFormat="1" applyFont="1" applyFill="1" applyBorder="1" applyAlignment="1">
      <alignment horizontal="center" vertical="center"/>
    </xf>
    <xf numFmtId="10" fontId="9" fillId="0" borderId="0" xfId="3" applyNumberFormat="1"/>
    <xf numFmtId="0" fontId="6" fillId="8" borderId="1" xfId="0" applyFont="1" applyFill="1" applyBorder="1" applyAlignment="1">
      <alignment horizontal="left" vertical="center"/>
    </xf>
    <xf numFmtId="2" fontId="6" fillId="8" borderId="1" xfId="0" applyNumberFormat="1" applyFont="1" applyFill="1" applyBorder="1" applyAlignment="1">
      <alignment horizontal="center" vertical="center"/>
    </xf>
    <xf numFmtId="179" fontId="6" fillId="8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177" fontId="9" fillId="0" borderId="0" xfId="3" applyNumberFormat="1"/>
    <xf numFmtId="179" fontId="6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0" fontId="6" fillId="8" borderId="0" xfId="0" applyFont="1" applyFill="1" applyAlignment="1">
      <alignment horizontal="left" vertical="center"/>
    </xf>
    <xf numFmtId="178" fontId="11" fillId="6" borderId="1" xfId="0" applyNumberFormat="1" applyFont="1" applyFill="1" applyBorder="1" applyAlignment="1">
      <alignment horizontal="center" vertical="center"/>
    </xf>
    <xf numFmtId="0" fontId="12" fillId="8" borderId="0" xfId="0" applyFont="1" applyFill="1" applyAlignment="1">
      <alignment horizontal="left" vertical="center"/>
    </xf>
    <xf numFmtId="180" fontId="0" fillId="0" borderId="0" xfId="0" applyNumberFormat="1"/>
    <xf numFmtId="0" fontId="6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49" fontId="15" fillId="8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2" fontId="6" fillId="7" borderId="1" xfId="0" applyNumberFormat="1" applyFont="1" applyFill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/>
    </xf>
    <xf numFmtId="2" fontId="16" fillId="4" borderId="1" xfId="0" applyNumberFormat="1" applyFont="1" applyFill="1" applyBorder="1" applyAlignment="1">
      <alignment horizontal="center" vertical="center"/>
    </xf>
    <xf numFmtId="178" fontId="15" fillId="8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15" fillId="3" borderId="1" xfId="0" applyNumberFormat="1" applyFont="1" applyFill="1" applyBorder="1" applyAlignment="1">
      <alignment horizontal="center" vertical="center"/>
    </xf>
    <xf numFmtId="178" fontId="6" fillId="3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77" fontId="6" fillId="3" borderId="1" xfId="0" applyNumberFormat="1" applyFont="1" applyFill="1" applyBorder="1" applyAlignment="1">
      <alignment horizontal="center" vertical="center"/>
    </xf>
    <xf numFmtId="181" fontId="6" fillId="7" borderId="1" xfId="0" applyNumberFormat="1" applyFont="1" applyFill="1" applyBorder="1" applyAlignment="1">
      <alignment horizontal="center" vertical="center"/>
    </xf>
    <xf numFmtId="182" fontId="6" fillId="7" borderId="1" xfId="0" applyNumberFormat="1" applyFont="1" applyFill="1" applyBorder="1" applyAlignment="1">
      <alignment horizontal="center" vertical="center"/>
    </xf>
    <xf numFmtId="183" fontId="6" fillId="7" borderId="1" xfId="0" applyNumberFormat="1" applyFont="1" applyFill="1" applyBorder="1" applyAlignment="1">
      <alignment horizontal="center" vertical="center"/>
    </xf>
    <xf numFmtId="176" fontId="6" fillId="8" borderId="1" xfId="0" applyNumberFormat="1" applyFont="1" applyFill="1" applyBorder="1" applyAlignment="1">
      <alignment horizontal="center" vertical="center"/>
    </xf>
    <xf numFmtId="177" fontId="6" fillId="8" borderId="1" xfId="0" applyNumberFormat="1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6" fillId="7" borderId="1" xfId="0" applyFont="1" applyFill="1" applyBorder="1"/>
    <xf numFmtId="0" fontId="6" fillId="7" borderId="1" xfId="0" applyFont="1" applyFill="1" applyBorder="1" applyAlignment="1">
      <alignment horizontal="center" vertical="center"/>
    </xf>
    <xf numFmtId="183" fontId="15" fillId="9" borderId="1" xfId="0" applyNumberFormat="1" applyFont="1" applyFill="1" applyBorder="1" applyAlignment="1">
      <alignment horizontal="center" vertical="center"/>
    </xf>
    <xf numFmtId="178" fontId="15" fillId="9" borderId="1" xfId="0" applyNumberFormat="1" applyFont="1" applyFill="1" applyBorder="1" applyAlignment="1">
      <alignment horizontal="center" vertical="center"/>
    </xf>
    <xf numFmtId="181" fontId="6" fillId="3" borderId="1" xfId="0" applyNumberFormat="1" applyFont="1" applyFill="1" applyBorder="1" applyAlignment="1">
      <alignment horizontal="center" vertical="center"/>
    </xf>
    <xf numFmtId="182" fontId="6" fillId="3" borderId="1" xfId="0" applyNumberFormat="1" applyFont="1" applyFill="1" applyBorder="1" applyAlignment="1">
      <alignment horizontal="center" vertical="center"/>
    </xf>
    <xf numFmtId="183" fontId="6" fillId="3" borderId="1" xfId="0" applyNumberFormat="1" applyFont="1" applyFill="1" applyBorder="1" applyAlignment="1">
      <alignment horizontal="center" vertical="center"/>
    </xf>
    <xf numFmtId="181" fontId="6" fillId="8" borderId="1" xfId="0" applyNumberFormat="1" applyFont="1" applyFill="1" applyBorder="1" applyAlignment="1">
      <alignment horizontal="center" vertical="center"/>
    </xf>
    <xf numFmtId="182" fontId="6" fillId="8" borderId="1" xfId="0" applyNumberFormat="1" applyFont="1" applyFill="1" applyBorder="1" applyAlignment="1">
      <alignment horizontal="center" vertical="center"/>
    </xf>
    <xf numFmtId="183" fontId="6" fillId="8" borderId="1" xfId="0" applyNumberFormat="1" applyFont="1" applyFill="1" applyBorder="1" applyAlignment="1">
      <alignment horizontal="center" vertical="center"/>
    </xf>
    <xf numFmtId="176" fontId="15" fillId="3" borderId="1" xfId="0" applyNumberFormat="1" applyFont="1" applyFill="1" applyBorder="1" applyAlignment="1">
      <alignment horizontal="center" vertical="center"/>
    </xf>
    <xf numFmtId="177" fontId="15" fillId="9" borderId="1" xfId="0" applyNumberFormat="1" applyFont="1" applyFill="1" applyBorder="1" applyAlignment="1">
      <alignment horizontal="center" vertical="center"/>
    </xf>
    <xf numFmtId="176" fontId="15" fillId="8" borderId="1" xfId="0" applyNumberFormat="1" applyFont="1" applyFill="1" applyBorder="1" applyAlignment="1">
      <alignment horizontal="center" vertical="center"/>
    </xf>
    <xf numFmtId="184" fontId="6" fillId="8" borderId="1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1" fontId="6" fillId="8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2F2F2"/>
      <rgbColor rgb="00CCFFFF"/>
      <rgbColor rgb="00660066"/>
      <rgbColor rgb="00FF8080"/>
      <rgbColor rgb="000070C0"/>
      <rgbColor rgb="00D6E4F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E2CC"/>
      <rgbColor rgb="003366FF"/>
      <rgbColor rgb="0033CCCC"/>
      <rgbColor rgb="0099CC00"/>
      <rgbColor rgb="00FFC000"/>
      <rgbColor rgb="00FF9900"/>
      <rgbColor rgb="00FF6600"/>
      <rgbColor rgb="00666666"/>
      <rgbColor rgb="00AAAAAA"/>
      <rgbColor rgb="00002060"/>
      <rgbColor rgb="00339966"/>
      <rgbColor rgb="00003300"/>
      <rgbColor rgb="00333300"/>
      <rgbColor rgb="00993300"/>
      <rgbColor rgb="00993366"/>
      <rgbColor rgb="00555555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33"/>
  <sheetViews>
    <sheetView showGridLines="0" workbookViewId="0">
      <pane xSplit="1" ySplit="4" topLeftCell="B19" activePane="bottomRight" state="frozen"/>
      <selection/>
      <selection pane="topRight"/>
      <selection pane="bottomLeft"/>
      <selection pane="bottomRight" activeCell="G7" sqref="G7:G8"/>
    </sheetView>
  </sheetViews>
  <sheetFormatPr defaultColWidth="8.6328125" defaultRowHeight="16.8" outlineLevelCol="5"/>
  <cols>
    <col min="1" max="1" width="3" customWidth="1"/>
    <col min="2" max="2" width="22" customWidth="1"/>
    <col min="3" max="3" width="10" customWidth="1"/>
    <col min="4" max="4" width="14" customWidth="1"/>
    <col min="5" max="5" width="30" customWidth="1"/>
    <col min="6" max="6" width="14" customWidth="1"/>
  </cols>
  <sheetData>
    <row r="1" ht="27.75" customHeight="1" spans="2:5">
      <c r="B1" s="66" t="s">
        <v>0</v>
      </c>
      <c r="C1" s="66"/>
      <c r="D1" s="66"/>
      <c r="E1" s="66"/>
    </row>
    <row r="3" ht="19.5" customHeight="1" spans="2:5">
      <c r="B3" s="10" t="s">
        <v>1</v>
      </c>
      <c r="C3" s="10"/>
      <c r="D3" s="10"/>
      <c r="E3" s="10"/>
    </row>
    <row r="4" ht="19.5" customHeight="1" spans="2:5">
      <c r="B4" s="4" t="s">
        <v>2</v>
      </c>
      <c r="C4" s="4" t="s">
        <v>3</v>
      </c>
      <c r="D4" s="4" t="s">
        <v>4</v>
      </c>
      <c r="E4" s="4" t="s">
        <v>5</v>
      </c>
    </row>
    <row r="5" ht="18" customHeight="1" spans="2:5">
      <c r="B5" s="11" t="s">
        <v>6</v>
      </c>
      <c r="C5" s="12">
        <v>0.25</v>
      </c>
      <c r="D5" s="13">
        <v>0.0415</v>
      </c>
    </row>
    <row r="6" ht="18" customHeight="1" spans="2:5">
      <c r="B6" s="15" t="s">
        <v>7</v>
      </c>
      <c r="C6" s="16">
        <v>0.5</v>
      </c>
      <c r="D6" s="13">
        <v>0.04</v>
      </c>
    </row>
    <row r="7" ht="19.5" customHeight="1" spans="2:5">
      <c r="B7" s="10" t="s">
        <v>8</v>
      </c>
      <c r="C7" s="10"/>
      <c r="D7" s="10"/>
      <c r="E7" s="10"/>
    </row>
    <row r="8" ht="19.5" customHeight="1" spans="2:5">
      <c r="B8" s="4" t="s">
        <v>2</v>
      </c>
      <c r="C8" s="4" t="s">
        <v>3</v>
      </c>
      <c r="D8" s="4" t="s">
        <v>9</v>
      </c>
      <c r="E8" s="4" t="s">
        <v>5</v>
      </c>
    </row>
    <row r="9" ht="18" customHeight="1" spans="2:5">
      <c r="B9" s="11" t="s">
        <v>10</v>
      </c>
      <c r="C9" s="67">
        <v>1</v>
      </c>
      <c r="D9" s="13">
        <v>0.038</v>
      </c>
    </row>
    <row r="10" ht="18" customHeight="1" spans="2:5">
      <c r="B10" s="15" t="s">
        <v>11</v>
      </c>
      <c r="C10" s="68">
        <v>2</v>
      </c>
      <c r="D10" s="13">
        <v>0.037</v>
      </c>
    </row>
    <row r="11" ht="18" customHeight="1" spans="2:5">
      <c r="B11" s="11" t="s">
        <v>12</v>
      </c>
      <c r="C11" s="67">
        <v>3</v>
      </c>
      <c r="D11" s="13">
        <v>0.0365</v>
      </c>
    </row>
    <row r="12" ht="18" customHeight="1" spans="2:5">
      <c r="B12" s="15" t="s">
        <v>13</v>
      </c>
      <c r="C12" s="68">
        <v>5</v>
      </c>
      <c r="D12" s="13">
        <v>0.036</v>
      </c>
    </row>
    <row r="13" ht="18" customHeight="1" spans="2:5">
      <c r="B13" s="11" t="s">
        <v>14</v>
      </c>
      <c r="C13" s="67">
        <v>7</v>
      </c>
      <c r="D13" s="13">
        <v>0.0358</v>
      </c>
    </row>
    <row r="14" ht="18" customHeight="1" spans="2:5">
      <c r="B14" s="15" t="s">
        <v>15</v>
      </c>
      <c r="C14" s="68">
        <v>10</v>
      </c>
      <c r="D14" s="13">
        <v>0.0355</v>
      </c>
    </row>
    <row r="17" ht="19.5" customHeight="1" spans="2:6">
      <c r="B17" s="10" t="s">
        <v>16</v>
      </c>
      <c r="C17" s="10"/>
      <c r="D17" s="10"/>
      <c r="E17" s="10"/>
    </row>
    <row r="18" ht="19.5" customHeight="1" spans="2:6">
      <c r="B18" s="4" t="s">
        <v>17</v>
      </c>
      <c r="C18" s="4" t="s">
        <v>18</v>
      </c>
      <c r="D18" s="4" t="s">
        <v>19</v>
      </c>
      <c r="E18" s="4" t="s">
        <v>20</v>
      </c>
      <c r="F18" s="4" t="s">
        <v>5</v>
      </c>
    </row>
    <row r="19" ht="18" customHeight="1" spans="2:6">
      <c r="B19" s="11" t="s">
        <v>21</v>
      </c>
      <c r="C19" s="12">
        <v>0</v>
      </c>
      <c r="D19" s="12">
        <v>0.25</v>
      </c>
      <c r="E19" s="13">
        <v>0.044</v>
      </c>
      <c r="F19" s="21" t="s">
        <v>22</v>
      </c>
    </row>
    <row r="20" ht="18" customHeight="1" spans="2:6">
      <c r="B20" s="15" t="s">
        <v>23</v>
      </c>
      <c r="C20" s="16">
        <v>0.25</v>
      </c>
      <c r="D20" s="16">
        <v>0.5</v>
      </c>
      <c r="E20" s="13">
        <v>0.0425</v>
      </c>
      <c r="F20" s="18" t="s">
        <v>24</v>
      </c>
    </row>
    <row r="21" ht="18" customHeight="1" spans="2:6">
      <c r="B21" s="11" t="s">
        <v>25</v>
      </c>
      <c r="C21" s="12">
        <v>0.5</v>
      </c>
      <c r="D21" s="12">
        <v>0.75</v>
      </c>
      <c r="E21" s="13">
        <v>0.0408</v>
      </c>
      <c r="F21" s="21" t="s">
        <v>26</v>
      </c>
    </row>
    <row r="22" ht="18" customHeight="1" spans="2:6">
      <c r="B22" s="15" t="s">
        <v>27</v>
      </c>
      <c r="C22" s="16">
        <v>0.75</v>
      </c>
      <c r="D22" s="16">
        <v>1</v>
      </c>
      <c r="E22" s="13">
        <v>0.0392</v>
      </c>
      <c r="F22" s="18" t="s">
        <v>28</v>
      </c>
    </row>
    <row r="23" ht="18" customHeight="1" spans="2:6">
      <c r="B23" s="11" t="s">
        <v>29</v>
      </c>
      <c r="C23" s="12">
        <v>1</v>
      </c>
      <c r="D23" s="12">
        <v>1.25</v>
      </c>
      <c r="E23" s="13">
        <v>0.0382</v>
      </c>
      <c r="F23" s="21" t="s">
        <v>30</v>
      </c>
    </row>
    <row r="24" ht="18" customHeight="1" spans="2:6">
      <c r="B24" s="15" t="s">
        <v>31</v>
      </c>
      <c r="C24" s="16">
        <v>1.25</v>
      </c>
      <c r="D24" s="16">
        <v>1.5</v>
      </c>
      <c r="E24" s="13">
        <v>0.0376</v>
      </c>
      <c r="F24" s="18" t="s">
        <v>32</v>
      </c>
    </row>
    <row r="25" ht="18" customHeight="1" spans="2:6">
      <c r="B25" s="11" t="s">
        <v>33</v>
      </c>
      <c r="C25" s="12">
        <v>1.5</v>
      </c>
      <c r="D25" s="12">
        <v>1.75</v>
      </c>
      <c r="E25" s="13">
        <v>0.0372</v>
      </c>
      <c r="F25" s="21" t="s">
        <v>34</v>
      </c>
    </row>
    <row r="26" ht="18" customHeight="1" spans="2:6">
      <c r="B26" s="15" t="s">
        <v>35</v>
      </c>
      <c r="C26" s="16">
        <v>1.75</v>
      </c>
      <c r="D26" s="16">
        <v>2</v>
      </c>
      <c r="E26" s="13">
        <v>0.037</v>
      </c>
      <c r="F26" s="18" t="s">
        <v>36</v>
      </c>
    </row>
    <row r="27" ht="19.5" customHeight="1" spans="2:6">
      <c r="B27" s="10" t="s">
        <v>37</v>
      </c>
      <c r="C27" s="10"/>
      <c r="D27" s="10"/>
      <c r="E27" s="10"/>
    </row>
    <row r="28" ht="19.5" customHeight="1" spans="2:6">
      <c r="B28" s="4" t="s">
        <v>2</v>
      </c>
      <c r="C28" s="4" t="s">
        <v>3</v>
      </c>
      <c r="D28" s="4" t="s">
        <v>9</v>
      </c>
      <c r="E28" s="4" t="s">
        <v>5</v>
      </c>
    </row>
    <row r="29" ht="18" customHeight="1" spans="2:6">
      <c r="B29" s="11" t="s">
        <v>38</v>
      </c>
      <c r="C29" s="67">
        <v>2</v>
      </c>
      <c r="D29" s="13">
        <v>0.0371</v>
      </c>
      <c r="E29" s="2" t="s">
        <v>39</v>
      </c>
    </row>
    <row r="30" ht="18" customHeight="1" spans="2:6">
      <c r="B30" s="15" t="s">
        <v>40</v>
      </c>
      <c r="C30" s="68">
        <v>3</v>
      </c>
      <c r="D30" s="13">
        <v>0.0367</v>
      </c>
      <c r="E30" s="2" t="s">
        <v>41</v>
      </c>
    </row>
    <row r="31" ht="18" customHeight="1" spans="2:6">
      <c r="B31" s="11" t="s">
        <v>42</v>
      </c>
      <c r="C31" s="67">
        <v>5</v>
      </c>
      <c r="D31" s="13">
        <v>0.0364</v>
      </c>
      <c r="E31" s="2" t="s">
        <v>43</v>
      </c>
    </row>
    <row r="32" ht="18" customHeight="1" spans="2:6">
      <c r="B32" s="15" t="s">
        <v>44</v>
      </c>
      <c r="C32" s="68">
        <v>7</v>
      </c>
      <c r="D32" s="13">
        <v>0.0362</v>
      </c>
      <c r="E32" s="2" t="s">
        <v>45</v>
      </c>
    </row>
    <row r="33" ht="18" customHeight="1" spans="2:5">
      <c r="B33" s="11" t="s">
        <v>46</v>
      </c>
      <c r="C33" s="67">
        <v>10</v>
      </c>
      <c r="D33" s="13">
        <v>0.0359</v>
      </c>
      <c r="E33" s="2" t="s">
        <v>47</v>
      </c>
    </row>
  </sheetData>
  <mergeCells count="5">
    <mergeCell ref="B1:E1"/>
    <mergeCell ref="B3:E3"/>
    <mergeCell ref="B7:E7"/>
    <mergeCell ref="B17:E17"/>
    <mergeCell ref="B27:E2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58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E8" sqref="E8"/>
    </sheetView>
  </sheetViews>
  <sheetFormatPr defaultColWidth="8.6328125" defaultRowHeight="16.8" outlineLevelCol="6"/>
  <cols>
    <col min="1" max="1" width="3" customWidth="1"/>
    <col min="2" max="2" width="10" customWidth="1"/>
    <col min="3" max="3" width="12" customWidth="1"/>
    <col min="4" max="4" width="14" customWidth="1"/>
    <col min="5" max="6" width="16" customWidth="1"/>
    <col min="7" max="7" width="36" customWidth="1"/>
  </cols>
  <sheetData>
    <row r="1" ht="27.75" customHeight="1" spans="2:7">
      <c r="B1" s="1" t="s">
        <v>48</v>
      </c>
      <c r="C1" s="1"/>
      <c r="D1" s="1"/>
      <c r="E1" s="1"/>
      <c r="F1" s="1"/>
      <c r="G1" s="1"/>
    </row>
    <row r="3" ht="19.5" customHeight="1" spans="2:7">
      <c r="B3" s="10" t="s">
        <v>49</v>
      </c>
      <c r="C3" s="10"/>
      <c r="D3" s="10"/>
      <c r="E3" s="10"/>
      <c r="F3" s="10"/>
      <c r="G3" s="10"/>
    </row>
    <row r="4" ht="19.5" customHeight="1" spans="2:7">
      <c r="B4" s="4" t="s">
        <v>3</v>
      </c>
      <c r="C4" s="4" t="s">
        <v>50</v>
      </c>
      <c r="D4" s="4" t="s">
        <v>51</v>
      </c>
      <c r="E4" s="4" t="s">
        <v>52</v>
      </c>
      <c r="F4" s="4" t="s">
        <v>53</v>
      </c>
      <c r="G4" s="4" t="s">
        <v>54</v>
      </c>
    </row>
    <row r="5" ht="18" customHeight="1" spans="2:7">
      <c r="B5" s="12">
        <v>0.25</v>
      </c>
      <c r="C5" s="21" t="s">
        <v>55</v>
      </c>
      <c r="D5" s="13">
        <f>Instruments!$D$5</f>
        <v>0.0415</v>
      </c>
      <c r="E5" s="44">
        <f>1/(1+D5*B5)</f>
        <v>0.989731535321044</v>
      </c>
      <c r="F5" s="45">
        <f>-LN(E5)/B5</f>
        <v>0.0412861962874855</v>
      </c>
      <c r="G5" s="2" t="s">
        <v>56</v>
      </c>
    </row>
    <row r="6" ht="18" customHeight="1" spans="2:7">
      <c r="B6" s="16">
        <v>0.5</v>
      </c>
      <c r="C6" s="18" t="s">
        <v>55</v>
      </c>
      <c r="D6" s="13">
        <f>Instruments!$D$6</f>
        <v>0.04</v>
      </c>
      <c r="E6" s="49">
        <f>1/(1+D6*B6)</f>
        <v>0.980392156862745</v>
      </c>
      <c r="F6" s="50">
        <f>-LN(E6)/B6</f>
        <v>0.0396052545923595</v>
      </c>
      <c r="G6" s="2" t="s">
        <v>57</v>
      </c>
    </row>
    <row r="7" ht="18" customHeight="1" spans="2:7">
      <c r="B7" s="12">
        <v>1</v>
      </c>
      <c r="C7" s="21" t="s">
        <v>58</v>
      </c>
      <c r="D7" s="13">
        <f>Instruments!$D$9</f>
        <v>0.038</v>
      </c>
      <c r="E7" s="44">
        <f>1/(1+D7)</f>
        <v>0.963391136801541</v>
      </c>
      <c r="F7" s="45">
        <f>-LN(E7)/B7</f>
        <v>0.0372957847436969</v>
      </c>
      <c r="G7" s="2" t="s">
        <v>59</v>
      </c>
    </row>
    <row r="8" ht="18" customHeight="1" spans="2:7">
      <c r="B8" s="16">
        <v>2</v>
      </c>
      <c r="C8" s="18" t="s">
        <v>58</v>
      </c>
      <c r="D8" s="13">
        <f>Instruments!$D$10</f>
        <v>0.037</v>
      </c>
      <c r="E8" s="49">
        <f>(1-D8*E7)/(1+D8)</f>
        <v>0.929946507172944</v>
      </c>
      <c r="F8" s="50">
        <f>-LN(E8)/B8</f>
        <v>0.0363141068290018</v>
      </c>
      <c r="G8" s="2" t="s">
        <v>60</v>
      </c>
    </row>
    <row r="9" ht="18" customHeight="1" spans="2:7">
      <c r="B9" s="12">
        <v>3</v>
      </c>
      <c r="C9" s="21" t="s">
        <v>58</v>
      </c>
      <c r="D9" s="13">
        <f>Instruments!$D$11</f>
        <v>0.0365</v>
      </c>
      <c r="E9" s="44">
        <f>(1-D9*(E7+E8))/(1+D9)</f>
        <v>0.898112084896219</v>
      </c>
      <c r="F9" s="45">
        <f>-LN(E9)/B9</f>
        <v>0.0358201341086803</v>
      </c>
      <c r="G9" s="2" t="s">
        <v>61</v>
      </c>
    </row>
    <row r="10" ht="18" customHeight="1" spans="2:7">
      <c r="B10" s="16">
        <v>4</v>
      </c>
      <c r="C10" s="18" t="s">
        <v>62</v>
      </c>
      <c r="D10" s="22" t="s">
        <v>63</v>
      </c>
      <c r="E10" s="49">
        <f>EXP(-F10*B10)</f>
        <v>0.866199291435047</v>
      </c>
      <c r="F10" s="50">
        <f>F9+(Instruments!$D$12-F9)*(B10-B9)/(5-B9)</f>
        <v>0.0359100670543401</v>
      </c>
      <c r="G10" s="2" t="s">
        <v>64</v>
      </c>
    </row>
    <row r="11" ht="18" customHeight="1" spans="2:7">
      <c r="B11" s="12">
        <v>5</v>
      </c>
      <c r="C11" s="21" t="s">
        <v>58</v>
      </c>
      <c r="D11" s="13">
        <f>Instruments!$D$12</f>
        <v>0.036</v>
      </c>
      <c r="E11" s="44">
        <f>(1-D11*(E7+E8+E9+E10))/(1+D11)</f>
        <v>0.838151192344588</v>
      </c>
      <c r="F11" s="45">
        <f>-LN(E11)/B11</f>
        <v>0.0353113548629865</v>
      </c>
      <c r="G11" s="2" t="s">
        <v>65</v>
      </c>
    </row>
    <row r="12" ht="18" customHeight="1" spans="2:7">
      <c r="B12" s="16">
        <v>6</v>
      </c>
      <c r="C12" s="18" t="s">
        <v>62</v>
      </c>
      <c r="D12" s="22" t="s">
        <v>63</v>
      </c>
      <c r="E12" s="49">
        <f>EXP(-F12*B12)</f>
        <v>0.807886205958442</v>
      </c>
      <c r="F12" s="50">
        <f>F11+(Instruments!$D$13-F11)*(B12-B11)/(7-B11)</f>
        <v>0.0355556774314932</v>
      </c>
      <c r="G12" s="2" t="s">
        <v>66</v>
      </c>
    </row>
    <row r="13" ht="18" customHeight="1" spans="2:7">
      <c r="B13" s="12">
        <v>7</v>
      </c>
      <c r="C13" s="21" t="s">
        <v>58</v>
      </c>
      <c r="D13" s="13">
        <f>Instruments!$D$13</f>
        <v>0.0358</v>
      </c>
      <c r="E13" s="44">
        <f>(1-D13*(E7+E8+E9+E10+E11+E12))/(1+D13)</f>
        <v>0.782127849212015</v>
      </c>
      <c r="F13" s="45">
        <f>-LN(E13)/B13</f>
        <v>0.0351052945369894</v>
      </c>
      <c r="G13" s="2" t="s">
        <v>67</v>
      </c>
    </row>
    <row r="14" ht="18" customHeight="1" spans="2:7">
      <c r="B14" s="16">
        <v>8</v>
      </c>
      <c r="C14" s="18" t="s">
        <v>62</v>
      </c>
      <c r="D14" s="22" t="s">
        <v>63</v>
      </c>
      <c r="E14" s="49">
        <f>EXP(-F14*B14)</f>
        <v>0.754352959697108</v>
      </c>
      <c r="F14" s="50">
        <f>F13+(Instruments!$D$14-F13)*(B14-B13)/(10-B13)</f>
        <v>0.0352368630246596</v>
      </c>
      <c r="G14" s="2" t="s">
        <v>68</v>
      </c>
    </row>
    <row r="15" ht="18" customHeight="1" spans="2:7">
      <c r="B15" s="12">
        <v>9</v>
      </c>
      <c r="C15" s="21" t="s">
        <v>62</v>
      </c>
      <c r="D15" s="23" t="s">
        <v>63</v>
      </c>
      <c r="E15" s="44">
        <f>EXP(-F15*B15)</f>
        <v>0.727372986915615</v>
      </c>
      <c r="F15" s="45">
        <f>F13+(Instruments!$D$14-F13)*(B15-B13)/(10-B13)</f>
        <v>0.0353684315123298</v>
      </c>
      <c r="G15" s="2" t="s">
        <v>69</v>
      </c>
    </row>
    <row r="16" ht="18" customHeight="1" spans="2:7">
      <c r="B16" s="16">
        <v>10</v>
      </c>
      <c r="C16" s="18" t="s">
        <v>58</v>
      </c>
      <c r="D16" s="13">
        <f>Instruments!$D$14</f>
        <v>0.0355</v>
      </c>
      <c r="E16" s="49">
        <f>(1-D16*(E7+E8+E9+E10+E11+E12+E13+E14+E15))/(1+D16)</f>
        <v>0.706279403561188</v>
      </c>
      <c r="F16" s="50">
        <f>-LN(E16)/B16</f>
        <v>0.0347744364027157</v>
      </c>
      <c r="G16" s="2" t="s">
        <v>70</v>
      </c>
    </row>
    <row r="17" ht="19.5" customHeight="1" spans="2:7">
      <c r="B17" s="10" t="s">
        <v>71</v>
      </c>
      <c r="C17" s="10"/>
      <c r="D17" s="10"/>
      <c r="E17" s="10"/>
      <c r="F17" s="10"/>
      <c r="G17" s="10"/>
    </row>
    <row r="18" ht="19.5" customHeight="1" spans="2:7">
      <c r="B18" s="4" t="s">
        <v>3</v>
      </c>
      <c r="C18" s="4" t="s">
        <v>72</v>
      </c>
      <c r="D18" s="4" t="s">
        <v>52</v>
      </c>
      <c r="E18" s="4" t="s">
        <v>73</v>
      </c>
      <c r="F18" s="4" t="s">
        <v>74</v>
      </c>
      <c r="G18" s="4" t="s">
        <v>75</v>
      </c>
    </row>
    <row r="19" ht="15.75" customHeight="1" spans="2:7">
      <c r="B19" s="12">
        <v>0.25</v>
      </c>
      <c r="C19" s="45">
        <f t="shared" ref="C19:C58" si="0">INDEX($F$5:$F$16,MIN(MATCH(B19,$B$5:$B$16,1),11))+(INDEX($F$5:$F$16,MIN(MATCH(B19,$B$5:$B$16,1),11)+1)-INDEX($F$5:$F$16,MIN(MATCH(B19,$B$5:$B$16,1),11)))/(INDEX($B$5:$B$16,MIN(MATCH(B19,$B$5:$B$16,1),11)+1)-INDEX($B$5:$B$16,MIN(MATCH(B19,$B$5:$B$16,1),11)))*(B19-INDEX($B$5:$B$16,MIN(MATCH(B19,$B$5:$B$16,1),11)))</f>
        <v>0.0412861962874855</v>
      </c>
      <c r="D19" s="44">
        <f t="shared" ref="D19:D58" si="1">EXP(-C19*B19)</f>
        <v>0.989731535321044</v>
      </c>
      <c r="E19" s="45">
        <f>-LN(D19)/B19</f>
        <v>0.0412861962874864</v>
      </c>
      <c r="F19" s="45">
        <f t="shared" ref="F19:F57" si="2">(D19/D20-1)/0.25</f>
        <v>0.0381046641098601</v>
      </c>
      <c r="G19" s="2" t="s">
        <v>76</v>
      </c>
    </row>
    <row r="20" ht="15.75" customHeight="1" spans="2:7">
      <c r="B20" s="16">
        <v>0.5</v>
      </c>
      <c r="C20" s="50">
        <f t="shared" si="0"/>
        <v>0.0396052545923595</v>
      </c>
      <c r="D20" s="49">
        <f t="shared" si="1"/>
        <v>0.980392156862745</v>
      </c>
      <c r="E20" s="50">
        <f t="shared" ref="E20:E57" si="3">(LN(D19)-LN(D21))/(B21-B19)</f>
        <v>0.0370326813582995</v>
      </c>
      <c r="F20" s="50">
        <f t="shared" si="2"/>
        <v>0.0363048146022988</v>
      </c>
      <c r="G20" s="2" t="s">
        <v>76</v>
      </c>
    </row>
    <row r="21" ht="15.75" customHeight="1" spans="2:7">
      <c r="B21" s="12">
        <v>0.75</v>
      </c>
      <c r="C21" s="45">
        <f t="shared" si="0"/>
        <v>0.0384505196680282</v>
      </c>
      <c r="D21" s="44">
        <f t="shared" si="1"/>
        <v>0.971573953796494</v>
      </c>
      <c r="E21" s="45">
        <f t="shared" si="3"/>
        <v>0.0349863148950343</v>
      </c>
      <c r="F21" s="45">
        <f t="shared" si="2"/>
        <v>0.033975056163043</v>
      </c>
      <c r="G21" s="2" t="s">
        <v>76</v>
      </c>
    </row>
    <row r="22" ht="15.75" customHeight="1" spans="2:7">
      <c r="B22" s="16">
        <v>1</v>
      </c>
      <c r="C22" s="50">
        <f t="shared" si="0"/>
        <v>0.0372957847436969</v>
      </c>
      <c r="D22" s="49">
        <f t="shared" si="1"/>
        <v>0.963391136801541</v>
      </c>
      <c r="E22" s="65">
        <f t="shared" si="3"/>
        <v>0.0349501336605156</v>
      </c>
      <c r="F22" s="50">
        <f t="shared" si="2"/>
        <v>0.0362317960172334</v>
      </c>
    </row>
    <row r="23" ht="15.75" customHeight="1" spans="2:7">
      <c r="B23" s="12">
        <v>1.25</v>
      </c>
      <c r="C23" s="45">
        <f t="shared" si="0"/>
        <v>0.0370503652650231</v>
      </c>
      <c r="D23" s="44">
        <f t="shared" si="1"/>
        <v>0.954743122287646</v>
      </c>
      <c r="E23" s="45">
        <f t="shared" si="3"/>
        <v>0.0358232678716541</v>
      </c>
      <c r="F23" s="45">
        <f t="shared" si="2"/>
        <v>0.0357365414525415</v>
      </c>
    </row>
    <row r="24" ht="15.75" customHeight="1" spans="2:7">
      <c r="B24" s="16">
        <v>1.5</v>
      </c>
      <c r="C24" s="50">
        <f t="shared" si="0"/>
        <v>0.0368049457863493</v>
      </c>
      <c r="D24" s="49">
        <f t="shared" si="1"/>
        <v>0.946288849612581</v>
      </c>
      <c r="E24" s="50">
        <f t="shared" si="3"/>
        <v>0.0353324289143065</v>
      </c>
      <c r="F24" s="50">
        <f t="shared" si="2"/>
        <v>0.0352413476566795</v>
      </c>
    </row>
    <row r="25" ht="15.75" customHeight="1" spans="2:7">
      <c r="B25" s="12">
        <v>1.75</v>
      </c>
      <c r="C25" s="45">
        <f t="shared" si="0"/>
        <v>0.0365595263076755</v>
      </c>
      <c r="D25" s="44">
        <f t="shared" si="1"/>
        <v>0.938024537404291</v>
      </c>
      <c r="E25" s="45">
        <f t="shared" si="3"/>
        <v>0.0348415899569591</v>
      </c>
      <c r="F25" s="45">
        <f t="shared" si="2"/>
        <v>0.0347462146221913</v>
      </c>
    </row>
    <row r="26" ht="15.75" customHeight="1" spans="2:7">
      <c r="B26" s="16">
        <v>2</v>
      </c>
      <c r="C26" s="50">
        <f t="shared" si="0"/>
        <v>0.0363141068290018</v>
      </c>
      <c r="D26" s="49">
        <f t="shared" si="1"/>
        <v>0.929946507172944</v>
      </c>
      <c r="E26" s="50">
        <f t="shared" si="3"/>
        <v>0.034899419343282</v>
      </c>
      <c r="F26" s="50">
        <f t="shared" si="2"/>
        <v>0.0353580271089466</v>
      </c>
    </row>
    <row r="27" ht="15.75" customHeight="1" spans="2:7">
      <c r="B27" s="12">
        <v>2.25</v>
      </c>
      <c r="C27" s="45">
        <f t="shared" si="0"/>
        <v>0.0361906136489214</v>
      </c>
      <c r="D27" s="44">
        <f t="shared" si="1"/>
        <v>0.92179826516081</v>
      </c>
      <c r="E27" s="45">
        <f t="shared" si="3"/>
        <v>0.0350791750281981</v>
      </c>
      <c r="F27" s="45">
        <f t="shared" si="2"/>
        <v>0.0351088652037097</v>
      </c>
    </row>
    <row r="28" ht="15.75" customHeight="1" spans="2:7">
      <c r="B28" s="16">
        <v>2.5</v>
      </c>
      <c r="C28" s="50">
        <f t="shared" si="0"/>
        <v>0.036067120468841</v>
      </c>
      <c r="D28" s="49">
        <f t="shared" si="1"/>
        <v>0.913777839413286</v>
      </c>
      <c r="E28" s="50">
        <f t="shared" si="3"/>
        <v>0.0348321886680373</v>
      </c>
      <c r="F28" s="50">
        <f t="shared" si="2"/>
        <v>0.0348597186828954</v>
      </c>
    </row>
    <row r="29" ht="15.75" customHeight="1" spans="2:7">
      <c r="B29" s="12">
        <v>2.75</v>
      </c>
      <c r="C29" s="45">
        <f t="shared" si="0"/>
        <v>0.0359436272887607</v>
      </c>
      <c r="D29" s="44">
        <f t="shared" si="1"/>
        <v>0.905883131631225</v>
      </c>
      <c r="E29" s="45">
        <f t="shared" si="3"/>
        <v>0.0345852023078766</v>
      </c>
      <c r="F29" s="45">
        <f t="shared" si="2"/>
        <v>0.0346105875455542</v>
      </c>
    </row>
    <row r="30" ht="15.75" customHeight="1" spans="2:7">
      <c r="B30" s="16">
        <v>3</v>
      </c>
      <c r="C30" s="50">
        <f t="shared" si="0"/>
        <v>0.0358201341086803</v>
      </c>
      <c r="D30" s="49">
        <f t="shared" si="1"/>
        <v>0.898112084896219</v>
      </c>
      <c r="E30" s="50">
        <f t="shared" si="3"/>
        <v>0.0352870626549356</v>
      </c>
      <c r="F30" s="50">
        <f t="shared" si="2"/>
        <v>0.0362759211837007</v>
      </c>
    </row>
    <row r="31" ht="15.75" customHeight="1" spans="2:7">
      <c r="B31" s="12">
        <v>3.25</v>
      </c>
      <c r="C31" s="45">
        <f t="shared" si="0"/>
        <v>0.0358426173450953</v>
      </c>
      <c r="D31" s="44">
        <f t="shared" si="1"/>
        <v>0.890040326710701</v>
      </c>
      <c r="E31" s="45">
        <f t="shared" si="3"/>
        <v>0.0361348994184897</v>
      </c>
      <c r="F31" s="45">
        <f t="shared" si="2"/>
        <v>0.0363212957116277</v>
      </c>
    </row>
    <row r="32" ht="15.75" customHeight="1" spans="2:7">
      <c r="B32" s="16">
        <v>3.5</v>
      </c>
      <c r="C32" s="50">
        <f t="shared" si="0"/>
        <v>0.0358651005815102</v>
      </c>
      <c r="D32" s="49">
        <f t="shared" si="1"/>
        <v>0.882031197720876</v>
      </c>
      <c r="E32" s="50">
        <f t="shared" si="3"/>
        <v>0.0361798658913196</v>
      </c>
      <c r="F32" s="50">
        <f t="shared" si="2"/>
        <v>0.0363666707496408</v>
      </c>
    </row>
    <row r="33" ht="15.75" customHeight="1" spans="2:6">
      <c r="B33" s="12">
        <v>3.75</v>
      </c>
      <c r="C33" s="45">
        <f t="shared" si="0"/>
        <v>0.0358875838179252</v>
      </c>
      <c r="D33" s="44">
        <f t="shared" si="1"/>
        <v>0.874084313610749</v>
      </c>
      <c r="E33" s="45">
        <f t="shared" si="3"/>
        <v>0.0362248323641498</v>
      </c>
      <c r="F33" s="45">
        <f t="shared" si="2"/>
        <v>0.0364120462977455</v>
      </c>
    </row>
    <row r="34" ht="15.75" customHeight="1" spans="2:6">
      <c r="B34" s="16">
        <v>4</v>
      </c>
      <c r="C34" s="50">
        <f t="shared" si="0"/>
        <v>0.0359100670543401</v>
      </c>
      <c r="D34" s="49">
        <f t="shared" si="1"/>
        <v>0.866199291435047</v>
      </c>
      <c r="E34" s="50">
        <f t="shared" si="3"/>
        <v>0.0348064279208259</v>
      </c>
      <c r="F34" s="50">
        <f t="shared" si="2"/>
        <v>0.033505085380594</v>
      </c>
    </row>
    <row r="35" ht="15.75" customHeight="1" spans="2:6">
      <c r="B35" s="12">
        <v>4.25</v>
      </c>
      <c r="C35" s="45">
        <f t="shared" si="0"/>
        <v>0.0357603890065017</v>
      </c>
      <c r="D35" s="44">
        <f t="shared" si="1"/>
        <v>0.859004040505197</v>
      </c>
      <c r="E35" s="45">
        <f t="shared" si="3"/>
        <v>0.0332158621932485</v>
      </c>
      <c r="F35" s="45">
        <f t="shared" si="2"/>
        <v>0.0332032330923369</v>
      </c>
    </row>
    <row r="36" ht="15.75" customHeight="1" spans="2:6">
      <c r="B36" s="16">
        <v>4.5</v>
      </c>
      <c r="C36" s="50">
        <f t="shared" si="0"/>
        <v>0.0356107109586633</v>
      </c>
      <c r="D36" s="49">
        <f t="shared" si="1"/>
        <v>0.851932313707466</v>
      </c>
      <c r="E36" s="50">
        <f t="shared" si="3"/>
        <v>0.0329165060975715</v>
      </c>
      <c r="F36" s="50">
        <f t="shared" si="2"/>
        <v>0.0329014033935655</v>
      </c>
    </row>
    <row r="37" ht="15.75" customHeight="1" spans="2:6">
      <c r="B37" s="12">
        <v>4.75</v>
      </c>
      <c r="C37" s="45">
        <f t="shared" si="0"/>
        <v>0.0354610329108249</v>
      </c>
      <c r="D37" s="44">
        <f t="shared" si="1"/>
        <v>0.844982039968139</v>
      </c>
      <c r="E37" s="45">
        <f t="shared" si="3"/>
        <v>0.0326171500018949</v>
      </c>
      <c r="F37" s="45">
        <f t="shared" si="2"/>
        <v>0.0325995962825889</v>
      </c>
    </row>
    <row r="38" ht="15.75" customHeight="1" spans="2:6">
      <c r="B38" s="16">
        <v>5</v>
      </c>
      <c r="C38" s="50">
        <f t="shared" si="0"/>
        <v>0.0353113548629865</v>
      </c>
      <c r="D38" s="49">
        <f t="shared" si="1"/>
        <v>0.838151192344588</v>
      </c>
      <c r="E38" s="50">
        <f t="shared" si="3"/>
        <v>0.0345307601508519</v>
      </c>
      <c r="F38" s="50">
        <f t="shared" si="2"/>
        <v>0.0367619505222256</v>
      </c>
    </row>
    <row r="39" ht="15.75" customHeight="1" spans="2:6">
      <c r="B39" s="12">
        <v>5.25</v>
      </c>
      <c r="C39" s="45">
        <f t="shared" si="0"/>
        <v>0.0353724355051132</v>
      </c>
      <c r="D39" s="44">
        <f t="shared" si="1"/>
        <v>0.830518323961271</v>
      </c>
      <c r="E39" s="45">
        <f t="shared" si="3"/>
        <v>0.0366551289897737</v>
      </c>
      <c r="F39" s="45">
        <f t="shared" si="2"/>
        <v>0.0368852364108365</v>
      </c>
    </row>
    <row r="40" ht="15.75" customHeight="1" spans="2:6">
      <c r="B40" s="16">
        <v>5.5</v>
      </c>
      <c r="C40" s="50">
        <f t="shared" si="0"/>
        <v>0.0354335161472398</v>
      </c>
      <c r="D40" s="49">
        <f t="shared" si="1"/>
        <v>0.822929833595843</v>
      </c>
      <c r="E40" s="50">
        <f t="shared" si="3"/>
        <v>0.0367772902740269</v>
      </c>
      <c r="F40" s="50">
        <f t="shared" si="2"/>
        <v>0.0370085260646951</v>
      </c>
    </row>
    <row r="41" ht="15.75" customHeight="1" spans="2:6">
      <c r="B41" s="12">
        <v>5.75</v>
      </c>
      <c r="C41" s="45">
        <f t="shared" si="0"/>
        <v>0.0354945967893665</v>
      </c>
      <c r="D41" s="44">
        <f t="shared" si="1"/>
        <v>0.815385777149241</v>
      </c>
      <c r="E41" s="45">
        <f t="shared" si="3"/>
        <v>0.0368994515582804</v>
      </c>
      <c r="F41" s="45">
        <f t="shared" si="2"/>
        <v>0.0371318194839176</v>
      </c>
    </row>
    <row r="42" ht="15.75" customHeight="1" spans="2:6">
      <c r="B42" s="16">
        <v>6</v>
      </c>
      <c r="C42" s="50">
        <f t="shared" si="0"/>
        <v>0.0355556774314932</v>
      </c>
      <c r="D42" s="49">
        <f t="shared" si="1"/>
        <v>0.807886205958442</v>
      </c>
      <c r="E42" s="50">
        <f t="shared" si="3"/>
        <v>0.0348506582706259</v>
      </c>
      <c r="F42" s="50">
        <f t="shared" si="2"/>
        <v>0.0328751455515146</v>
      </c>
    </row>
    <row r="43" ht="15.75" customHeight="1" spans="2:6">
      <c r="B43" s="12">
        <v>6.25</v>
      </c>
      <c r="C43" s="45">
        <f t="shared" si="0"/>
        <v>0.0354430817078673</v>
      </c>
      <c r="D43" s="44">
        <f t="shared" si="1"/>
        <v>0.801300488411683</v>
      </c>
      <c r="E43" s="45">
        <f t="shared" si="3"/>
        <v>0.0326281886172182</v>
      </c>
      <c r="F43" s="45">
        <f t="shared" si="2"/>
        <v>0.0326481096947377</v>
      </c>
    </row>
    <row r="44" ht="15.75" customHeight="1" spans="2:6">
      <c r="B44" s="16">
        <v>6.5</v>
      </c>
      <c r="C44" s="50">
        <f t="shared" si="0"/>
        <v>0.0353304859842413</v>
      </c>
      <c r="D44" s="49">
        <f t="shared" si="1"/>
        <v>0.794813201266242</v>
      </c>
      <c r="E44" s="50">
        <f t="shared" si="3"/>
        <v>0.0324029971699665</v>
      </c>
      <c r="F44" s="50">
        <f t="shared" si="2"/>
        <v>0.0324210866192356</v>
      </c>
    </row>
    <row r="45" ht="15.75" customHeight="1" spans="2:6">
      <c r="B45" s="12">
        <v>6.75</v>
      </c>
      <c r="C45" s="45">
        <f t="shared" si="0"/>
        <v>0.0352178902606154</v>
      </c>
      <c r="D45" s="44">
        <f t="shared" si="1"/>
        <v>0.788422820130236</v>
      </c>
      <c r="E45" s="45">
        <f t="shared" si="3"/>
        <v>0.0321778057227147</v>
      </c>
      <c r="F45" s="45">
        <f t="shared" si="2"/>
        <v>0.0321940763242861</v>
      </c>
    </row>
    <row r="46" ht="15.75" customHeight="1" spans="2:6">
      <c r="B46" s="16">
        <v>7</v>
      </c>
      <c r="C46" s="50">
        <f t="shared" si="0"/>
        <v>0.0351052945369894</v>
      </c>
      <c r="D46" s="49">
        <f t="shared" si="1"/>
        <v>0.782127849212015</v>
      </c>
      <c r="E46" s="50">
        <f t="shared" si="3"/>
        <v>0.0340621880358433</v>
      </c>
      <c r="F46" s="50">
        <f t="shared" si="2"/>
        <v>0.0362221885076899</v>
      </c>
    </row>
    <row r="47" ht="15.75" customHeight="1" spans="2:6">
      <c r="B47" s="12">
        <v>7.25</v>
      </c>
      <c r="C47" s="45">
        <f t="shared" si="0"/>
        <v>0.035138186658907</v>
      </c>
      <c r="D47" s="44">
        <f t="shared" si="1"/>
        <v>0.775108814811001</v>
      </c>
      <c r="E47" s="45">
        <f t="shared" si="3"/>
        <v>0.0360920581945159</v>
      </c>
      <c r="F47" s="45">
        <f t="shared" si="2"/>
        <v>0.0362885690096926</v>
      </c>
    </row>
    <row r="48" ht="15.75" customHeight="1" spans="2:6">
      <c r="B48" s="16">
        <v>7.5</v>
      </c>
      <c r="C48" s="50">
        <f t="shared" si="0"/>
        <v>0.0351710787808245</v>
      </c>
      <c r="D48" s="49">
        <f t="shared" si="1"/>
        <v>0.768140138207388</v>
      </c>
      <c r="E48" s="50">
        <f t="shared" si="3"/>
        <v>0.0361578424383509</v>
      </c>
      <c r="F48" s="50">
        <f t="shared" si="2"/>
        <v>0.0363549506034015</v>
      </c>
    </row>
    <row r="49" ht="15.75" customHeight="1" spans="2:6">
      <c r="B49" s="12">
        <v>7.75</v>
      </c>
      <c r="C49" s="45">
        <f t="shared" si="0"/>
        <v>0.035203970902742</v>
      </c>
      <c r="D49" s="44">
        <f t="shared" si="1"/>
        <v>0.761221594837746</v>
      </c>
      <c r="E49" s="45">
        <f t="shared" si="3"/>
        <v>0.0362236266821859</v>
      </c>
      <c r="F49" s="45">
        <f t="shared" si="2"/>
        <v>0.0364213332888363</v>
      </c>
    </row>
    <row r="50" ht="15.75" customHeight="1" spans="2:6">
      <c r="B50" s="16">
        <v>8</v>
      </c>
      <c r="C50" s="50">
        <f t="shared" si="0"/>
        <v>0.0352368630246596</v>
      </c>
      <c r="D50" s="49">
        <f t="shared" si="1"/>
        <v>0.754352959697108</v>
      </c>
      <c r="E50" s="50">
        <f t="shared" si="3"/>
        <v>0.0362894109260213</v>
      </c>
      <c r="F50" s="50">
        <f t="shared" si="2"/>
        <v>0.0364877170660138</v>
      </c>
    </row>
    <row r="51" ht="15.75" customHeight="1" spans="2:6">
      <c r="B51" s="12">
        <v>8.25</v>
      </c>
      <c r="C51" s="45">
        <f t="shared" si="0"/>
        <v>0.0352697551465772</v>
      </c>
      <c r="D51" s="44">
        <f t="shared" si="1"/>
        <v>0.747534007357686</v>
      </c>
      <c r="E51" s="45">
        <f t="shared" si="3"/>
        <v>0.0363551951698564</v>
      </c>
      <c r="F51" s="45">
        <f t="shared" si="2"/>
        <v>0.0365541019349509</v>
      </c>
    </row>
    <row r="52" ht="15.75" customHeight="1" spans="2:6">
      <c r="B52" s="16">
        <v>8.5</v>
      </c>
      <c r="C52" s="50">
        <f t="shared" si="0"/>
        <v>0.0353026472684947</v>
      </c>
      <c r="D52" s="49">
        <f t="shared" si="1"/>
        <v>0.74076451198744</v>
      </c>
      <c r="E52" s="50">
        <f t="shared" si="3"/>
        <v>0.0364209794136913</v>
      </c>
      <c r="F52" s="50">
        <f t="shared" si="2"/>
        <v>0.0366204878956662</v>
      </c>
    </row>
    <row r="53" ht="15.75" customHeight="1" spans="2:6">
      <c r="B53" s="12">
        <v>8.75</v>
      </c>
      <c r="C53" s="45">
        <f t="shared" si="0"/>
        <v>0.0353355393904123</v>
      </c>
      <c r="D53" s="44">
        <f t="shared" si="1"/>
        <v>0.734044247368529</v>
      </c>
      <c r="E53" s="45">
        <f t="shared" si="3"/>
        <v>0.0364867636575265</v>
      </c>
      <c r="F53" s="45">
        <f t="shared" si="2"/>
        <v>0.0366868749481801</v>
      </c>
    </row>
    <row r="54" ht="15.75" customHeight="1" spans="2:6">
      <c r="B54" s="16">
        <v>9</v>
      </c>
      <c r="C54" s="50">
        <f t="shared" si="0"/>
        <v>0.0353684315123298</v>
      </c>
      <c r="D54" s="49">
        <f t="shared" si="1"/>
        <v>0.727372986915615</v>
      </c>
      <c r="E54" s="50">
        <f t="shared" si="3"/>
        <v>0.0331968162639218</v>
      </c>
      <c r="F54" s="50">
        <f t="shared" si="2"/>
        <v>0.0299858117990235</v>
      </c>
    </row>
    <row r="55" ht="15.75" customHeight="1" spans="2:6">
      <c r="B55" s="12">
        <v>9.25</v>
      </c>
      <c r="C55" s="45">
        <f t="shared" si="0"/>
        <v>0.0352199327349263</v>
      </c>
      <c r="D55" s="44">
        <f t="shared" si="1"/>
        <v>0.721960841436222</v>
      </c>
      <c r="E55" s="45">
        <f t="shared" si="3"/>
        <v>0.0297254779709956</v>
      </c>
      <c r="F55" s="45">
        <f t="shared" si="2"/>
        <v>0.0296865989243438</v>
      </c>
    </row>
    <row r="56" ht="15.75" customHeight="1" spans="2:6">
      <c r="B56" s="16">
        <v>9.5</v>
      </c>
      <c r="C56" s="50">
        <f t="shared" si="0"/>
        <v>0.0350714339575227</v>
      </c>
      <c r="D56" s="49">
        <f t="shared" si="1"/>
        <v>0.716642174236515</v>
      </c>
      <c r="E56" s="50">
        <f t="shared" si="3"/>
        <v>0.0294284804161887</v>
      </c>
      <c r="F56" s="50">
        <f t="shared" si="2"/>
        <v>0.0293874082652144</v>
      </c>
    </row>
    <row r="57" ht="15.75" customHeight="1" spans="2:6">
      <c r="B57" s="12">
        <v>9.75</v>
      </c>
      <c r="C57" s="45">
        <f t="shared" si="0"/>
        <v>0.0349229351801192</v>
      </c>
      <c r="D57" s="44">
        <f t="shared" si="1"/>
        <v>0.711415509728863</v>
      </c>
      <c r="E57" s="45">
        <f t="shared" si="3"/>
        <v>0.0291314828613818</v>
      </c>
      <c r="F57" s="45">
        <f t="shared" si="2"/>
        <v>0.0290882398199814</v>
      </c>
    </row>
    <row r="58" ht="15.75" customHeight="1" spans="2:6">
      <c r="B58" s="16">
        <v>10</v>
      </c>
      <c r="C58" s="50">
        <f t="shared" si="0"/>
        <v>0.0347744364027157</v>
      </c>
      <c r="D58" s="49">
        <f t="shared" si="1"/>
        <v>0.706279403561188</v>
      </c>
      <c r="E58" s="50">
        <f>(LN(D57)-LN(D58))/(B58-B57)</f>
        <v>0.0289829840839779</v>
      </c>
      <c r="F58" s="18" t="s">
        <v>63</v>
      </c>
    </row>
  </sheetData>
  <mergeCells count="3">
    <mergeCell ref="B1:G1"/>
    <mergeCell ref="B3:G3"/>
    <mergeCell ref="B17:G1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62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D23" sqref="D23"/>
    </sheetView>
  </sheetViews>
  <sheetFormatPr defaultColWidth="8.6328125" defaultRowHeight="16.8" outlineLevelCol="7"/>
  <cols>
    <col min="1" max="1" width="3" customWidth="1"/>
    <col min="2" max="3" width="12" customWidth="1"/>
    <col min="4" max="5" width="16" customWidth="1"/>
    <col min="6" max="6" width="34" customWidth="1"/>
    <col min="8" max="8" width="12.7265625"/>
  </cols>
  <sheetData>
    <row r="1" ht="27.75" customHeight="1" spans="2:8">
      <c r="B1" s="1" t="s">
        <v>77</v>
      </c>
      <c r="C1" s="1"/>
      <c r="D1" s="1"/>
      <c r="E1" s="1"/>
      <c r="F1" s="1"/>
    </row>
    <row r="3" ht="19.5" customHeight="1" spans="2:8">
      <c r="B3" s="10" t="s">
        <v>78</v>
      </c>
      <c r="C3" s="10"/>
      <c r="D3" s="10"/>
      <c r="E3" s="10"/>
      <c r="F3" s="10"/>
    </row>
    <row r="4" ht="19.5" customHeight="1" spans="2:8">
      <c r="B4" s="4" t="s">
        <v>17</v>
      </c>
      <c r="C4" s="4" t="s">
        <v>18</v>
      </c>
      <c r="D4" s="4" t="s">
        <v>19</v>
      </c>
      <c r="E4" s="4" t="s">
        <v>20</v>
      </c>
      <c r="F4" s="4" t="s">
        <v>79</v>
      </c>
    </row>
    <row r="5" ht="18" customHeight="1" spans="2:8">
      <c r="B5" s="11" t="s">
        <v>21</v>
      </c>
      <c r="C5" s="12">
        <v>0</v>
      </c>
      <c r="D5" s="12">
        <v>0.25</v>
      </c>
      <c r="E5" s="13">
        <f>Instruments!$E$19</f>
        <v>0.044</v>
      </c>
      <c r="F5" s="2" t="s">
        <v>80</v>
      </c>
      <c r="H5">
        <f>1/(1+E5*0.25)</f>
        <v>0.989119683481701</v>
      </c>
    </row>
    <row r="6" ht="18" customHeight="1" spans="2:8">
      <c r="B6" s="15" t="s">
        <v>23</v>
      </c>
      <c r="C6" s="16">
        <v>0.25</v>
      </c>
      <c r="D6" s="16">
        <v>0.5</v>
      </c>
      <c r="E6" s="13">
        <f>Instruments!$E$20</f>
        <v>0.0425</v>
      </c>
      <c r="F6" s="2" t="s">
        <v>81</v>
      </c>
    </row>
    <row r="7" ht="18" customHeight="1" spans="2:8">
      <c r="B7" s="11" t="s">
        <v>25</v>
      </c>
      <c r="C7" s="12">
        <v>0.5</v>
      </c>
      <c r="D7" s="12">
        <v>0.75</v>
      </c>
      <c r="E7" s="13">
        <f>Instruments!$E$21</f>
        <v>0.0408</v>
      </c>
      <c r="F7" s="2" t="s">
        <v>82</v>
      </c>
    </row>
    <row r="8" ht="18" customHeight="1" spans="2:8">
      <c r="B8" s="15" t="s">
        <v>27</v>
      </c>
      <c r="C8" s="16">
        <v>0.75</v>
      </c>
      <c r="D8" s="16">
        <v>1</v>
      </c>
      <c r="E8" s="13">
        <f>Instruments!$E$22</f>
        <v>0.0392</v>
      </c>
      <c r="F8" s="2" t="s">
        <v>83</v>
      </c>
    </row>
    <row r="9" ht="18" customHeight="1" spans="2:8">
      <c r="B9" s="11" t="s">
        <v>29</v>
      </c>
      <c r="C9" s="12">
        <v>1</v>
      </c>
      <c r="D9" s="12">
        <v>1.25</v>
      </c>
      <c r="E9" s="13">
        <f>Instruments!$E$23</f>
        <v>0.0382</v>
      </c>
      <c r="F9" s="2" t="s">
        <v>84</v>
      </c>
    </row>
    <row r="10" ht="18" customHeight="1" spans="2:8">
      <c r="B10" s="15" t="s">
        <v>31</v>
      </c>
      <c r="C10" s="16">
        <v>1.25</v>
      </c>
      <c r="D10" s="16">
        <v>1.5</v>
      </c>
      <c r="E10" s="13">
        <f>Instruments!$E$24</f>
        <v>0.0376</v>
      </c>
      <c r="F10" s="2" t="s">
        <v>85</v>
      </c>
    </row>
    <row r="11" ht="18" customHeight="1" spans="2:8">
      <c r="B11" s="11" t="s">
        <v>33</v>
      </c>
      <c r="C11" s="12">
        <v>1.5</v>
      </c>
      <c r="D11" s="12">
        <v>1.75</v>
      </c>
      <c r="E11" s="13">
        <f>Instruments!$E$25</f>
        <v>0.0372</v>
      </c>
      <c r="F11" s="2" t="s">
        <v>86</v>
      </c>
    </row>
    <row r="12" ht="18" customHeight="1" spans="2:8">
      <c r="B12" s="15" t="s">
        <v>35</v>
      </c>
      <c r="C12" s="16">
        <v>1.75</v>
      </c>
      <c r="D12" s="16">
        <v>2</v>
      </c>
      <c r="E12" s="13">
        <f>Instruments!$E$26</f>
        <v>0.037</v>
      </c>
      <c r="F12" s="2" t="s">
        <v>87</v>
      </c>
    </row>
    <row r="14" ht="19.5" customHeight="1" spans="2:8">
      <c r="B14" s="10" t="s">
        <v>88</v>
      </c>
      <c r="C14" s="10"/>
      <c r="D14" s="10"/>
      <c r="E14" s="10"/>
      <c r="F14" s="10"/>
    </row>
    <row r="15" ht="19.5" customHeight="1" spans="2:8">
      <c r="B15" s="4" t="s">
        <v>89</v>
      </c>
      <c r="C15" s="4" t="s">
        <v>9</v>
      </c>
      <c r="D15" s="4" t="s">
        <v>90</v>
      </c>
      <c r="E15" s="4" t="s">
        <v>91</v>
      </c>
      <c r="F15" s="4" t="s">
        <v>92</v>
      </c>
    </row>
    <row r="16" ht="18" customHeight="1" spans="2:8">
      <c r="B16" s="17">
        <v>3</v>
      </c>
      <c r="C16" s="13">
        <f>Instruments!$D$30</f>
        <v>0.0367</v>
      </c>
      <c r="D16" s="18" t="s">
        <v>93</v>
      </c>
      <c r="E16" s="13">
        <v>0.0305632837033143</v>
      </c>
      <c r="F16" s="2" t="s">
        <v>94</v>
      </c>
    </row>
    <row r="17" ht="18" customHeight="1" spans="2:6">
      <c r="B17" s="20">
        <v>5</v>
      </c>
      <c r="C17" s="13">
        <f>Instruments!$D$31</f>
        <v>0.0364</v>
      </c>
      <c r="D17" s="21" t="s">
        <v>95</v>
      </c>
      <c r="E17" s="13">
        <v>0.0359088952996589</v>
      </c>
      <c r="F17" s="2" t="s">
        <v>96</v>
      </c>
    </row>
    <row r="18" ht="18" customHeight="1" spans="2:6">
      <c r="B18" s="17">
        <v>7</v>
      </c>
      <c r="C18" s="13">
        <f>Instruments!$D$32</f>
        <v>0.0362</v>
      </c>
      <c r="D18" s="18" t="s">
        <v>97</v>
      </c>
      <c r="E18" s="13">
        <v>0.035634866624842</v>
      </c>
      <c r="F18" s="2" t="s">
        <v>98</v>
      </c>
    </row>
    <row r="19" ht="18" customHeight="1" spans="2:6">
      <c r="B19" s="20">
        <v>10</v>
      </c>
      <c r="C19" s="13">
        <f>Instruments!$D$33</f>
        <v>0.0359</v>
      </c>
      <c r="D19" s="21" t="s">
        <v>99</v>
      </c>
      <c r="E19" s="13">
        <v>0.035066570842636</v>
      </c>
      <c r="F19" s="2" t="s">
        <v>100</v>
      </c>
    </row>
    <row r="21" ht="19.5" customHeight="1" spans="2:6">
      <c r="B21" s="10" t="s">
        <v>101</v>
      </c>
      <c r="C21" s="10"/>
      <c r="D21" s="10"/>
      <c r="E21" s="10"/>
      <c r="F21" s="10"/>
    </row>
    <row r="22" ht="19.5" customHeight="1" spans="2:6">
      <c r="B22" s="4" t="s">
        <v>18</v>
      </c>
      <c r="C22" s="4" t="s">
        <v>19</v>
      </c>
      <c r="D22" s="4" t="s">
        <v>102</v>
      </c>
      <c r="E22" s="4" t="s">
        <v>103</v>
      </c>
      <c r="F22" s="4" t="s">
        <v>79</v>
      </c>
    </row>
    <row r="23" ht="15.75" customHeight="1" spans="2:6">
      <c r="B23" s="12">
        <v>0</v>
      </c>
      <c r="C23" s="12">
        <v>0.25</v>
      </c>
      <c r="D23" s="45">
        <f>E5</f>
        <v>0.044</v>
      </c>
      <c r="E23" s="44">
        <f>1/(1+D23*0.25)</f>
        <v>0.989119683481701</v>
      </c>
      <c r="F23" s="2" t="s">
        <v>104</v>
      </c>
    </row>
    <row r="24" ht="15.75" customHeight="1" spans="2:6">
      <c r="B24" s="16">
        <v>0.25</v>
      </c>
      <c r="C24" s="16">
        <v>0.5</v>
      </c>
      <c r="D24" s="45">
        <f t="shared" ref="D24:D30" si="0">E6</f>
        <v>0.0425</v>
      </c>
      <c r="E24" s="49">
        <f t="shared" ref="E24:E62" si="1">E23/(1+D24*0.25)</f>
        <v>0.978720775244726</v>
      </c>
      <c r="F24" s="2" t="s">
        <v>104</v>
      </c>
    </row>
    <row r="25" ht="15.75" customHeight="1" spans="2:6">
      <c r="B25" s="12">
        <v>0.5</v>
      </c>
      <c r="C25" s="12">
        <v>0.75</v>
      </c>
      <c r="D25" s="45">
        <f t="shared" si="0"/>
        <v>0.0408</v>
      </c>
      <c r="E25" s="44">
        <f t="shared" si="1"/>
        <v>0.968838621307391</v>
      </c>
    </row>
    <row r="26" ht="15.75" customHeight="1" spans="2:6">
      <c r="B26" s="16">
        <v>0.75</v>
      </c>
      <c r="C26" s="16">
        <v>1</v>
      </c>
      <c r="D26" s="45">
        <f t="shared" si="0"/>
        <v>0.0392</v>
      </c>
      <c r="E26" s="49">
        <f t="shared" si="1"/>
        <v>0.959436147066143</v>
      </c>
    </row>
    <row r="27" ht="15.75" customHeight="1" spans="2:6">
      <c r="B27" s="12">
        <v>1</v>
      </c>
      <c r="C27" s="12">
        <v>1.25</v>
      </c>
      <c r="D27" s="45">
        <f t="shared" si="0"/>
        <v>0.0382</v>
      </c>
      <c r="E27" s="44">
        <f t="shared" si="1"/>
        <v>0.950360207088448</v>
      </c>
    </row>
    <row r="28" ht="15.75" customHeight="1" spans="2:6">
      <c r="B28" s="16">
        <v>1.25</v>
      </c>
      <c r="C28" s="16">
        <v>1.5</v>
      </c>
      <c r="D28" s="45">
        <f t="shared" si="0"/>
        <v>0.0376</v>
      </c>
      <c r="E28" s="49">
        <f t="shared" si="1"/>
        <v>0.941510012966562</v>
      </c>
    </row>
    <row r="29" ht="15.75" customHeight="1" spans="2:6">
      <c r="B29" s="12">
        <v>1.5</v>
      </c>
      <c r="C29" s="12">
        <v>1.75</v>
      </c>
      <c r="D29" s="45">
        <f t="shared" si="0"/>
        <v>0.0372</v>
      </c>
      <c r="E29" s="44">
        <f t="shared" si="1"/>
        <v>0.932834650714913</v>
      </c>
    </row>
    <row r="30" ht="15.75" customHeight="1" spans="2:6">
      <c r="B30" s="16">
        <v>1.75</v>
      </c>
      <c r="C30" s="16">
        <v>2</v>
      </c>
      <c r="D30" s="45">
        <f t="shared" si="0"/>
        <v>0.037</v>
      </c>
      <c r="E30" s="49">
        <f t="shared" si="1"/>
        <v>0.924285014332339</v>
      </c>
    </row>
    <row r="31" ht="15.75" customHeight="1" spans="2:6">
      <c r="B31" s="12">
        <v>2</v>
      </c>
      <c r="C31" s="12">
        <v>2.25</v>
      </c>
      <c r="D31" s="45">
        <f>E16</f>
        <v>0.0305632837033143</v>
      </c>
      <c r="E31" s="44">
        <f t="shared" si="1"/>
        <v>0.917276270609103</v>
      </c>
    </row>
    <row r="32" ht="15.75" customHeight="1" spans="2:6">
      <c r="B32" s="16">
        <v>2.25</v>
      </c>
      <c r="C32" s="16">
        <v>2.5</v>
      </c>
      <c r="D32" s="50">
        <f>E16</f>
        <v>0.0305632837033143</v>
      </c>
      <c r="E32" s="49">
        <f t="shared" si="1"/>
        <v>0.910320673358888</v>
      </c>
    </row>
    <row r="33" ht="15.75" customHeight="1" spans="2:5">
      <c r="B33" s="12">
        <v>2.5</v>
      </c>
      <c r="C33" s="12">
        <v>2.75</v>
      </c>
      <c r="D33" s="45">
        <f>E16</f>
        <v>0.0305632837033143</v>
      </c>
      <c r="E33" s="44">
        <f t="shared" si="1"/>
        <v>0.903417819578288</v>
      </c>
    </row>
    <row r="34" ht="15.75" customHeight="1" spans="2:5">
      <c r="B34" s="16">
        <v>2.75</v>
      </c>
      <c r="C34" s="16">
        <v>3</v>
      </c>
      <c r="D34" s="50">
        <f>E16</f>
        <v>0.0305632837033143</v>
      </c>
      <c r="E34" s="49">
        <f t="shared" si="1"/>
        <v>0.896567309319824</v>
      </c>
    </row>
    <row r="35" ht="15.75" customHeight="1" spans="2:5">
      <c r="B35" s="12">
        <v>3</v>
      </c>
      <c r="C35" s="12">
        <v>3.25</v>
      </c>
      <c r="D35" s="45">
        <f>E17</f>
        <v>0.0359088952996589</v>
      </c>
      <c r="E35" s="44">
        <f t="shared" si="1"/>
        <v>0.888590235883662</v>
      </c>
    </row>
    <row r="36" ht="15.75" customHeight="1" spans="2:5">
      <c r="B36" s="16">
        <v>3.25</v>
      </c>
      <c r="C36" s="16">
        <v>3.5</v>
      </c>
      <c r="D36" s="50">
        <f>E17</f>
        <v>0.0359088952996589</v>
      </c>
      <c r="E36" s="49">
        <f t="shared" si="1"/>
        <v>0.880684137264388</v>
      </c>
    </row>
    <row r="37" ht="15.75" customHeight="1" spans="2:5">
      <c r="B37" s="12">
        <v>3.5</v>
      </c>
      <c r="C37" s="12">
        <v>3.75</v>
      </c>
      <c r="D37" s="45">
        <f>E17</f>
        <v>0.0359088952996589</v>
      </c>
      <c r="E37" s="44">
        <f t="shared" si="1"/>
        <v>0.872848381974191</v>
      </c>
    </row>
    <row r="38" ht="15.75" customHeight="1" spans="2:5">
      <c r="B38" s="16">
        <v>3.75</v>
      </c>
      <c r="C38" s="16">
        <v>4</v>
      </c>
      <c r="D38" s="50">
        <f>E17</f>
        <v>0.0359088952996589</v>
      </c>
      <c r="E38" s="49">
        <f t="shared" si="1"/>
        <v>0.86508234414383</v>
      </c>
    </row>
    <row r="39" ht="15.75" customHeight="1" spans="2:5">
      <c r="B39" s="12">
        <v>4</v>
      </c>
      <c r="C39" s="12">
        <v>4.25</v>
      </c>
      <c r="D39" s="45">
        <f>E17</f>
        <v>0.0359088952996589</v>
      </c>
      <c r="E39" s="44">
        <f t="shared" si="1"/>
        <v>0.857385403472641</v>
      </c>
    </row>
    <row r="40" ht="15.75" customHeight="1" spans="2:5">
      <c r="B40" s="16">
        <v>4.25</v>
      </c>
      <c r="C40" s="16">
        <v>4.5</v>
      </c>
      <c r="D40" s="50">
        <f>E17</f>
        <v>0.0359088952996589</v>
      </c>
      <c r="E40" s="49">
        <f t="shared" si="1"/>
        <v>0.849756945178994</v>
      </c>
    </row>
    <row r="41" ht="15.75" customHeight="1" spans="2:5">
      <c r="B41" s="12">
        <v>4.5</v>
      </c>
      <c r="C41" s="12">
        <v>4.75</v>
      </c>
      <c r="D41" s="45">
        <f>E17</f>
        <v>0.0359088952996589</v>
      </c>
      <c r="E41" s="44">
        <f t="shared" si="1"/>
        <v>0.842196359951184</v>
      </c>
    </row>
    <row r="42" ht="15.75" customHeight="1" spans="2:5">
      <c r="B42" s="16">
        <v>4.75</v>
      </c>
      <c r="C42" s="16">
        <v>5</v>
      </c>
      <c r="D42" s="50">
        <f>E17</f>
        <v>0.0359088952996589</v>
      </c>
      <c r="E42" s="49">
        <f t="shared" si="1"/>
        <v>0.834703043898767</v>
      </c>
    </row>
    <row r="43" ht="15.75" customHeight="1" spans="2:5">
      <c r="B43" s="12">
        <v>5</v>
      </c>
      <c r="C43" s="12">
        <v>5.25</v>
      </c>
      <c r="D43" s="45">
        <f>E18</f>
        <v>0.035634866624842</v>
      </c>
      <c r="E43" s="44">
        <f t="shared" si="1"/>
        <v>0.82733257243053</v>
      </c>
    </row>
    <row r="44" ht="15.75" customHeight="1" spans="2:5">
      <c r="B44" s="16">
        <v>5.25</v>
      </c>
      <c r="C44" s="16">
        <v>5.5</v>
      </c>
      <c r="D44" s="50">
        <f>E18</f>
        <v>0.035634866624842</v>
      </c>
      <c r="E44" s="49">
        <f t="shared" si="1"/>
        <v>0.820027182610264</v>
      </c>
    </row>
    <row r="45" ht="15.75" customHeight="1" spans="2:5">
      <c r="B45" s="12">
        <v>5.5</v>
      </c>
      <c r="C45" s="12">
        <v>5.75</v>
      </c>
      <c r="D45" s="45">
        <f>E18</f>
        <v>0.035634866624842</v>
      </c>
      <c r="E45" s="44">
        <f t="shared" si="1"/>
        <v>0.81278629976362</v>
      </c>
    </row>
    <row r="46" ht="15.75" customHeight="1" spans="2:5">
      <c r="B46" s="16">
        <v>5.75</v>
      </c>
      <c r="C46" s="16">
        <v>6</v>
      </c>
      <c r="D46" s="50">
        <f>E18</f>
        <v>0.035634866624842</v>
      </c>
      <c r="E46" s="49">
        <f t="shared" si="1"/>
        <v>0.805609354290652</v>
      </c>
    </row>
    <row r="47" ht="15.75" customHeight="1" spans="2:5">
      <c r="B47" s="12">
        <v>6</v>
      </c>
      <c r="C47" s="12">
        <v>6.25</v>
      </c>
      <c r="D47" s="45">
        <f>E18</f>
        <v>0.035634866624842</v>
      </c>
      <c r="E47" s="44">
        <f t="shared" si="1"/>
        <v>0.798495781621011</v>
      </c>
    </row>
    <row r="48" ht="15.75" customHeight="1" spans="2:5">
      <c r="B48" s="16">
        <v>6.25</v>
      </c>
      <c r="C48" s="16">
        <v>6.5</v>
      </c>
      <c r="D48" s="50">
        <f>E18</f>
        <v>0.035634866624842</v>
      </c>
      <c r="E48" s="49">
        <f t="shared" si="1"/>
        <v>0.791445022169535</v>
      </c>
    </row>
    <row r="49" ht="15.75" customHeight="1" spans="2:5">
      <c r="B49" s="12">
        <v>6.5</v>
      </c>
      <c r="C49" s="12">
        <v>6.75</v>
      </c>
      <c r="D49" s="45">
        <f>E18</f>
        <v>0.035634866624842</v>
      </c>
      <c r="E49" s="44">
        <f t="shared" si="1"/>
        <v>0.784456521292226</v>
      </c>
    </row>
    <row r="50" ht="15.75" customHeight="1" spans="2:5">
      <c r="B50" s="16">
        <v>6.75</v>
      </c>
      <c r="C50" s="16">
        <v>7</v>
      </c>
      <c r="D50" s="50">
        <f>E18</f>
        <v>0.035634866624842</v>
      </c>
      <c r="E50" s="49">
        <f t="shared" si="1"/>
        <v>0.777529729242623</v>
      </c>
    </row>
    <row r="51" ht="15.75" customHeight="1" spans="2:5">
      <c r="B51" s="12">
        <v>7</v>
      </c>
      <c r="C51" s="12">
        <v>7.25</v>
      </c>
      <c r="D51" s="45">
        <f>E19</f>
        <v>0.035066570842636</v>
      </c>
      <c r="E51" s="44">
        <f t="shared" si="1"/>
        <v>0.7707726408888</v>
      </c>
    </row>
    <row r="52" ht="15.75" customHeight="1" spans="2:5">
      <c r="B52" s="16">
        <v>7.25</v>
      </c>
      <c r="C52" s="16">
        <v>7.5</v>
      </c>
      <c r="D52" s="50">
        <f>E19</f>
        <v>0.035066570842636</v>
      </c>
      <c r="E52" s="49">
        <f t="shared" si="1"/>
        <v>0.764074274717942</v>
      </c>
    </row>
    <row r="53" ht="15.75" customHeight="1" spans="2:5">
      <c r="B53" s="12">
        <v>7.5</v>
      </c>
      <c r="C53" s="12">
        <v>7.75</v>
      </c>
      <c r="D53" s="45">
        <f>E19</f>
        <v>0.035066570842636</v>
      </c>
      <c r="E53" s="44">
        <f t="shared" si="1"/>
        <v>0.757434120407467</v>
      </c>
    </row>
    <row r="54" ht="15.75" customHeight="1" spans="2:5">
      <c r="B54" s="16">
        <v>7.75</v>
      </c>
      <c r="C54" s="16">
        <v>8</v>
      </c>
      <c r="D54" s="50">
        <f>E19</f>
        <v>0.035066570842636</v>
      </c>
      <c r="E54" s="49">
        <f t="shared" si="1"/>
        <v>0.750851672069731</v>
      </c>
    </row>
    <row r="55" ht="15.75" customHeight="1" spans="2:5">
      <c r="B55" s="12">
        <v>8</v>
      </c>
      <c r="C55" s="12">
        <v>8.25</v>
      </c>
      <c r="D55" s="45">
        <f>E19</f>
        <v>0.035066570842636</v>
      </c>
      <c r="E55" s="44">
        <f t="shared" si="1"/>
        <v>0.744326428213483</v>
      </c>
    </row>
    <row r="56" ht="15.75" customHeight="1" spans="2:5">
      <c r="B56" s="16">
        <v>8.25</v>
      </c>
      <c r="C56" s="16">
        <v>8.5</v>
      </c>
      <c r="D56" s="50">
        <f>E19</f>
        <v>0.035066570842636</v>
      </c>
      <c r="E56" s="49">
        <f t="shared" si="1"/>
        <v>0.737857891705659</v>
      </c>
    </row>
    <row r="57" ht="15.75" customHeight="1" spans="2:5">
      <c r="B57" s="12">
        <v>8.5</v>
      </c>
      <c r="C57" s="12">
        <v>8.75</v>
      </c>
      <c r="D57" s="45">
        <f>E19</f>
        <v>0.035066570842636</v>
      </c>
      <c r="E57" s="44">
        <f t="shared" si="1"/>
        <v>0.731445569733511</v>
      </c>
    </row>
    <row r="58" ht="15.75" customHeight="1" spans="2:5">
      <c r="B58" s="16">
        <v>8.75</v>
      </c>
      <c r="C58" s="16">
        <v>9</v>
      </c>
      <c r="D58" s="50">
        <f>E19</f>
        <v>0.035066570842636</v>
      </c>
      <c r="E58" s="49">
        <f t="shared" si="1"/>
        <v>0.725088973767057</v>
      </c>
    </row>
    <row r="59" ht="15.75" customHeight="1" spans="2:5">
      <c r="B59" s="12">
        <v>9</v>
      </c>
      <c r="C59" s="12">
        <v>9.25</v>
      </c>
      <c r="D59" s="45">
        <f>E19</f>
        <v>0.035066570842636</v>
      </c>
      <c r="E59" s="44">
        <f t="shared" si="1"/>
        <v>0.718787619521864</v>
      </c>
    </row>
    <row r="60" ht="15.75" customHeight="1" spans="2:5">
      <c r="B60" s="16">
        <v>9.25</v>
      </c>
      <c r="C60" s="16">
        <v>9.5</v>
      </c>
      <c r="D60" s="50">
        <f>E19</f>
        <v>0.035066570842636</v>
      </c>
      <c r="E60" s="49">
        <f t="shared" si="1"/>
        <v>0.712541026922151</v>
      </c>
    </row>
    <row r="61" ht="15.75" customHeight="1" spans="2:5">
      <c r="B61" s="12">
        <v>9.5</v>
      </c>
      <c r="C61" s="12">
        <v>9.75</v>
      </c>
      <c r="D61" s="45">
        <f>E19</f>
        <v>0.035066570842636</v>
      </c>
      <c r="E61" s="44">
        <f t="shared" si="1"/>
        <v>0.706348720064217</v>
      </c>
    </row>
    <row r="62" ht="15.75" customHeight="1" spans="2:5">
      <c r="B62" s="16">
        <v>9.75</v>
      </c>
      <c r="C62" s="16">
        <v>10</v>
      </c>
      <c r="D62" s="50">
        <f>E19</f>
        <v>0.035066570842636</v>
      </c>
      <c r="E62" s="49">
        <f t="shared" si="1"/>
        <v>0.700210227180179</v>
      </c>
    </row>
  </sheetData>
  <mergeCells count="4">
    <mergeCell ref="B1:F1"/>
    <mergeCell ref="B3:F3"/>
    <mergeCell ref="B14:F14"/>
    <mergeCell ref="B21:F2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9"/>
  <sheetViews>
    <sheetView showGridLines="0" workbookViewId="0">
      <selection activeCell="D5" sqref="D5"/>
    </sheetView>
  </sheetViews>
  <sheetFormatPr defaultColWidth="8.6328125" defaultRowHeight="16.8"/>
  <cols>
    <col min="1" max="1" width="3" customWidth="1"/>
    <col min="2" max="2" width="14" customWidth="1"/>
    <col min="3" max="5" width="18" customWidth="1"/>
    <col min="6" max="6" width="14" customWidth="1"/>
  </cols>
  <sheetData>
    <row r="1" ht="27.75" customHeight="1" spans="2:13">
      <c r="B1" s="1" t="s">
        <v>105</v>
      </c>
      <c r="C1" s="1"/>
      <c r="D1" s="1"/>
      <c r="E1" s="1"/>
      <c r="F1" s="1"/>
    </row>
    <row r="2" ht="15.75" customHeight="1" spans="2:13">
      <c r="B2" s="2" t="s">
        <v>106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19.5" customHeight="1" spans="2:13">
      <c r="B4" s="4" t="s">
        <v>107</v>
      </c>
      <c r="C4" s="4" t="s">
        <v>108</v>
      </c>
      <c r="D4" s="4" t="s">
        <v>109</v>
      </c>
      <c r="E4" s="4" t="s">
        <v>110</v>
      </c>
      <c r="F4" s="4" t="s">
        <v>111</v>
      </c>
    </row>
    <row r="5" ht="21.75" customHeight="1" spans="2:13">
      <c r="B5" s="5" t="s">
        <v>112</v>
      </c>
      <c r="C5" s="62">
        <f>0.25*SUM(OIS_Curve!$D$19:$D$26)</f>
        <v>1.91852294981482</v>
      </c>
      <c r="D5" s="62">
        <f>0.25*SUMPRODUCT(Proj_Curve!$D$23:$D$30,OIS_Curve!$D$19:$D$26)</f>
        <v>0.0759935464179924</v>
      </c>
      <c r="E5" s="63">
        <f>D5/C5</f>
        <v>0.0396104442875325</v>
      </c>
      <c r="F5" s="8">
        <v>21.8973159750658</v>
      </c>
    </row>
    <row r="6" ht="21.75" customHeight="1" spans="2:13">
      <c r="B6" s="5" t="s">
        <v>113</v>
      </c>
      <c r="C6" s="64">
        <f>0.25*SUM(OIS_Curve!$D$19:$D$30)</f>
        <v>2.82841578009021</v>
      </c>
      <c r="D6" s="64">
        <f>0.25*SUMPRODUCT(Proj_Curve!$D$23:$D$34,OIS_Curve!$D$19:$D$30)</f>
        <v>0.103802859129311</v>
      </c>
      <c r="E6" s="63">
        <f>D6/C6</f>
        <v>0.0367</v>
      </c>
      <c r="F6" s="8">
        <v>69.9127191579285</v>
      </c>
    </row>
    <row r="7" ht="21.75" customHeight="1" spans="2:13">
      <c r="B7" s="5" t="s">
        <v>114</v>
      </c>
      <c r="C7" s="62">
        <f>0.25*SUM(OIS_Curve!$D$19:$D$38)</f>
        <v>4.5550219590909</v>
      </c>
      <c r="D7" s="62">
        <f>0.25*SUMPRODUCT(Proj_Curve!$D$23:$D$42,OIS_Curve!$D$19:$D$38)</f>
        <v>0.165803379634791</v>
      </c>
      <c r="E7" s="63">
        <f>D7/C7</f>
        <v>0.036400127403092</v>
      </c>
      <c r="F7" s="8">
        <v>143.364817211091</v>
      </c>
    </row>
    <row r="8" ht="21.75" customHeight="1" spans="2:13">
      <c r="B8" s="5" t="s">
        <v>115</v>
      </c>
      <c r="C8" s="64">
        <f>0.25*SUM(OIS_Curve!$D$19:$D$46)</f>
        <v>6.16586808401214</v>
      </c>
      <c r="D8" s="64">
        <f>0.25*SUMPRODUCT(Proj_Curve!$D$23:$D$50,OIS_Curve!$D$19:$D$46)</f>
        <v>0.223205666449503</v>
      </c>
      <c r="E8" s="63">
        <f>D8/C8</f>
        <v>0.0362002014003943</v>
      </c>
      <c r="F8" s="8">
        <v>219.158719357891</v>
      </c>
    </row>
    <row r="9" ht="21.75" customHeight="1" spans="2:13">
      <c r="B9" s="5" t="s">
        <v>116</v>
      </c>
      <c r="C9" s="62">
        <f>0.25*SUM(OIS_Curve!$D$19:$D$58)</f>
        <v>8.38207738154847</v>
      </c>
      <c r="D9" s="62">
        <f>0.25*SUMPRODUCT(Proj_Curve!$D$23:$D$62,OIS_Curve!$D$19:$D$58)</f>
        <v>0.300920526783669</v>
      </c>
      <c r="E9" s="63">
        <f>D9/C9</f>
        <v>0.0359004710987383</v>
      </c>
      <c r="F9" s="8">
        <v>333.795728053805</v>
      </c>
    </row>
  </sheetData>
  <mergeCells count="2">
    <mergeCell ref="B1:F1"/>
    <mergeCell ref="B2:M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124"/>
  <sheetViews>
    <sheetView showGridLines="0" workbookViewId="0">
      <selection activeCell="J5" sqref="J5"/>
    </sheetView>
  </sheetViews>
  <sheetFormatPr defaultColWidth="8.6328125" defaultRowHeight="16.8"/>
  <cols>
    <col min="1" max="1" width="3" customWidth="1"/>
    <col min="2" max="3" width="10" customWidth="1"/>
    <col min="4" max="5" width="13" customWidth="1"/>
    <col min="6" max="6" width="11" customWidth="1"/>
    <col min="7" max="8" width="12" customWidth="1"/>
    <col min="9" max="11" width="10" customWidth="1"/>
    <col min="12" max="12" width="14" customWidth="1"/>
    <col min="13" max="13" width="12" customWidth="1"/>
  </cols>
  <sheetData>
    <row r="1" ht="27.75" customHeight="1" spans="2:13">
      <c r="B1" s="1" t="s">
        <v>117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.75" customHeight="1" spans="2:13">
      <c r="B2" s="2" t="s">
        <v>118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9.5" customHeight="1" spans="2:13">
      <c r="B3" s="10" t="s">
        <v>119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ht="19.5" customHeight="1" spans="2:13">
      <c r="B4" s="4" t="s">
        <v>18</v>
      </c>
      <c r="C4" s="4" t="s">
        <v>19</v>
      </c>
      <c r="D4" s="4" t="s">
        <v>120</v>
      </c>
      <c r="E4" s="4" t="s">
        <v>121</v>
      </c>
      <c r="F4" s="4" t="s">
        <v>122</v>
      </c>
      <c r="G4" s="4" t="s">
        <v>123</v>
      </c>
      <c r="H4" s="4" t="s">
        <v>124</v>
      </c>
      <c r="I4" s="4" t="s">
        <v>125</v>
      </c>
      <c r="J4" s="4" t="s">
        <v>126</v>
      </c>
      <c r="K4" s="4" t="s">
        <v>127</v>
      </c>
      <c r="L4" s="4" t="s">
        <v>128</v>
      </c>
      <c r="M4" s="4" t="s">
        <v>129</v>
      </c>
    </row>
    <row r="5" ht="15.75" customHeight="1" spans="2:13">
      <c r="B5" s="12">
        <v>0.25</v>
      </c>
      <c r="C5" s="12">
        <v>0.5</v>
      </c>
      <c r="D5" s="44">
        <f>VLOOKUP(B5,OIS_Curve!$B$19:$D$58,3,FALSE())</f>
        <v>0.989731535321044</v>
      </c>
      <c r="E5" s="44">
        <f>VLOOKUP(C5,OIS_Curve!$B$19:$D$58,3,FALSE())</f>
        <v>0.980392156862745</v>
      </c>
      <c r="F5" s="45">
        <f>Par_Rates!$E$5</f>
        <v>0.0396104442875325</v>
      </c>
      <c r="G5" s="44">
        <f t="shared" ref="G5:G11" si="0">1/(1+F5*0.25)</f>
        <v>0.990194489089029</v>
      </c>
      <c r="H5" s="56">
        <f>IF(B5=0,0,(Parameters!$C$5/Parameters!$C$4)*(1-EXP(-Parameters!$C$4*0.25))*SQRT((1-EXP(-2*Parameters!$C$4*B5))/(2*Parameters!$C$4)))</f>
        <v>0.000972413048041604</v>
      </c>
      <c r="I5" s="57">
        <f t="shared" ref="I5:I11" si="1">IF(H5=0,0,(1/H5)*LN(E5/(D5*G5))+H5/2)</f>
        <v>0.383886346154691</v>
      </c>
      <c r="J5" s="57">
        <f t="shared" ref="J5:J11" si="2">NORMSDIST(-I5+H5)</f>
        <v>0.350891790086695</v>
      </c>
      <c r="K5" s="57">
        <f t="shared" ref="K5:K11" si="3">NORMSDIST(-I5)</f>
        <v>0.350531343327291</v>
      </c>
      <c r="L5" s="58">
        <f t="shared" ref="L5:L11" si="4">IF(H5=0,0,(1+F5*0.25)*(G5*D5*J5-E5*K5))</f>
        <v>0.000227377105852698</v>
      </c>
      <c r="M5" s="43">
        <f t="shared" ref="M5:M11" si="5">L5*10000</f>
        <v>2.27377105852698</v>
      </c>
    </row>
    <row r="6" ht="15.75" customHeight="1" spans="2:13">
      <c r="B6" s="16">
        <v>0.5</v>
      </c>
      <c r="C6" s="16">
        <v>0.75</v>
      </c>
      <c r="D6" s="49">
        <f>VLOOKUP(B6,OIS_Curve!$B$19:$D$58,3,FALSE())</f>
        <v>0.980392156862745</v>
      </c>
      <c r="E6" s="49">
        <f>VLOOKUP(C6,OIS_Curve!$B$19:$D$58,3,FALSE())</f>
        <v>0.971573953796494</v>
      </c>
      <c r="F6" s="50">
        <f>Par_Rates!$E$5</f>
        <v>0.0396104442875325</v>
      </c>
      <c r="G6" s="49">
        <f t="shared" si="0"/>
        <v>0.990194489089029</v>
      </c>
      <c r="H6" s="59">
        <f>IF(B6=0,0,(Parameters!$C$5/Parameters!$C$4)*(1-EXP(-Parameters!$C$4*0.25))*SQRT((1-EXP(-2*Parameters!$C$4*B6))/(2*Parameters!$C$4)))</f>
        <v>0.00134810013785897</v>
      </c>
      <c r="I6" s="60">
        <f t="shared" si="1"/>
        <v>0.607927951225759</v>
      </c>
      <c r="J6" s="60">
        <f t="shared" si="2"/>
        <v>0.272064887600213</v>
      </c>
      <c r="K6" s="60">
        <f t="shared" si="3"/>
        <v>0.271617630166261</v>
      </c>
      <c r="L6" s="61">
        <f t="shared" si="4"/>
        <v>0.00022040155936492</v>
      </c>
      <c r="M6" s="41">
        <f t="shared" si="5"/>
        <v>2.2040155936492</v>
      </c>
    </row>
    <row r="7" ht="15.75" customHeight="1" spans="2:13">
      <c r="B7" s="12">
        <v>0.75</v>
      </c>
      <c r="C7" s="12">
        <v>1</v>
      </c>
      <c r="D7" s="44">
        <f>VLOOKUP(B7,OIS_Curve!$B$19:$D$58,3,FALSE())</f>
        <v>0.971573953796494</v>
      </c>
      <c r="E7" s="44">
        <f>VLOOKUP(C7,OIS_Curve!$B$19:$D$58,3,FALSE())</f>
        <v>0.963391136801541</v>
      </c>
      <c r="F7" s="45">
        <f>Par_Rates!$E$5</f>
        <v>0.0396104442875325</v>
      </c>
      <c r="G7" s="44">
        <f t="shared" si="0"/>
        <v>0.990194489089029</v>
      </c>
      <c r="H7" s="56">
        <f>IF(B7=0,0,(Parameters!$C$5/Parameters!$C$4)*(1-EXP(-Parameters!$C$4*0.25))*SQRT((1-EXP(-2*Parameters!$C$4*B7))/(2*Parameters!$C$4)))</f>
        <v>0.00161898747133126</v>
      </c>
      <c r="I7" s="57">
        <f t="shared" si="1"/>
        <v>0.863080854539986</v>
      </c>
      <c r="J7" s="57">
        <f t="shared" si="2"/>
        <v>0.194491857324963</v>
      </c>
      <c r="K7" s="57">
        <f t="shared" si="3"/>
        <v>0.194046506784219</v>
      </c>
      <c r="L7" s="58">
        <f t="shared" si="4"/>
        <v>0.000169317339277047</v>
      </c>
      <c r="M7" s="43">
        <f t="shared" si="5"/>
        <v>1.69317339277047</v>
      </c>
    </row>
    <row r="8" ht="15.75" customHeight="1" spans="2:13">
      <c r="B8" s="16">
        <v>1</v>
      </c>
      <c r="C8" s="16">
        <v>1.25</v>
      </c>
      <c r="D8" s="49">
        <f>VLOOKUP(B8,OIS_Curve!$B$19:$D$58,3,FALSE())</f>
        <v>0.963391136801541</v>
      </c>
      <c r="E8" s="49">
        <f>VLOOKUP(C8,OIS_Curve!$B$19:$D$58,3,FALSE())</f>
        <v>0.954743122287646</v>
      </c>
      <c r="F8" s="50">
        <f>Par_Rates!$E$5</f>
        <v>0.0396104442875325</v>
      </c>
      <c r="G8" s="49">
        <f t="shared" si="0"/>
        <v>0.990194489089029</v>
      </c>
      <c r="H8" s="59">
        <f>IF(B8=0,0,(Parameters!$C$5/Parameters!$C$4)*(1-EXP(-Parameters!$C$4*0.25))*SQRT((1-EXP(-2*Parameters!$C$4*B8))/(2*Parameters!$C$4)))</f>
        <v>0.00183361305631501</v>
      </c>
      <c r="I8" s="60">
        <f t="shared" si="1"/>
        <v>0.457245191758194</v>
      </c>
      <c r="J8" s="60">
        <f t="shared" si="2"/>
        <v>0.324406583406641</v>
      </c>
      <c r="K8" s="60">
        <f t="shared" si="3"/>
        <v>0.323747409624623</v>
      </c>
      <c r="L8" s="61">
        <f t="shared" si="4"/>
        <v>0.000373960839908405</v>
      </c>
      <c r="M8" s="41">
        <f t="shared" si="5"/>
        <v>3.73960839908405</v>
      </c>
    </row>
    <row r="9" ht="15.75" customHeight="1" spans="2:13">
      <c r="B9" s="12">
        <v>1.25</v>
      </c>
      <c r="C9" s="12">
        <v>1.5</v>
      </c>
      <c r="D9" s="44">
        <f>VLOOKUP(B9,OIS_Curve!$B$19:$D$58,3,FALSE())</f>
        <v>0.954743122287646</v>
      </c>
      <c r="E9" s="44">
        <f>VLOOKUP(C9,OIS_Curve!$B$19:$D$58,3,FALSE())</f>
        <v>0.946288849612581</v>
      </c>
      <c r="F9" s="45">
        <f>Par_Rates!$E$5</f>
        <v>0.0396104442875325</v>
      </c>
      <c r="G9" s="44">
        <f t="shared" si="0"/>
        <v>0.990194489089029</v>
      </c>
      <c r="H9" s="56">
        <f>IF(B9=0,0,(Parameters!$C$5/Parameters!$C$4)*(1-EXP(-Parameters!$C$4*0.25))*SQRT((1-EXP(-2*Parameters!$C$4*B9))/(2*Parameters!$C$4)))</f>
        <v>0.00201129786471566</v>
      </c>
      <c r="I9" s="57">
        <f t="shared" si="1"/>
        <v>0.478030679034518</v>
      </c>
      <c r="J9" s="57">
        <f t="shared" si="2"/>
        <v>0.31703028515957</v>
      </c>
      <c r="K9" s="57">
        <f t="shared" si="3"/>
        <v>0.316314184750372</v>
      </c>
      <c r="L9" s="58">
        <f t="shared" si="4"/>
        <v>0.000393803349973703</v>
      </c>
      <c r="M9" s="43">
        <f t="shared" si="5"/>
        <v>3.93803349973703</v>
      </c>
    </row>
    <row r="10" ht="15.75" customHeight="1" spans="2:13">
      <c r="B10" s="16">
        <v>1.5</v>
      </c>
      <c r="C10" s="16">
        <v>1.75</v>
      </c>
      <c r="D10" s="49">
        <f>VLOOKUP(B10,OIS_Curve!$B$19:$D$58,3,FALSE())</f>
        <v>0.946288849612581</v>
      </c>
      <c r="E10" s="49">
        <f>VLOOKUP(C10,OIS_Curve!$B$19:$D$58,3,FALSE())</f>
        <v>0.938024537404291</v>
      </c>
      <c r="F10" s="50">
        <f>Par_Rates!$E$5</f>
        <v>0.0396104442875325</v>
      </c>
      <c r="G10" s="49">
        <f t="shared" si="0"/>
        <v>0.990194489089029</v>
      </c>
      <c r="H10" s="59">
        <f>IF(B10=0,0,(Parameters!$C$5/Parameters!$C$4)*(1-EXP(-Parameters!$C$4*0.25))*SQRT((1-EXP(-2*Parameters!$C$4*B10))/(2*Parameters!$C$4)))</f>
        <v>0.00216221668621274</v>
      </c>
      <c r="I10" s="60">
        <f t="shared" si="1"/>
        <v>0.501562475774285</v>
      </c>
      <c r="J10" s="60">
        <f t="shared" si="2"/>
        <v>0.308748718355143</v>
      </c>
      <c r="K10" s="60">
        <f t="shared" si="3"/>
        <v>0.307987660226661</v>
      </c>
      <c r="L10" s="61">
        <f t="shared" si="4"/>
        <v>0.000404622835829851</v>
      </c>
      <c r="M10" s="41">
        <f t="shared" si="5"/>
        <v>4.04622835829851</v>
      </c>
    </row>
    <row r="11" ht="15.75" customHeight="1" spans="2:13">
      <c r="B11" s="12">
        <v>1.75</v>
      </c>
      <c r="C11" s="12">
        <v>2</v>
      </c>
      <c r="D11" s="44">
        <f>VLOOKUP(B11,OIS_Curve!$B$19:$D$58,3,FALSE())</f>
        <v>0.938024537404291</v>
      </c>
      <c r="E11" s="44">
        <f>VLOOKUP(C11,OIS_Curve!$B$19:$D$58,3,FALSE())</f>
        <v>0.929946507172944</v>
      </c>
      <c r="F11" s="45">
        <f>Par_Rates!$E$5</f>
        <v>0.0396104442875325</v>
      </c>
      <c r="G11" s="44">
        <f t="shared" si="0"/>
        <v>0.990194489089029</v>
      </c>
      <c r="H11" s="56">
        <f>IF(B11=0,0,(Parameters!$C$5/Parameters!$C$4)*(1-EXP(-Parameters!$C$4*0.25))*SQRT((1-EXP(-2*Parameters!$C$4*B11))/(2*Parameters!$C$4)))</f>
        <v>0.00229257148854877</v>
      </c>
      <c r="I11" s="57">
        <f t="shared" si="1"/>
        <v>0.526695394748381</v>
      </c>
      <c r="J11" s="57">
        <f t="shared" si="2"/>
        <v>0.299999196638694</v>
      </c>
      <c r="K11" s="57">
        <f t="shared" si="3"/>
        <v>0.29920256709077</v>
      </c>
      <c r="L11" s="58">
        <f t="shared" si="4"/>
        <v>0.000408899350756567</v>
      </c>
      <c r="M11" s="43">
        <f t="shared" si="5"/>
        <v>4.08899350756567</v>
      </c>
    </row>
    <row r="12" ht="19.5" customHeight="1" spans="2:13">
      <c r="B12" s="51" t="s">
        <v>130</v>
      </c>
      <c r="C12" s="51"/>
      <c r="D12" s="51"/>
      <c r="E12" s="51"/>
      <c r="F12" s="51"/>
      <c r="G12" s="51"/>
      <c r="H12" s="51"/>
      <c r="I12" s="51"/>
      <c r="J12" s="51"/>
      <c r="K12" s="51"/>
      <c r="L12" s="54">
        <f>SUM(L5:L11)</f>
        <v>0.00219838238096319</v>
      </c>
      <c r="M12" s="55">
        <f>SUM(M5:M11)</f>
        <v>21.9838238096319</v>
      </c>
    </row>
    <row r="14" ht="19.5" customHeight="1" spans="2:13">
      <c r="B14" s="10" t="s">
        <v>131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ht="19.5" customHeight="1" spans="2:13">
      <c r="B15" s="4" t="s">
        <v>18</v>
      </c>
      <c r="C15" s="4" t="s">
        <v>19</v>
      </c>
      <c r="D15" s="4" t="s">
        <v>120</v>
      </c>
      <c r="E15" s="4" t="s">
        <v>121</v>
      </c>
      <c r="F15" s="4" t="s">
        <v>122</v>
      </c>
      <c r="G15" s="4" t="s">
        <v>123</v>
      </c>
      <c r="H15" s="4" t="s">
        <v>124</v>
      </c>
      <c r="I15" s="4" t="s">
        <v>125</v>
      </c>
      <c r="J15" s="4" t="s">
        <v>126</v>
      </c>
      <c r="K15" s="4" t="s">
        <v>127</v>
      </c>
      <c r="L15" s="4" t="s">
        <v>128</v>
      </c>
      <c r="M15" s="4" t="s">
        <v>129</v>
      </c>
    </row>
    <row r="16" ht="15.75" customHeight="1" spans="2:13">
      <c r="B16" s="16">
        <v>0.25</v>
      </c>
      <c r="C16" s="16">
        <v>0.5</v>
      </c>
      <c r="D16" s="49">
        <f>VLOOKUP(B16,OIS_Curve!$B$19:$D$58,3,FALSE())</f>
        <v>0.989731535321044</v>
      </c>
      <c r="E16" s="49">
        <f>VLOOKUP(C16,OIS_Curve!$B$19:$D$58,3,FALSE())</f>
        <v>0.980392156862745</v>
      </c>
      <c r="F16" s="50">
        <f>Par_Rates!$E$6</f>
        <v>0.0367</v>
      </c>
      <c r="G16" s="49">
        <f t="shared" ref="G16:G26" si="6">1/(1+F16*0.25)</f>
        <v>0.990908415289717</v>
      </c>
      <c r="H16" s="59">
        <f>IF(B16=0,0,(Parameters!$C$5/Parameters!$C$4)*(1-EXP(-Parameters!$C$4*0.25))*SQRT((1-EXP(-2*Parameters!$C$4*B16))/(2*Parameters!$C$4)))</f>
        <v>0.000972413048041604</v>
      </c>
      <c r="I16" s="60">
        <f t="shared" ref="I16:I26" si="7">IF(H16=0,0,(1/H16)*LN(E16/(D16*G16))+H16/2)</f>
        <v>-0.357296778584111</v>
      </c>
      <c r="J16" s="60">
        <f t="shared" ref="J16:J26" si="8">NORMSDIST(-I16+H16)</f>
        <v>0.639929064272613</v>
      </c>
      <c r="K16" s="60">
        <f t="shared" ref="K16:K26" si="9">NORMSDIST(-I16)</f>
        <v>0.639565179317258</v>
      </c>
      <c r="L16" s="61">
        <f t="shared" ref="L16:L26" si="10">IF(H16=0,0,(1+F16*0.25)*(G16*D16*J16-E16*K16))</f>
        <v>0.000580338183510542</v>
      </c>
      <c r="M16" s="41">
        <f t="shared" ref="M16:M26" si="11">L16*10000</f>
        <v>5.80338183510542</v>
      </c>
    </row>
    <row r="17" ht="15.75" customHeight="1" spans="2:13">
      <c r="B17" s="12">
        <v>0.5</v>
      </c>
      <c r="C17" s="12">
        <v>0.75</v>
      </c>
      <c r="D17" s="44">
        <f>VLOOKUP(B17,OIS_Curve!$B$19:$D$58,3,FALSE())</f>
        <v>0.980392156862745</v>
      </c>
      <c r="E17" s="44">
        <f>VLOOKUP(C17,OIS_Curve!$B$19:$D$58,3,FALSE())</f>
        <v>0.971573953796494</v>
      </c>
      <c r="F17" s="45">
        <f>Par_Rates!$E$6</f>
        <v>0.0367</v>
      </c>
      <c r="G17" s="44">
        <f t="shared" si="6"/>
        <v>0.990908415289717</v>
      </c>
      <c r="H17" s="56">
        <f>IF(B17=0,0,(Parameters!$C$5/Parameters!$C$4)*(1-EXP(-Parameters!$C$4*0.25))*SQRT((1-EXP(-2*Parameters!$C$4*B17))/(2*Parameters!$C$4)))</f>
        <v>0.00134810013785897</v>
      </c>
      <c r="I17" s="57">
        <f t="shared" si="7"/>
        <v>0.073296938852242</v>
      </c>
      <c r="J17" s="57">
        <f t="shared" si="8"/>
        <v>0.471321311528554</v>
      </c>
      <c r="K17" s="57">
        <f t="shared" si="9"/>
        <v>0.470784913795893</v>
      </c>
      <c r="L17" s="58">
        <f t="shared" si="10"/>
        <v>0.000480690446664377</v>
      </c>
      <c r="M17" s="43">
        <f t="shared" si="11"/>
        <v>4.80690446664377</v>
      </c>
    </row>
    <row r="18" ht="15.75" customHeight="1" spans="2:13">
      <c r="B18" s="16">
        <v>0.75</v>
      </c>
      <c r="C18" s="16">
        <v>1</v>
      </c>
      <c r="D18" s="49">
        <f>VLOOKUP(B18,OIS_Curve!$B$19:$D$58,3,FALSE())</f>
        <v>0.971573953796494</v>
      </c>
      <c r="E18" s="49">
        <f>VLOOKUP(C18,OIS_Curve!$B$19:$D$58,3,FALSE())</f>
        <v>0.963391136801541</v>
      </c>
      <c r="F18" s="50">
        <f>Par_Rates!$E$6</f>
        <v>0.0367</v>
      </c>
      <c r="G18" s="49">
        <f t="shared" si="6"/>
        <v>0.990908415289717</v>
      </c>
      <c r="H18" s="59">
        <f>IF(B18=0,0,(Parameters!$C$5/Parameters!$C$4)*(1-EXP(-Parameters!$C$4*0.25))*SQRT((1-EXP(-2*Parameters!$C$4*B18))/(2*Parameters!$C$4)))</f>
        <v>0.00161898747133126</v>
      </c>
      <c r="I18" s="60">
        <f t="shared" si="7"/>
        <v>0.417903758208412</v>
      </c>
      <c r="J18" s="60">
        <f t="shared" si="8"/>
        <v>0.338600817599499</v>
      </c>
      <c r="K18" s="60">
        <f t="shared" si="9"/>
        <v>0.33800874232541</v>
      </c>
      <c r="L18" s="61">
        <f t="shared" si="10"/>
        <v>0.000353410897834702</v>
      </c>
      <c r="M18" s="41">
        <f t="shared" si="11"/>
        <v>3.53410897834702</v>
      </c>
    </row>
    <row r="19" ht="15.75" customHeight="1" spans="2:13">
      <c r="B19" s="12">
        <v>1</v>
      </c>
      <c r="C19" s="12">
        <v>1.25</v>
      </c>
      <c r="D19" s="44">
        <f>VLOOKUP(B19,OIS_Curve!$B$19:$D$58,3,FALSE())</f>
        <v>0.963391136801541</v>
      </c>
      <c r="E19" s="44">
        <f>VLOOKUP(C19,OIS_Curve!$B$19:$D$58,3,FALSE())</f>
        <v>0.954743122287646</v>
      </c>
      <c r="F19" s="45">
        <f>Par_Rates!$E$6</f>
        <v>0.0367</v>
      </c>
      <c r="G19" s="44">
        <f t="shared" si="6"/>
        <v>0.990908415289717</v>
      </c>
      <c r="H19" s="56">
        <f>IF(B19=0,0,(Parameters!$C$5/Parameters!$C$4)*(1-EXP(-Parameters!$C$4*0.25))*SQRT((1-EXP(-2*Parameters!$C$4*B19))/(2*Parameters!$C$4)))</f>
        <v>0.00183361305631501</v>
      </c>
      <c r="I19" s="57">
        <f t="shared" si="7"/>
        <v>0.0641763602496307</v>
      </c>
      <c r="J19" s="57">
        <f t="shared" si="8"/>
        <v>0.475144943662167</v>
      </c>
      <c r="K19" s="57">
        <f t="shared" si="9"/>
        <v>0.474414900185984</v>
      </c>
      <c r="L19" s="58">
        <f t="shared" si="10"/>
        <v>0.000650299825744745</v>
      </c>
      <c r="M19" s="43">
        <f t="shared" si="11"/>
        <v>6.50299825744745</v>
      </c>
    </row>
    <row r="20" ht="15.75" customHeight="1" spans="2:13">
      <c r="B20" s="16">
        <v>1.25</v>
      </c>
      <c r="C20" s="16">
        <v>1.5</v>
      </c>
      <c r="D20" s="49">
        <f>VLOOKUP(B20,OIS_Curve!$B$19:$D$58,3,FALSE())</f>
        <v>0.954743122287646</v>
      </c>
      <c r="E20" s="49">
        <f>VLOOKUP(C20,OIS_Curve!$B$19:$D$58,3,FALSE())</f>
        <v>0.946288849612581</v>
      </c>
      <c r="F20" s="50">
        <f>Par_Rates!$E$6</f>
        <v>0.0367</v>
      </c>
      <c r="G20" s="49">
        <f t="shared" si="6"/>
        <v>0.990908415289717</v>
      </c>
      <c r="H20" s="59">
        <f>IF(B20=0,0,(Parameters!$C$5/Parameters!$C$4)*(1-EXP(-Parameters!$C$4*0.25))*SQRT((1-EXP(-2*Parameters!$C$4*B20))/(2*Parameters!$C$4)))</f>
        <v>0.00201129786471566</v>
      </c>
      <c r="I20" s="60">
        <f t="shared" si="7"/>
        <v>0.119686868240405</v>
      </c>
      <c r="J20" s="60">
        <f t="shared" si="8"/>
        <v>0.453162362140671</v>
      </c>
      <c r="K20" s="60">
        <f t="shared" si="9"/>
        <v>0.452365601601253</v>
      </c>
      <c r="L20" s="61">
        <f t="shared" si="10"/>
        <v>0.000657595075354215</v>
      </c>
      <c r="M20" s="41">
        <f t="shared" si="11"/>
        <v>6.57595075354215</v>
      </c>
    </row>
    <row r="21" ht="15.75" customHeight="1" spans="2:13">
      <c r="B21" s="12">
        <v>1.5</v>
      </c>
      <c r="C21" s="12">
        <v>1.75</v>
      </c>
      <c r="D21" s="44">
        <f>VLOOKUP(B21,OIS_Curve!$B$19:$D$58,3,FALSE())</f>
        <v>0.946288849612581</v>
      </c>
      <c r="E21" s="44">
        <f>VLOOKUP(C21,OIS_Curve!$B$19:$D$58,3,FALSE())</f>
        <v>0.938024537404291</v>
      </c>
      <c r="F21" s="45">
        <f>Par_Rates!$E$6</f>
        <v>0.0367</v>
      </c>
      <c r="G21" s="44">
        <f t="shared" si="6"/>
        <v>0.990908415289717</v>
      </c>
      <c r="H21" s="56">
        <f>IF(B21=0,0,(Parameters!$C$5/Parameters!$C$4)*(1-EXP(-Parameters!$C$4*0.25))*SQRT((1-EXP(-2*Parameters!$C$4*B21))/(2*Parameters!$C$4)))</f>
        <v>0.00216221668621274</v>
      </c>
      <c r="I21" s="57">
        <f t="shared" si="7"/>
        <v>0.168230416096778</v>
      </c>
      <c r="J21" s="57">
        <f t="shared" si="8"/>
        <v>0.434051639905731</v>
      </c>
      <c r="K21" s="57">
        <f t="shared" si="9"/>
        <v>0.433201006674569</v>
      </c>
      <c r="L21" s="58">
        <f t="shared" si="10"/>
        <v>0.000656762739431865</v>
      </c>
      <c r="M21" s="43">
        <f t="shared" si="11"/>
        <v>6.56762739431865</v>
      </c>
    </row>
    <row r="22" ht="15.75" customHeight="1" spans="2:13">
      <c r="B22" s="16">
        <v>1.75</v>
      </c>
      <c r="C22" s="16">
        <v>2</v>
      </c>
      <c r="D22" s="49">
        <f>VLOOKUP(B22,OIS_Curve!$B$19:$D$58,3,FALSE())</f>
        <v>0.938024537404291</v>
      </c>
      <c r="E22" s="49">
        <f>VLOOKUP(C22,OIS_Curve!$B$19:$D$58,3,FALSE())</f>
        <v>0.929946507172944</v>
      </c>
      <c r="F22" s="50">
        <f>Par_Rates!$E$6</f>
        <v>0.0367</v>
      </c>
      <c r="G22" s="49">
        <f t="shared" si="6"/>
        <v>0.990908415289717</v>
      </c>
      <c r="H22" s="59">
        <f>IF(B22=0,0,(Parameters!$C$5/Parameters!$C$4)*(1-EXP(-Parameters!$C$4*0.25))*SQRT((1-EXP(-2*Parameters!$C$4*B22))/(2*Parameters!$C$4)))</f>
        <v>0.00229257148854877</v>
      </c>
      <c r="I22" s="60">
        <f t="shared" si="7"/>
        <v>0.212316477848965</v>
      </c>
      <c r="J22" s="60">
        <f t="shared" si="8"/>
        <v>0.416824507278002</v>
      </c>
      <c r="K22" s="60">
        <f t="shared" si="9"/>
        <v>0.415930070501793</v>
      </c>
      <c r="L22" s="61">
        <f t="shared" si="10"/>
        <v>0.000650076154907491</v>
      </c>
      <c r="M22" s="41">
        <f t="shared" si="11"/>
        <v>6.50076154907491</v>
      </c>
    </row>
    <row r="23" ht="15.75" customHeight="1" spans="2:13">
      <c r="B23" s="12">
        <v>2</v>
      </c>
      <c r="C23" s="12">
        <v>2.25</v>
      </c>
      <c r="D23" s="44">
        <f>VLOOKUP(B23,OIS_Curve!$B$19:$D$58,3,FALSE())</f>
        <v>0.929946507172944</v>
      </c>
      <c r="E23" s="44">
        <f>VLOOKUP(C23,OIS_Curve!$B$19:$D$58,3,FALSE())</f>
        <v>0.92179826516081</v>
      </c>
      <c r="F23" s="45">
        <f>Par_Rates!$E$6</f>
        <v>0.0367</v>
      </c>
      <c r="G23" s="44">
        <f t="shared" si="6"/>
        <v>0.990908415289717</v>
      </c>
      <c r="H23" s="56">
        <f>IF(B23=0,0,(Parameters!$C$5/Parameters!$C$4)*(1-EXP(-Parameters!$C$4*0.25))*SQRT((1-EXP(-2*Parameters!$C$4*B23))/(2*Parameters!$C$4)))</f>
        <v>0.00240650470624022</v>
      </c>
      <c r="I23" s="57">
        <f t="shared" si="7"/>
        <v>0.13936975096414</v>
      </c>
      <c r="J23" s="57">
        <f t="shared" si="8"/>
        <v>0.445529923256276</v>
      </c>
      <c r="K23" s="57">
        <f t="shared" si="9"/>
        <v>0.44457898714111</v>
      </c>
      <c r="L23" s="58">
        <f t="shared" si="10"/>
        <v>0.00074683052357857</v>
      </c>
      <c r="M23" s="43">
        <f t="shared" si="11"/>
        <v>7.4683052357857</v>
      </c>
    </row>
    <row r="24" ht="15.75" customHeight="1" spans="2:13">
      <c r="B24" s="16">
        <v>2.25</v>
      </c>
      <c r="C24" s="16">
        <v>2.5</v>
      </c>
      <c r="D24" s="49">
        <f>VLOOKUP(B24,OIS_Curve!$B$19:$D$58,3,FALSE())</f>
        <v>0.92179826516081</v>
      </c>
      <c r="E24" s="49">
        <f>VLOOKUP(C24,OIS_Curve!$B$19:$D$58,3,FALSE())</f>
        <v>0.913777839413286</v>
      </c>
      <c r="F24" s="50">
        <f>Par_Rates!$E$6</f>
        <v>0.0367</v>
      </c>
      <c r="G24" s="49">
        <f t="shared" si="6"/>
        <v>0.990908415289717</v>
      </c>
      <c r="H24" s="59">
        <f>IF(B24=0,0,(Parameters!$C$5/Parameters!$C$4)*(1-EXP(-Parameters!$C$4*0.25))*SQRT((1-EXP(-2*Parameters!$C$4*B24))/(2*Parameters!$C$4)))</f>
        <v>0.00250696247926221</v>
      </c>
      <c r="I24" s="60">
        <f t="shared" si="7"/>
        <v>0.158513481121607</v>
      </c>
      <c r="J24" s="60">
        <f t="shared" si="8"/>
        <v>0.438013941501806</v>
      </c>
      <c r="K24" s="60">
        <f t="shared" si="9"/>
        <v>0.437026099281174</v>
      </c>
      <c r="L24" s="61">
        <f t="shared" si="10"/>
        <v>0.000751738407495603</v>
      </c>
      <c r="M24" s="41">
        <f t="shared" si="11"/>
        <v>7.51738407495603</v>
      </c>
    </row>
    <row r="25" ht="15.75" customHeight="1" spans="2:13">
      <c r="B25" s="12">
        <v>2.5</v>
      </c>
      <c r="C25" s="12">
        <v>2.75</v>
      </c>
      <c r="D25" s="44">
        <f>VLOOKUP(B25,OIS_Curve!$B$19:$D$58,3,FALSE())</f>
        <v>0.913777839413286</v>
      </c>
      <c r="E25" s="44">
        <f>VLOOKUP(C25,OIS_Curve!$B$19:$D$58,3,FALSE())</f>
        <v>0.905883131631225</v>
      </c>
      <c r="F25" s="45">
        <f>Par_Rates!$E$6</f>
        <v>0.0367</v>
      </c>
      <c r="G25" s="44">
        <f t="shared" si="6"/>
        <v>0.990908415289717</v>
      </c>
      <c r="H25" s="56">
        <f>IF(B25=0,0,(Parameters!$C$5/Parameters!$C$4)*(1-EXP(-Parameters!$C$4*0.25))*SQRT((1-EXP(-2*Parameters!$C$4*B25))/(2*Parameters!$C$4)))</f>
        <v>0.00259613811887088</v>
      </c>
      <c r="I25" s="57">
        <f t="shared" si="7"/>
        <v>0.176940307012111</v>
      </c>
      <c r="J25" s="57">
        <f t="shared" si="8"/>
        <v>0.430797494491884</v>
      </c>
      <c r="K25" s="57">
        <f t="shared" si="9"/>
        <v>0.429777638840863</v>
      </c>
      <c r="L25" s="58">
        <f t="shared" si="10"/>
        <v>0.000752803087970517</v>
      </c>
      <c r="M25" s="43">
        <f t="shared" si="11"/>
        <v>7.52803087970517</v>
      </c>
    </row>
    <row r="26" ht="15.75" customHeight="1" spans="2:13">
      <c r="B26" s="16">
        <v>2.75</v>
      </c>
      <c r="C26" s="16">
        <v>3</v>
      </c>
      <c r="D26" s="49">
        <f>VLOOKUP(B26,OIS_Curve!$B$19:$D$58,3,FALSE())</f>
        <v>0.905883131631225</v>
      </c>
      <c r="E26" s="49">
        <f>VLOOKUP(C26,OIS_Curve!$B$19:$D$58,3,FALSE())</f>
        <v>0.898112084896219</v>
      </c>
      <c r="F26" s="50">
        <f>Par_Rates!$E$6</f>
        <v>0.0367</v>
      </c>
      <c r="G26" s="49">
        <f t="shared" si="6"/>
        <v>0.990908415289717</v>
      </c>
      <c r="H26" s="59">
        <f>IF(B26=0,0,(Parameters!$C$5/Parameters!$C$4)*(1-EXP(-Parameters!$C$4*0.25))*SQRT((1-EXP(-2*Parameters!$C$4*B26))/(2*Parameters!$C$4)))</f>
        <v>0.0026757220227115</v>
      </c>
      <c r="I26" s="60">
        <f t="shared" si="7"/>
        <v>0.194832586874947</v>
      </c>
      <c r="J26" s="60">
        <f t="shared" si="8"/>
        <v>0.423809666525622</v>
      </c>
      <c r="K26" s="60">
        <f t="shared" si="9"/>
        <v>0.422762005238714</v>
      </c>
      <c r="L26" s="61">
        <f t="shared" si="10"/>
        <v>0.000750727652969963</v>
      </c>
      <c r="M26" s="41">
        <f t="shared" si="11"/>
        <v>7.50727652969963</v>
      </c>
    </row>
    <row r="27" ht="19.5" customHeight="1" spans="2:13">
      <c r="B27" s="51" t="s">
        <v>132</v>
      </c>
      <c r="C27" s="51"/>
      <c r="D27" s="51"/>
      <c r="E27" s="51"/>
      <c r="F27" s="51"/>
      <c r="G27" s="51"/>
      <c r="H27" s="51"/>
      <c r="I27" s="51"/>
      <c r="J27" s="51"/>
      <c r="K27" s="51"/>
      <c r="L27" s="54">
        <f>SUM(L16:L26)</f>
        <v>0.00703127299546259</v>
      </c>
      <c r="M27" s="55">
        <f>SUM(M16:M26)</f>
        <v>70.3127299546259</v>
      </c>
    </row>
    <row r="29" ht="19.5" customHeight="1" spans="2:13">
      <c r="B29" s="10" t="s">
        <v>133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ht="19.5" customHeight="1" spans="2:13">
      <c r="B30" s="4" t="s">
        <v>18</v>
      </c>
      <c r="C30" s="4" t="s">
        <v>19</v>
      </c>
      <c r="D30" s="4" t="s">
        <v>120</v>
      </c>
      <c r="E30" s="4" t="s">
        <v>121</v>
      </c>
      <c r="F30" s="4" t="s">
        <v>122</v>
      </c>
      <c r="G30" s="4" t="s">
        <v>123</v>
      </c>
      <c r="H30" s="4" t="s">
        <v>124</v>
      </c>
      <c r="I30" s="4" t="s">
        <v>125</v>
      </c>
      <c r="J30" s="4" t="s">
        <v>126</v>
      </c>
      <c r="K30" s="4" t="s">
        <v>127</v>
      </c>
      <c r="L30" s="4" t="s">
        <v>128</v>
      </c>
      <c r="M30" s="4" t="s">
        <v>129</v>
      </c>
    </row>
    <row r="31" ht="15.75" customHeight="1" spans="2:13">
      <c r="B31" s="12">
        <v>0.25</v>
      </c>
      <c r="C31" s="12">
        <v>0.5</v>
      </c>
      <c r="D31" s="44">
        <f>VLOOKUP(B31,OIS_Curve!$B$19:$D$58,3,FALSE())</f>
        <v>0.989731535321044</v>
      </c>
      <c r="E31" s="44">
        <f>VLOOKUP(C31,OIS_Curve!$B$19:$D$58,3,FALSE())</f>
        <v>0.980392156862745</v>
      </c>
      <c r="F31" s="45">
        <f>Par_Rates!$E$7</f>
        <v>0.036400127403092</v>
      </c>
      <c r="G31" s="44">
        <f t="shared" ref="G31:G49" si="12">1/(1+F31*0.25)</f>
        <v>0.99098203194575</v>
      </c>
      <c r="H31" s="56">
        <f>IF(B31=0,0,(Parameters!$C$5/Parameters!$C$4)*(1-EXP(-Parameters!$C$4*0.25))*SQRT((1-EXP(-2*Parameters!$C$4*B31))/(2*Parameters!$C$4)))</f>
        <v>0.000972413048041604</v>
      </c>
      <c r="I31" s="57">
        <f t="shared" ref="I31:I49" si="13">IF(H31=0,0,(1/H31)*LN(E31/(D31*G31))+H31/2)</f>
        <v>-0.43369366515531</v>
      </c>
      <c r="J31" s="57">
        <f t="shared" ref="J31:J49" si="14">NORMSDIST(-I31+H31)</f>
        <v>0.668097587938109</v>
      </c>
      <c r="K31" s="57">
        <f t="shared" ref="K31:K49" si="15">NORMSDIST(-I31)</f>
        <v>0.667744546296428</v>
      </c>
      <c r="L31" s="58">
        <f t="shared" ref="L31:L49" si="16">IF(H31=0,0,(1+F31*0.25)*(G31*D31*J31-E31*K31))</f>
        <v>0.000628385830834441</v>
      </c>
      <c r="M31" s="43">
        <f t="shared" ref="M31:M49" si="17">L31*10000</f>
        <v>6.28385830834441</v>
      </c>
    </row>
    <row r="32" ht="15.75" customHeight="1" spans="2:13">
      <c r="B32" s="16">
        <v>0.5</v>
      </c>
      <c r="C32" s="16">
        <v>0.75</v>
      </c>
      <c r="D32" s="49">
        <f>VLOOKUP(B32,OIS_Curve!$B$19:$D$58,3,FALSE())</f>
        <v>0.980392156862745</v>
      </c>
      <c r="E32" s="49">
        <f>VLOOKUP(C32,OIS_Curve!$B$19:$D$58,3,FALSE())</f>
        <v>0.971573953796494</v>
      </c>
      <c r="F32" s="50">
        <f>Par_Rates!$E$7</f>
        <v>0.036400127403092</v>
      </c>
      <c r="G32" s="49">
        <f t="shared" si="12"/>
        <v>0.99098203194575</v>
      </c>
      <c r="H32" s="59">
        <f>IF(B32=0,0,(Parameters!$C$5/Parameters!$C$4)*(1-EXP(-Parameters!$C$4*0.25))*SQRT((1-EXP(-2*Parameters!$C$4*B32))/(2*Parameters!$C$4)))</f>
        <v>0.00134810013785897</v>
      </c>
      <c r="I32" s="60">
        <f t="shared" si="13"/>
        <v>0.0181902540850205</v>
      </c>
      <c r="J32" s="60">
        <f t="shared" si="14"/>
        <v>0.49328127033602</v>
      </c>
      <c r="K32" s="60">
        <f t="shared" si="15"/>
        <v>0.49274353873256</v>
      </c>
      <c r="L32" s="61">
        <f t="shared" si="16"/>
        <v>0.000515780410498618</v>
      </c>
      <c r="M32" s="41">
        <f t="shared" si="17"/>
        <v>5.15780410498618</v>
      </c>
    </row>
    <row r="33" ht="15.75" customHeight="1" spans="2:13">
      <c r="B33" s="12">
        <v>0.75</v>
      </c>
      <c r="C33" s="12">
        <v>1</v>
      </c>
      <c r="D33" s="44">
        <f>VLOOKUP(B33,OIS_Curve!$B$19:$D$58,3,FALSE())</f>
        <v>0.971573953796494</v>
      </c>
      <c r="E33" s="44">
        <f>VLOOKUP(C33,OIS_Curve!$B$19:$D$58,3,FALSE())</f>
        <v>0.963391136801541</v>
      </c>
      <c r="F33" s="45">
        <f>Par_Rates!$E$7</f>
        <v>0.036400127403092</v>
      </c>
      <c r="G33" s="44">
        <f t="shared" si="12"/>
        <v>0.99098203194575</v>
      </c>
      <c r="H33" s="56">
        <f>IF(B33=0,0,(Parameters!$C$5/Parameters!$C$4)*(1-EXP(-Parameters!$C$4*0.25))*SQRT((1-EXP(-2*Parameters!$C$4*B33))/(2*Parameters!$C$4)))</f>
        <v>0.00161898747133126</v>
      </c>
      <c r="I33" s="57">
        <f t="shared" si="13"/>
        <v>0.372017467766451</v>
      </c>
      <c r="J33" s="57">
        <f t="shared" si="14"/>
        <v>0.355542802982401</v>
      </c>
      <c r="K33" s="57">
        <f t="shared" si="15"/>
        <v>0.354939921935911</v>
      </c>
      <c r="L33" s="58">
        <f t="shared" si="16"/>
        <v>0.000378432684667876</v>
      </c>
      <c r="M33" s="43">
        <f t="shared" si="17"/>
        <v>3.78432684667876</v>
      </c>
    </row>
    <row r="34" ht="15.75" customHeight="1" spans="2:13">
      <c r="B34" s="16">
        <v>1</v>
      </c>
      <c r="C34" s="16">
        <v>1.25</v>
      </c>
      <c r="D34" s="49">
        <f>VLOOKUP(B34,OIS_Curve!$B$19:$D$58,3,FALSE())</f>
        <v>0.963391136801541</v>
      </c>
      <c r="E34" s="49">
        <f>VLOOKUP(C34,OIS_Curve!$B$19:$D$58,3,FALSE())</f>
        <v>0.954743122287646</v>
      </c>
      <c r="F34" s="50">
        <f>Par_Rates!$E$7</f>
        <v>0.036400127403092</v>
      </c>
      <c r="G34" s="49">
        <f t="shared" si="12"/>
        <v>0.99098203194575</v>
      </c>
      <c r="H34" s="59">
        <f>IF(B34=0,0,(Parameters!$C$5/Parameters!$C$4)*(1-EXP(-Parameters!$C$4*0.25))*SQRT((1-EXP(-2*Parameters!$C$4*B34))/(2*Parameters!$C$4)))</f>
        <v>0.00183361305631501</v>
      </c>
      <c r="I34" s="60">
        <f t="shared" si="13"/>
        <v>0.0236610895518682</v>
      </c>
      <c r="J34" s="60">
        <f t="shared" si="14"/>
        <v>0.49129278816577</v>
      </c>
      <c r="K34" s="60">
        <f t="shared" si="15"/>
        <v>0.490561471674489</v>
      </c>
      <c r="L34" s="61">
        <f t="shared" si="16"/>
        <v>0.00068483389588238</v>
      </c>
      <c r="M34" s="41">
        <f t="shared" si="17"/>
        <v>6.8483389588238</v>
      </c>
    </row>
    <row r="35" ht="15.75" customHeight="1" spans="2:13">
      <c r="B35" s="12">
        <v>1.25</v>
      </c>
      <c r="C35" s="12">
        <v>1.5</v>
      </c>
      <c r="D35" s="44">
        <f>VLOOKUP(B35,OIS_Curve!$B$19:$D$58,3,FALSE())</f>
        <v>0.954743122287646</v>
      </c>
      <c r="E35" s="44">
        <f>VLOOKUP(C35,OIS_Curve!$B$19:$D$58,3,FALSE())</f>
        <v>0.946288849612581</v>
      </c>
      <c r="F35" s="45">
        <f>Par_Rates!$E$7</f>
        <v>0.036400127403092</v>
      </c>
      <c r="G35" s="44">
        <f t="shared" si="12"/>
        <v>0.99098203194575</v>
      </c>
      <c r="H35" s="56">
        <f>IF(B35=0,0,(Parameters!$C$5/Parameters!$C$4)*(1-EXP(-Parameters!$C$4*0.25))*SQRT((1-EXP(-2*Parameters!$C$4*B35))/(2*Parameters!$C$4)))</f>
        <v>0.00201129786471566</v>
      </c>
      <c r="I35" s="57">
        <f t="shared" si="13"/>
        <v>0.082750852628372</v>
      </c>
      <c r="J35" s="57">
        <f t="shared" si="14"/>
        <v>0.46782453966672</v>
      </c>
      <c r="K35" s="57">
        <f t="shared" si="15"/>
        <v>0.467024824472772</v>
      </c>
      <c r="L35" s="58">
        <f t="shared" si="16"/>
        <v>0.000690206223778859</v>
      </c>
      <c r="M35" s="43">
        <f t="shared" si="17"/>
        <v>6.90206223778859</v>
      </c>
    </row>
    <row r="36" ht="15.75" customHeight="1" spans="2:13">
      <c r="B36" s="16">
        <v>1.5</v>
      </c>
      <c r="C36" s="16">
        <v>1.75</v>
      </c>
      <c r="D36" s="49">
        <f>VLOOKUP(B36,OIS_Curve!$B$19:$D$58,3,FALSE())</f>
        <v>0.946288849612581</v>
      </c>
      <c r="E36" s="49">
        <f>VLOOKUP(C36,OIS_Curve!$B$19:$D$58,3,FALSE())</f>
        <v>0.938024537404291</v>
      </c>
      <c r="F36" s="50">
        <f>Par_Rates!$E$7</f>
        <v>0.036400127403092</v>
      </c>
      <c r="G36" s="49">
        <f t="shared" si="12"/>
        <v>0.99098203194575</v>
      </c>
      <c r="H36" s="59">
        <f>IF(B36=0,0,(Parameters!$C$5/Parameters!$C$4)*(1-EXP(-Parameters!$C$4*0.25))*SQRT((1-EXP(-2*Parameters!$C$4*B36))/(2*Parameters!$C$4)))</f>
        <v>0.00216221668621274</v>
      </c>
      <c r="I36" s="60">
        <f t="shared" si="13"/>
        <v>0.133872467698103</v>
      </c>
      <c r="J36" s="60">
        <f t="shared" si="14"/>
        <v>0.447606738512959</v>
      </c>
      <c r="K36" s="60">
        <f t="shared" si="15"/>
        <v>0.446751710937053</v>
      </c>
      <c r="L36" s="61">
        <f t="shared" si="16"/>
        <v>0.0006877023228731</v>
      </c>
      <c r="M36" s="41">
        <f t="shared" si="17"/>
        <v>6.877023228731</v>
      </c>
    </row>
    <row r="37" ht="15.75" customHeight="1" spans="2:13">
      <c r="B37" s="12">
        <v>1.75</v>
      </c>
      <c r="C37" s="12">
        <v>2</v>
      </c>
      <c r="D37" s="44">
        <f>VLOOKUP(B37,OIS_Curve!$B$19:$D$58,3,FALSE())</f>
        <v>0.938024537404291</v>
      </c>
      <c r="E37" s="44">
        <f>VLOOKUP(C37,OIS_Curve!$B$19:$D$58,3,FALSE())</f>
        <v>0.929946507172944</v>
      </c>
      <c r="F37" s="45">
        <f>Par_Rates!$E$7</f>
        <v>0.036400127403092</v>
      </c>
      <c r="G37" s="44">
        <f t="shared" si="12"/>
        <v>0.99098203194575</v>
      </c>
      <c r="H37" s="56">
        <f>IF(B37=0,0,(Parameters!$C$5/Parameters!$C$4)*(1-EXP(-Parameters!$C$4*0.25))*SQRT((1-EXP(-2*Parameters!$C$4*B37))/(2*Parameters!$C$4)))</f>
        <v>0.00229257148854877</v>
      </c>
      <c r="I37" s="57">
        <f t="shared" si="13"/>
        <v>0.179912110219567</v>
      </c>
      <c r="J37" s="57">
        <f t="shared" si="14"/>
        <v>0.429510889425907</v>
      </c>
      <c r="K37" s="57">
        <f t="shared" si="15"/>
        <v>0.428610783877815</v>
      </c>
      <c r="L37" s="58">
        <f t="shared" si="16"/>
        <v>0.000679514841992474</v>
      </c>
      <c r="M37" s="43">
        <f t="shared" si="17"/>
        <v>6.79514841992474</v>
      </c>
    </row>
    <row r="38" ht="15.75" customHeight="1" spans="2:13">
      <c r="B38" s="16">
        <v>2</v>
      </c>
      <c r="C38" s="16">
        <v>2.25</v>
      </c>
      <c r="D38" s="49">
        <f>VLOOKUP(B38,OIS_Curve!$B$19:$D$58,3,FALSE())</f>
        <v>0.929946507172944</v>
      </c>
      <c r="E38" s="49">
        <f>VLOOKUP(C38,OIS_Curve!$B$19:$D$58,3,FALSE())</f>
        <v>0.92179826516081</v>
      </c>
      <c r="F38" s="50">
        <f>Par_Rates!$E$7</f>
        <v>0.036400127403092</v>
      </c>
      <c r="G38" s="49">
        <f t="shared" si="12"/>
        <v>0.99098203194575</v>
      </c>
      <c r="H38" s="59">
        <f>IF(B38=0,0,(Parameters!$C$5/Parameters!$C$4)*(1-EXP(-Parameters!$C$4*0.25))*SQRT((1-EXP(-2*Parameters!$C$4*B38))/(2*Parameters!$C$4)))</f>
        <v>0.00240650470624022</v>
      </c>
      <c r="I38" s="60">
        <f t="shared" si="13"/>
        <v>0.10849953112247</v>
      </c>
      <c r="J38" s="60">
        <f t="shared" si="14"/>
        <v>0.45775427201658</v>
      </c>
      <c r="K38" s="60">
        <f t="shared" si="15"/>
        <v>0.456799726214978</v>
      </c>
      <c r="L38" s="61">
        <f t="shared" si="16"/>
        <v>0.000777975366905</v>
      </c>
      <c r="M38" s="41">
        <f t="shared" si="17"/>
        <v>7.77975366905001</v>
      </c>
    </row>
    <row r="39" ht="15.75" customHeight="1" spans="2:13">
      <c r="B39" s="12">
        <v>2.25</v>
      </c>
      <c r="C39" s="12">
        <v>2.5</v>
      </c>
      <c r="D39" s="44">
        <f>VLOOKUP(B39,OIS_Curve!$B$19:$D$58,3,FALSE())</f>
        <v>0.92179826516081</v>
      </c>
      <c r="E39" s="44">
        <f>VLOOKUP(C39,OIS_Curve!$B$19:$D$58,3,FALSE())</f>
        <v>0.913777839413286</v>
      </c>
      <c r="F39" s="45">
        <f>Par_Rates!$E$7</f>
        <v>0.036400127403092</v>
      </c>
      <c r="G39" s="44">
        <f t="shared" si="12"/>
        <v>0.99098203194575</v>
      </c>
      <c r="H39" s="56">
        <f>IF(B39=0,0,(Parameters!$C$5/Parameters!$C$4)*(1-EXP(-Parameters!$C$4*0.25))*SQRT((1-EXP(-2*Parameters!$C$4*B39))/(2*Parameters!$C$4)))</f>
        <v>0.00250696247926221</v>
      </c>
      <c r="I39" s="57">
        <f t="shared" si="13"/>
        <v>0.128880277614974</v>
      </c>
      <c r="J39" s="57">
        <f t="shared" si="14"/>
        <v>0.449718212110534</v>
      </c>
      <c r="K39" s="57">
        <f t="shared" si="15"/>
        <v>0.448726191343801</v>
      </c>
      <c r="L39" s="58">
        <f t="shared" si="16"/>
        <v>0.000782077008964835</v>
      </c>
      <c r="M39" s="43">
        <f t="shared" si="17"/>
        <v>7.82077008964835</v>
      </c>
    </row>
    <row r="40" ht="15.75" customHeight="1" spans="2:13">
      <c r="B40" s="16">
        <v>2.5</v>
      </c>
      <c r="C40" s="16">
        <v>2.75</v>
      </c>
      <c r="D40" s="49">
        <f>VLOOKUP(B40,OIS_Curve!$B$19:$D$58,3,FALSE())</f>
        <v>0.913777839413286</v>
      </c>
      <c r="E40" s="49">
        <f>VLOOKUP(C40,OIS_Curve!$B$19:$D$58,3,FALSE())</f>
        <v>0.905883131631225</v>
      </c>
      <c r="F40" s="50">
        <f>Par_Rates!$E$7</f>
        <v>0.036400127403092</v>
      </c>
      <c r="G40" s="49">
        <f t="shared" si="12"/>
        <v>0.99098203194575</v>
      </c>
      <c r="H40" s="59">
        <f>IF(B40=0,0,(Parameters!$C$5/Parameters!$C$4)*(1-EXP(-Parameters!$C$4*0.25))*SQRT((1-EXP(-2*Parameters!$C$4*B40))/(2*Parameters!$C$4)))</f>
        <v>0.00259613811887088</v>
      </c>
      <c r="I40" s="60">
        <f t="shared" si="13"/>
        <v>0.148324984587041</v>
      </c>
      <c r="J40" s="60">
        <f t="shared" si="14"/>
        <v>0.442067724136379</v>
      </c>
      <c r="K40" s="60">
        <f t="shared" si="15"/>
        <v>0.441043149295645</v>
      </c>
      <c r="L40" s="61">
        <f t="shared" si="16"/>
        <v>0.000782372543456416</v>
      </c>
      <c r="M40" s="41">
        <f t="shared" si="17"/>
        <v>7.82372543456416</v>
      </c>
    </row>
    <row r="41" ht="15.75" customHeight="1" spans="2:13">
      <c r="B41" s="12">
        <v>2.75</v>
      </c>
      <c r="C41" s="12">
        <v>3</v>
      </c>
      <c r="D41" s="44">
        <f>VLOOKUP(B41,OIS_Curve!$B$19:$D$58,3,FALSE())</f>
        <v>0.905883131631225</v>
      </c>
      <c r="E41" s="44">
        <f>VLOOKUP(C41,OIS_Curve!$B$19:$D$58,3,FALSE())</f>
        <v>0.898112084896219</v>
      </c>
      <c r="F41" s="45">
        <f>Par_Rates!$E$7</f>
        <v>0.036400127403092</v>
      </c>
      <c r="G41" s="44">
        <f t="shared" si="12"/>
        <v>0.99098203194575</v>
      </c>
      <c r="H41" s="56">
        <f>IF(B41=0,0,(Parameters!$C$5/Parameters!$C$4)*(1-EXP(-Parameters!$C$4*0.25))*SQRT((1-EXP(-2*Parameters!$C$4*B41))/(2*Parameters!$C$4)))</f>
        <v>0.0026757220227115</v>
      </c>
      <c r="I41" s="57">
        <f t="shared" si="13"/>
        <v>0.167068368955094</v>
      </c>
      <c r="J41" s="57">
        <f t="shared" si="14"/>
        <v>0.434711025863033</v>
      </c>
      <c r="K41" s="57">
        <f t="shared" si="15"/>
        <v>0.43365812704952</v>
      </c>
      <c r="L41" s="58">
        <f t="shared" si="16"/>
        <v>0.000779558639746714</v>
      </c>
      <c r="M41" s="43">
        <f t="shared" si="17"/>
        <v>7.79558639746714</v>
      </c>
    </row>
    <row r="42" ht="15.75" customHeight="1" spans="2:13">
      <c r="B42" s="16">
        <v>3</v>
      </c>
      <c r="C42" s="16">
        <v>3.25</v>
      </c>
      <c r="D42" s="49">
        <f>VLOOKUP(B42,OIS_Curve!$B$19:$D$58,3,FALSE())</f>
        <v>0.898112084896219</v>
      </c>
      <c r="E42" s="49">
        <f>VLOOKUP(C42,OIS_Curve!$B$19:$D$58,3,FALSE())</f>
        <v>0.890040326710701</v>
      </c>
      <c r="F42" s="50">
        <f>Par_Rates!$E$7</f>
        <v>0.036400127403092</v>
      </c>
      <c r="G42" s="49">
        <f t="shared" si="12"/>
        <v>0.99098203194575</v>
      </c>
      <c r="H42" s="59">
        <f>IF(B42=0,0,(Parameters!$C$5/Parameters!$C$4)*(1-EXP(-Parameters!$C$4*0.25))*SQRT((1-EXP(-2*Parameters!$C$4*B42))/(2*Parameters!$C$4)))</f>
        <v>0.00274705269428857</v>
      </c>
      <c r="I42" s="60">
        <f t="shared" si="13"/>
        <v>0.0125753523753357</v>
      </c>
      <c r="J42" s="60">
        <f t="shared" si="14"/>
        <v>0.496079138835783</v>
      </c>
      <c r="K42" s="60">
        <f t="shared" si="15"/>
        <v>0.49498329247014</v>
      </c>
      <c r="L42" s="61">
        <f t="shared" si="16"/>
        <v>0.000970512943591556</v>
      </c>
      <c r="M42" s="41">
        <f t="shared" si="17"/>
        <v>9.70512943591556</v>
      </c>
    </row>
    <row r="43" ht="15.75" customHeight="1" spans="2:13">
      <c r="B43" s="12">
        <v>3.25</v>
      </c>
      <c r="C43" s="12">
        <v>3.5</v>
      </c>
      <c r="D43" s="44">
        <f>VLOOKUP(B43,OIS_Curve!$B$19:$D$58,3,FALSE())</f>
        <v>0.890040326710701</v>
      </c>
      <c r="E43" s="44">
        <f>VLOOKUP(C43,OIS_Curve!$B$19:$D$58,3,FALSE())</f>
        <v>0.882031197720876</v>
      </c>
      <c r="F43" s="45">
        <f>Par_Rates!$E$7</f>
        <v>0.036400127403092</v>
      </c>
      <c r="G43" s="44">
        <f t="shared" si="12"/>
        <v>0.99098203194575</v>
      </c>
      <c r="H43" s="56">
        <f>IF(B43=0,0,(Parameters!$C$5/Parameters!$C$4)*(1-EXP(-Parameters!$C$4*0.25))*SQRT((1-EXP(-2*Parameters!$C$4*B43))/(2*Parameters!$C$4)))</f>
        <v>0.00281121313207036</v>
      </c>
      <c r="I43" s="57">
        <f t="shared" si="13"/>
        <v>0.00835292334590186</v>
      </c>
      <c r="J43" s="57">
        <f t="shared" si="14"/>
        <v>0.497789188805848</v>
      </c>
      <c r="K43" s="57">
        <f t="shared" si="15"/>
        <v>0.496667704462194</v>
      </c>
      <c r="L43" s="58">
        <f t="shared" si="16"/>
        <v>0.000989532715524549</v>
      </c>
      <c r="M43" s="43">
        <f t="shared" si="17"/>
        <v>9.89532715524549</v>
      </c>
    </row>
    <row r="44" ht="15.75" customHeight="1" spans="2:13">
      <c r="B44" s="16">
        <v>3.5</v>
      </c>
      <c r="C44" s="16">
        <v>3.75</v>
      </c>
      <c r="D44" s="49">
        <f>VLOOKUP(B44,OIS_Curve!$B$19:$D$58,3,FALSE())</f>
        <v>0.882031197720876</v>
      </c>
      <c r="E44" s="49">
        <f>VLOOKUP(C44,OIS_Curve!$B$19:$D$58,3,FALSE())</f>
        <v>0.874084313610749</v>
      </c>
      <c r="F44" s="50">
        <f>Par_Rates!$E$7</f>
        <v>0.036400127403092</v>
      </c>
      <c r="G44" s="49">
        <f t="shared" si="12"/>
        <v>0.99098203194575</v>
      </c>
      <c r="H44" s="59">
        <f>IF(B44=0,0,(Parameters!$C$5/Parameters!$C$4)*(1-EXP(-Parameters!$C$4*0.25))*SQRT((1-EXP(-2*Parameters!$C$4*B44))/(2*Parameters!$C$4)))</f>
        <v>0.0028690951260356</v>
      </c>
      <c r="I44" s="60">
        <f t="shared" si="13"/>
        <v>0.00432353157798164</v>
      </c>
      <c r="J44" s="60">
        <f t="shared" si="14"/>
        <v>0.499419764009732</v>
      </c>
      <c r="K44" s="60">
        <f t="shared" si="15"/>
        <v>0.498275165826593</v>
      </c>
      <c r="L44" s="61">
        <f t="shared" si="16"/>
        <v>0.00100592842462208</v>
      </c>
      <c r="M44" s="41">
        <f t="shared" si="17"/>
        <v>10.0592842462208</v>
      </c>
    </row>
    <row r="45" ht="15.75" customHeight="1" spans="2:13">
      <c r="B45" s="12">
        <v>3.75</v>
      </c>
      <c r="C45" s="12">
        <v>4</v>
      </c>
      <c r="D45" s="44">
        <f>VLOOKUP(B45,OIS_Curve!$B$19:$D$58,3,FALSE())</f>
        <v>0.874084313610749</v>
      </c>
      <c r="E45" s="44">
        <f>VLOOKUP(C45,OIS_Curve!$B$19:$D$58,3,FALSE())</f>
        <v>0.866199291435047</v>
      </c>
      <c r="F45" s="45">
        <f>Par_Rates!$E$7</f>
        <v>0.036400127403092</v>
      </c>
      <c r="G45" s="44">
        <f t="shared" si="12"/>
        <v>0.99098203194575</v>
      </c>
      <c r="H45" s="56">
        <f>IF(B45=0,0,(Parameters!$C$5/Parameters!$C$4)*(1-EXP(-Parameters!$C$4*0.25))*SQRT((1-EXP(-2*Parameters!$C$4*B45))/(2*Parameters!$C$4)))</f>
        <v>0.00292144373716899</v>
      </c>
      <c r="I45" s="57">
        <f t="shared" si="13"/>
        <v>0.000449972212995959</v>
      </c>
      <c r="J45" s="57">
        <f t="shared" si="14"/>
        <v>0.500985973482051</v>
      </c>
      <c r="K45" s="57">
        <f t="shared" si="15"/>
        <v>0.499820487065288</v>
      </c>
      <c r="L45" s="58">
        <f t="shared" si="16"/>
        <v>0.00102002344855338</v>
      </c>
      <c r="M45" s="43">
        <f t="shared" si="17"/>
        <v>10.2002344855338</v>
      </c>
    </row>
    <row r="46" ht="15.75" customHeight="1" spans="2:13">
      <c r="B46" s="16">
        <v>4</v>
      </c>
      <c r="C46" s="16">
        <v>4.25</v>
      </c>
      <c r="D46" s="49">
        <f>VLOOKUP(B46,OIS_Curve!$B$19:$D$58,3,FALSE())</f>
        <v>0.866199291435047</v>
      </c>
      <c r="E46" s="49">
        <f>VLOOKUP(C46,OIS_Curve!$B$19:$D$58,3,FALSE())</f>
        <v>0.859004040505197</v>
      </c>
      <c r="F46" s="50">
        <f>Par_Rates!$E$7</f>
        <v>0.036400127403092</v>
      </c>
      <c r="G46" s="49">
        <f t="shared" si="12"/>
        <v>0.99098203194575</v>
      </c>
      <c r="H46" s="59">
        <f>IF(B46=0,0,(Parameters!$C$5/Parameters!$C$4)*(1-EXP(-Parameters!$C$4*0.25))*SQRT((1-EXP(-2*Parameters!$C$4*B46))/(2*Parameters!$C$4)))</f>
        <v>0.00296888902340066</v>
      </c>
      <c r="I46" s="60">
        <f t="shared" si="13"/>
        <v>0.24315430349389</v>
      </c>
      <c r="J46" s="60">
        <f t="shared" si="14"/>
        <v>0.405093260172229</v>
      </c>
      <c r="K46" s="60">
        <f t="shared" si="15"/>
        <v>0.403942932565466</v>
      </c>
      <c r="L46" s="61">
        <f t="shared" si="16"/>
        <v>0.000745276305202527</v>
      </c>
      <c r="M46" s="41">
        <f t="shared" si="17"/>
        <v>7.45276305202527</v>
      </c>
    </row>
    <row r="47" ht="15.75" customHeight="1" spans="2:13">
      <c r="B47" s="12">
        <v>4.25</v>
      </c>
      <c r="C47" s="12">
        <v>4.5</v>
      </c>
      <c r="D47" s="44">
        <f>VLOOKUP(B47,OIS_Curve!$B$19:$D$58,3,FALSE())</f>
        <v>0.859004040505197</v>
      </c>
      <c r="E47" s="44">
        <f>VLOOKUP(C47,OIS_Curve!$B$19:$D$58,3,FALSE())</f>
        <v>0.851932313707466</v>
      </c>
      <c r="F47" s="45">
        <f>Par_Rates!$E$7</f>
        <v>0.036400127403092</v>
      </c>
      <c r="G47" s="44">
        <f t="shared" si="12"/>
        <v>0.99098203194575</v>
      </c>
      <c r="H47" s="56">
        <f>IF(B47=0,0,(Parameters!$C$5/Parameters!$C$4)*(1-EXP(-Parameters!$C$4*0.25))*SQRT((1-EXP(-2*Parameters!$C$4*B47))/(2*Parameters!$C$4)))</f>
        <v>0.00301196926646191</v>
      </c>
      <c r="I47" s="57">
        <f t="shared" si="13"/>
        <v>0.264566442905506</v>
      </c>
      <c r="J47" s="57">
        <f t="shared" si="14"/>
        <v>0.396832473547772</v>
      </c>
      <c r="K47" s="57">
        <f t="shared" si="15"/>
        <v>0.395671736930131</v>
      </c>
      <c r="L47" s="58">
        <f t="shared" si="16"/>
        <v>0.000727670734599737</v>
      </c>
      <c r="M47" s="43">
        <f t="shared" si="17"/>
        <v>7.27670734599737</v>
      </c>
    </row>
    <row r="48" ht="15.75" customHeight="1" spans="2:13">
      <c r="B48" s="16">
        <v>4.5</v>
      </c>
      <c r="C48" s="16">
        <v>4.75</v>
      </c>
      <c r="D48" s="49">
        <f>VLOOKUP(B48,OIS_Curve!$B$19:$D$58,3,FALSE())</f>
        <v>0.851932313707466</v>
      </c>
      <c r="E48" s="49">
        <f>VLOOKUP(C48,OIS_Curve!$B$19:$D$58,3,FALSE())</f>
        <v>0.844982039968139</v>
      </c>
      <c r="F48" s="50">
        <f>Par_Rates!$E$7</f>
        <v>0.036400127403092</v>
      </c>
      <c r="G48" s="49">
        <f t="shared" si="12"/>
        <v>0.99098203194575</v>
      </c>
      <c r="H48" s="59">
        <f>IF(B48=0,0,(Parameters!$C$5/Parameters!$C$4)*(1-EXP(-Parameters!$C$4*0.25))*SQRT((1-EXP(-2*Parameters!$C$4*B48))/(2*Parameters!$C$4)))</f>
        <v>0.00305114836324089</v>
      </c>
      <c r="I48" s="60">
        <f t="shared" si="13"/>
        <v>0.285736283141139</v>
      </c>
      <c r="J48" s="60">
        <f t="shared" si="14"/>
        <v>0.38870910619759</v>
      </c>
      <c r="K48" s="60">
        <f t="shared" si="15"/>
        <v>0.38754005640123</v>
      </c>
      <c r="L48" s="61">
        <f t="shared" si="16"/>
        <v>0.000709524419213191</v>
      </c>
      <c r="M48" s="41">
        <f t="shared" si="17"/>
        <v>7.09524419213191</v>
      </c>
    </row>
    <row r="49" ht="15.75" customHeight="1" spans="2:13">
      <c r="B49" s="12">
        <v>4.75</v>
      </c>
      <c r="C49" s="12">
        <v>5</v>
      </c>
      <c r="D49" s="44">
        <f>VLOOKUP(B49,OIS_Curve!$B$19:$D$58,3,FALSE())</f>
        <v>0.844982039968139</v>
      </c>
      <c r="E49" s="44">
        <f>VLOOKUP(C49,OIS_Curve!$B$19:$D$58,3,FALSE())</f>
        <v>0.838151192344588</v>
      </c>
      <c r="F49" s="45">
        <f>Par_Rates!$E$7</f>
        <v>0.036400127403092</v>
      </c>
      <c r="G49" s="44">
        <f t="shared" si="12"/>
        <v>0.99098203194575</v>
      </c>
      <c r="H49" s="56">
        <f>IF(B49=0,0,(Parameters!$C$5/Parameters!$C$4)*(1-EXP(-Parameters!$C$4*0.25))*SQRT((1-EXP(-2*Parameters!$C$4*B49))/(2*Parameters!$C$4)))</f>
        <v>0.00308682910548797</v>
      </c>
      <c r="I49" s="57">
        <f t="shared" si="13"/>
        <v>0.3067135523169</v>
      </c>
      <c r="J49" s="57">
        <f t="shared" si="14"/>
        <v>0.380706144991097</v>
      </c>
      <c r="K49" s="57">
        <f t="shared" si="15"/>
        <v>0.379530706708126</v>
      </c>
      <c r="L49" s="58">
        <f t="shared" si="16"/>
        <v>0.000690983091655954</v>
      </c>
      <c r="M49" s="43">
        <f t="shared" si="17"/>
        <v>6.90983091655954</v>
      </c>
    </row>
    <row r="50" ht="19.5" customHeight="1" spans="2:13">
      <c r="B50" s="51" t="s">
        <v>134</v>
      </c>
      <c r="C50" s="51"/>
      <c r="D50" s="51"/>
      <c r="E50" s="51"/>
      <c r="F50" s="51"/>
      <c r="G50" s="51"/>
      <c r="H50" s="51"/>
      <c r="I50" s="51"/>
      <c r="J50" s="51"/>
      <c r="K50" s="51"/>
      <c r="L50" s="54">
        <f>SUM(L31:L49)</f>
        <v>0.0142462918525637</v>
      </c>
      <c r="M50" s="55">
        <f>SUM(M31:M49)</f>
        <v>142.462918525637</v>
      </c>
    </row>
    <row r="52" ht="19.5" customHeight="1" spans="2:13">
      <c r="B52" s="10" t="s">
        <v>135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ht="19.5" customHeight="1" spans="2:13">
      <c r="B53" s="4" t="s">
        <v>18</v>
      </c>
      <c r="C53" s="4" t="s">
        <v>19</v>
      </c>
      <c r="D53" s="4" t="s">
        <v>120</v>
      </c>
      <c r="E53" s="4" t="s">
        <v>121</v>
      </c>
      <c r="F53" s="4" t="s">
        <v>122</v>
      </c>
      <c r="G53" s="4" t="s">
        <v>123</v>
      </c>
      <c r="H53" s="4" t="s">
        <v>124</v>
      </c>
      <c r="I53" s="4" t="s">
        <v>125</v>
      </c>
      <c r="J53" s="4" t="s">
        <v>126</v>
      </c>
      <c r="K53" s="4" t="s">
        <v>127</v>
      </c>
      <c r="L53" s="4" t="s">
        <v>128</v>
      </c>
      <c r="M53" s="4" t="s">
        <v>129</v>
      </c>
    </row>
    <row r="54" ht="15.75" customHeight="1" spans="2:13">
      <c r="B54" s="16">
        <v>0.25</v>
      </c>
      <c r="C54" s="16">
        <v>0.5</v>
      </c>
      <c r="D54" s="49">
        <f>VLOOKUP(B54,OIS_Curve!$B$19:$D$58,3,FALSE())</f>
        <v>0.989731535321044</v>
      </c>
      <c r="E54" s="49">
        <f>VLOOKUP(C54,OIS_Curve!$B$19:$D$58,3,FALSE())</f>
        <v>0.980392156862745</v>
      </c>
      <c r="F54" s="50">
        <f>Par_Rates!$E$8</f>
        <v>0.0362002014003943</v>
      </c>
      <c r="G54" s="49">
        <f t="shared" ref="G54:G80" si="18">1/(1+F54*0.25)</f>
        <v>0.991031118479248</v>
      </c>
      <c r="H54" s="59">
        <f>IF(B54=0,0,(Parameters!$C$5/Parameters!$C$4)*(1-EXP(-Parameters!$C$4*0.25))*SQRT((1-EXP(-2*Parameters!$C$4*B54))/(2*Parameters!$C$4)))</f>
        <v>0.000972413048041604</v>
      </c>
      <c r="I54" s="60">
        <f t="shared" ref="I54:I80" si="19">IF(H54=0,0,(1/H54)*LN(E54/(D54*G54))+H54/2)</f>
        <v>-0.484630862971098</v>
      </c>
      <c r="J54" s="60">
        <f t="shared" ref="J54:J80" si="20">NORMSDIST(-I54+H54)</f>
        <v>0.686375763359808</v>
      </c>
      <c r="K54" s="60">
        <f t="shared" ref="K54:K80" si="21">NORMSDIST(-I54)</f>
        <v>0.686030891539778</v>
      </c>
      <c r="L54" s="61">
        <f t="shared" ref="L54:L80" si="22">IF(H54=0,0,(1+F54*0.25)*(G54*D54*J54-E54*K54))</f>
        <v>0.000661556067515558</v>
      </c>
      <c r="M54" s="41">
        <f t="shared" ref="M54:M80" si="23">L54*10000</f>
        <v>6.61556067515558</v>
      </c>
    </row>
    <row r="55" ht="15.75" customHeight="1" spans="2:13">
      <c r="B55" s="12">
        <v>0.5</v>
      </c>
      <c r="C55" s="12">
        <v>0.75</v>
      </c>
      <c r="D55" s="44">
        <f>VLOOKUP(B55,OIS_Curve!$B$19:$D$58,3,FALSE())</f>
        <v>0.980392156862745</v>
      </c>
      <c r="E55" s="44">
        <f>VLOOKUP(C55,OIS_Curve!$B$19:$D$58,3,FALSE())</f>
        <v>0.971573953796494</v>
      </c>
      <c r="F55" s="45">
        <f>Par_Rates!$E$8</f>
        <v>0.0362002014003943</v>
      </c>
      <c r="G55" s="44">
        <f t="shared" si="18"/>
        <v>0.991031118479248</v>
      </c>
      <c r="H55" s="56">
        <f>IF(B55=0,0,(Parameters!$C$5/Parameters!$C$4)*(1-EXP(-Parameters!$C$4*0.25))*SQRT((1-EXP(-2*Parameters!$C$4*B55))/(2*Parameters!$C$4)))</f>
        <v>0.00134810013785897</v>
      </c>
      <c r="I55" s="57">
        <f t="shared" si="19"/>
        <v>-0.0185518204801652</v>
      </c>
      <c r="J55" s="57">
        <f t="shared" si="20"/>
        <v>0.507938395764533</v>
      </c>
      <c r="K55" s="57">
        <f t="shared" si="21"/>
        <v>0.507400681050068</v>
      </c>
      <c r="L55" s="58">
        <f t="shared" si="22"/>
        <v>0.000540064271776305</v>
      </c>
      <c r="M55" s="43">
        <f t="shared" si="23"/>
        <v>5.40064271776305</v>
      </c>
    </row>
    <row r="56" ht="15.75" customHeight="1" spans="2:13">
      <c r="B56" s="16">
        <v>0.75</v>
      </c>
      <c r="C56" s="16">
        <v>1</v>
      </c>
      <c r="D56" s="49">
        <f>VLOOKUP(B56,OIS_Curve!$B$19:$D$58,3,FALSE())</f>
        <v>0.971573953796494</v>
      </c>
      <c r="E56" s="49">
        <f>VLOOKUP(C56,OIS_Curve!$B$19:$D$58,3,FALSE())</f>
        <v>0.963391136801541</v>
      </c>
      <c r="F56" s="50">
        <f>Par_Rates!$E$8</f>
        <v>0.0362002014003943</v>
      </c>
      <c r="G56" s="49">
        <f t="shared" si="18"/>
        <v>0.991031118479248</v>
      </c>
      <c r="H56" s="59">
        <f>IF(B56=0,0,(Parameters!$C$5/Parameters!$C$4)*(1-EXP(-Parameters!$C$4*0.25))*SQRT((1-EXP(-2*Parameters!$C$4*B56))/(2*Parameters!$C$4)))</f>
        <v>0.00161898747133126</v>
      </c>
      <c r="I56" s="60">
        <f t="shared" si="19"/>
        <v>0.341423039666252</v>
      </c>
      <c r="J56" s="60">
        <f t="shared" si="20"/>
        <v>0.367002048051696</v>
      </c>
      <c r="K56" s="60">
        <f t="shared" si="21"/>
        <v>0.366392566432342</v>
      </c>
      <c r="L56" s="61">
        <f t="shared" si="22"/>
        <v>0.000395798886191565</v>
      </c>
      <c r="M56" s="41">
        <f t="shared" si="23"/>
        <v>3.95798886191565</v>
      </c>
    </row>
    <row r="57" ht="15.75" customHeight="1" spans="2:13">
      <c r="B57" s="12">
        <v>1</v>
      </c>
      <c r="C57" s="12">
        <v>1.25</v>
      </c>
      <c r="D57" s="44">
        <f>VLOOKUP(B57,OIS_Curve!$B$19:$D$58,3,FALSE())</f>
        <v>0.963391136801541</v>
      </c>
      <c r="E57" s="44">
        <f>VLOOKUP(C57,OIS_Curve!$B$19:$D$58,3,FALSE())</f>
        <v>0.954743122287646</v>
      </c>
      <c r="F57" s="45">
        <f>Par_Rates!$E$8</f>
        <v>0.0362002014003943</v>
      </c>
      <c r="G57" s="44">
        <f t="shared" si="18"/>
        <v>0.991031118479248</v>
      </c>
      <c r="H57" s="56">
        <f>IF(B57=0,0,(Parameters!$C$5/Parameters!$C$4)*(1-EXP(-Parameters!$C$4*0.25))*SQRT((1-EXP(-2*Parameters!$C$4*B57))/(2*Parameters!$C$4)))</f>
        <v>0.00183361305631501</v>
      </c>
      <c r="I57" s="57">
        <f t="shared" si="19"/>
        <v>-0.00335224110481618</v>
      </c>
      <c r="J57" s="57">
        <f t="shared" si="20"/>
        <v>0.50206884721192</v>
      </c>
      <c r="K57" s="57">
        <f t="shared" si="21"/>
        <v>0.501337348206064</v>
      </c>
      <c r="L57" s="58">
        <f t="shared" si="22"/>
        <v>0.000708500336902706</v>
      </c>
      <c r="M57" s="43">
        <f t="shared" si="23"/>
        <v>7.08500336902706</v>
      </c>
    </row>
    <row r="58" ht="15.75" customHeight="1" spans="2:13">
      <c r="B58" s="16">
        <v>1.25</v>
      </c>
      <c r="C58" s="16">
        <v>1.5</v>
      </c>
      <c r="D58" s="49">
        <f>VLOOKUP(B58,OIS_Curve!$B$19:$D$58,3,FALSE())</f>
        <v>0.954743122287646</v>
      </c>
      <c r="E58" s="49">
        <f>VLOOKUP(C58,OIS_Curve!$B$19:$D$58,3,FALSE())</f>
        <v>0.946288849612581</v>
      </c>
      <c r="F58" s="50">
        <f>Par_Rates!$E$8</f>
        <v>0.0362002014003943</v>
      </c>
      <c r="G58" s="49">
        <f t="shared" si="18"/>
        <v>0.991031118479248</v>
      </c>
      <c r="H58" s="59">
        <f>IF(B58=0,0,(Parameters!$C$5/Parameters!$C$4)*(1-EXP(-Parameters!$C$4*0.25))*SQRT((1-EXP(-2*Parameters!$C$4*B58))/(2*Parameters!$C$4)))</f>
        <v>0.00201129786471566</v>
      </c>
      <c r="I58" s="60">
        <f t="shared" si="19"/>
        <v>0.0581239703272708</v>
      </c>
      <c r="J58" s="60">
        <f t="shared" si="20"/>
        <v>0.477626024340004</v>
      </c>
      <c r="K58" s="60">
        <f t="shared" si="21"/>
        <v>0.476824940553492</v>
      </c>
      <c r="L58" s="61">
        <f t="shared" si="22"/>
        <v>0.000712526756194257</v>
      </c>
      <c r="M58" s="41">
        <f t="shared" si="23"/>
        <v>7.12526756194257</v>
      </c>
    </row>
    <row r="59" ht="15.75" customHeight="1" spans="2:13">
      <c r="B59" s="12">
        <v>1.5</v>
      </c>
      <c r="C59" s="12">
        <v>1.75</v>
      </c>
      <c r="D59" s="44">
        <f>VLOOKUP(B59,OIS_Curve!$B$19:$D$58,3,FALSE())</f>
        <v>0.946288849612581</v>
      </c>
      <c r="E59" s="44">
        <f>VLOOKUP(C59,OIS_Curve!$B$19:$D$58,3,FALSE())</f>
        <v>0.938024537404291</v>
      </c>
      <c r="F59" s="45">
        <f>Par_Rates!$E$8</f>
        <v>0.0362002014003943</v>
      </c>
      <c r="G59" s="44">
        <f t="shared" si="18"/>
        <v>0.991031118479248</v>
      </c>
      <c r="H59" s="56">
        <f>IF(B59=0,0,(Parameters!$C$5/Parameters!$C$4)*(1-EXP(-Parameters!$C$4*0.25))*SQRT((1-EXP(-2*Parameters!$C$4*B59))/(2*Parameters!$C$4)))</f>
        <v>0.00216221668621274</v>
      </c>
      <c r="I59" s="57">
        <f t="shared" si="19"/>
        <v>0.110964497325619</v>
      </c>
      <c r="J59" s="57">
        <f t="shared" si="20"/>
        <v>0.456679657435585</v>
      </c>
      <c r="K59" s="57">
        <f t="shared" si="21"/>
        <v>0.455822249925873</v>
      </c>
      <c r="L59" s="58">
        <f t="shared" si="22"/>
        <v>0.000708860303687618</v>
      </c>
      <c r="M59" s="43">
        <f t="shared" si="23"/>
        <v>7.08860303687618</v>
      </c>
    </row>
    <row r="60" ht="15.75" customHeight="1" spans="2:13">
      <c r="B60" s="16">
        <v>1.75</v>
      </c>
      <c r="C60" s="16">
        <v>2</v>
      </c>
      <c r="D60" s="49">
        <f>VLOOKUP(B60,OIS_Curve!$B$19:$D$58,3,FALSE())</f>
        <v>0.938024537404291</v>
      </c>
      <c r="E60" s="49">
        <f>VLOOKUP(C60,OIS_Curve!$B$19:$D$58,3,FALSE())</f>
        <v>0.929946507172944</v>
      </c>
      <c r="F60" s="50">
        <f>Par_Rates!$E$8</f>
        <v>0.0362002014003943</v>
      </c>
      <c r="G60" s="49">
        <f t="shared" si="18"/>
        <v>0.991031118479248</v>
      </c>
      <c r="H60" s="59">
        <f>IF(B60=0,0,(Parameters!$C$5/Parameters!$C$4)*(1-EXP(-Parameters!$C$4*0.25))*SQRT((1-EXP(-2*Parameters!$C$4*B60))/(2*Parameters!$C$4)))</f>
        <v>0.00229257148854877</v>
      </c>
      <c r="I60" s="60">
        <f t="shared" si="19"/>
        <v>0.158306678923678</v>
      </c>
      <c r="J60" s="60">
        <f t="shared" si="20"/>
        <v>0.438010950631602</v>
      </c>
      <c r="K60" s="60">
        <f t="shared" si="21"/>
        <v>0.43710757274412</v>
      </c>
      <c r="L60" s="61">
        <f t="shared" si="22"/>
        <v>0.000699634067523881</v>
      </c>
      <c r="M60" s="41">
        <f t="shared" si="23"/>
        <v>6.99634067523881</v>
      </c>
    </row>
    <row r="61" ht="15.75" customHeight="1" spans="2:13">
      <c r="B61" s="12">
        <v>2</v>
      </c>
      <c r="C61" s="12">
        <v>2.25</v>
      </c>
      <c r="D61" s="44">
        <f>VLOOKUP(B61,OIS_Curve!$B$19:$D$58,3,FALSE())</f>
        <v>0.929946507172944</v>
      </c>
      <c r="E61" s="44">
        <f>VLOOKUP(C61,OIS_Curve!$B$19:$D$58,3,FALSE())</f>
        <v>0.92179826516081</v>
      </c>
      <c r="F61" s="45">
        <f>Par_Rates!$E$8</f>
        <v>0.0362002014003943</v>
      </c>
      <c r="G61" s="44">
        <f t="shared" si="18"/>
        <v>0.991031118479248</v>
      </c>
      <c r="H61" s="56">
        <f>IF(B61=0,0,(Parameters!$C$5/Parameters!$C$4)*(1-EXP(-Parameters!$C$4*0.25))*SQRT((1-EXP(-2*Parameters!$C$4*B61))/(2*Parameters!$C$4)))</f>
        <v>0.00240650470624022</v>
      </c>
      <c r="I61" s="57">
        <f t="shared" si="19"/>
        <v>0.0879169843032791</v>
      </c>
      <c r="J61" s="57">
        <f t="shared" si="20"/>
        <v>0.465927782237176</v>
      </c>
      <c r="K61" s="57">
        <f t="shared" si="21"/>
        <v>0.464971328676849</v>
      </c>
      <c r="L61" s="58">
        <f t="shared" si="22"/>
        <v>0.000799209616596885</v>
      </c>
      <c r="M61" s="43">
        <f t="shared" si="23"/>
        <v>7.99209616596885</v>
      </c>
    </row>
    <row r="62" ht="15.75" customHeight="1" spans="2:13">
      <c r="B62" s="16">
        <v>2.25</v>
      </c>
      <c r="C62" s="16">
        <v>2.5</v>
      </c>
      <c r="D62" s="49">
        <f>VLOOKUP(B62,OIS_Curve!$B$19:$D$58,3,FALSE())</f>
        <v>0.92179826516081</v>
      </c>
      <c r="E62" s="49">
        <f>VLOOKUP(C62,OIS_Curve!$B$19:$D$58,3,FALSE())</f>
        <v>0.913777839413286</v>
      </c>
      <c r="F62" s="50">
        <f>Par_Rates!$E$8</f>
        <v>0.0362002014003943</v>
      </c>
      <c r="G62" s="49">
        <f t="shared" si="18"/>
        <v>0.991031118479248</v>
      </c>
      <c r="H62" s="59">
        <f>IF(B62=0,0,(Parameters!$C$5/Parameters!$C$4)*(1-EXP(-Parameters!$C$4*0.25))*SQRT((1-EXP(-2*Parameters!$C$4*B62))/(2*Parameters!$C$4)))</f>
        <v>0.00250696247926221</v>
      </c>
      <c r="I62" s="60">
        <f t="shared" si="19"/>
        <v>0.109122504534362</v>
      </c>
      <c r="J62" s="60">
        <f t="shared" si="20"/>
        <v>0.457546994044463</v>
      </c>
      <c r="K62" s="60">
        <f t="shared" si="21"/>
        <v>0.456552662718994</v>
      </c>
      <c r="L62" s="61">
        <f t="shared" si="22"/>
        <v>0.000802749879796134</v>
      </c>
      <c r="M62" s="41">
        <f t="shared" si="23"/>
        <v>8.02749879796134</v>
      </c>
    </row>
    <row r="63" ht="15.75" customHeight="1" spans="2:13">
      <c r="B63" s="12">
        <v>2.5</v>
      </c>
      <c r="C63" s="12">
        <v>2.75</v>
      </c>
      <c r="D63" s="44">
        <f>VLOOKUP(B63,OIS_Curve!$B$19:$D$58,3,FALSE())</f>
        <v>0.913777839413286</v>
      </c>
      <c r="E63" s="44">
        <f>VLOOKUP(C63,OIS_Curve!$B$19:$D$58,3,FALSE())</f>
        <v>0.905883131631225</v>
      </c>
      <c r="F63" s="45">
        <f>Par_Rates!$E$8</f>
        <v>0.0362002014003943</v>
      </c>
      <c r="G63" s="44">
        <f t="shared" si="18"/>
        <v>0.991031118479248</v>
      </c>
      <c r="H63" s="56">
        <f>IF(B63=0,0,(Parameters!$C$5/Parameters!$C$4)*(1-EXP(-Parameters!$C$4*0.25))*SQRT((1-EXP(-2*Parameters!$C$4*B63))/(2*Parameters!$C$4)))</f>
        <v>0.00259613811887088</v>
      </c>
      <c r="I63" s="57">
        <f t="shared" si="19"/>
        <v>0.129245878037685</v>
      </c>
      <c r="J63" s="57">
        <f t="shared" si="20"/>
        <v>0.449608813560933</v>
      </c>
      <c r="K63" s="57">
        <f t="shared" si="21"/>
        <v>0.448581547594476</v>
      </c>
      <c r="L63" s="58">
        <f t="shared" si="22"/>
        <v>0.000802512412626958</v>
      </c>
      <c r="M63" s="43">
        <f t="shared" si="23"/>
        <v>8.02512412626958</v>
      </c>
    </row>
    <row r="64" ht="15.75" customHeight="1" spans="2:13">
      <c r="B64" s="16">
        <v>2.75</v>
      </c>
      <c r="C64" s="16">
        <v>3</v>
      </c>
      <c r="D64" s="49">
        <f>VLOOKUP(B64,OIS_Curve!$B$19:$D$58,3,FALSE())</f>
        <v>0.905883131631225</v>
      </c>
      <c r="E64" s="49">
        <f>VLOOKUP(C64,OIS_Curve!$B$19:$D$58,3,FALSE())</f>
        <v>0.898112084896219</v>
      </c>
      <c r="F64" s="50">
        <f>Par_Rates!$E$8</f>
        <v>0.0362002014003943</v>
      </c>
      <c r="G64" s="49">
        <f t="shared" si="18"/>
        <v>0.991031118479248</v>
      </c>
      <c r="H64" s="59">
        <f>IF(B64=0,0,(Parameters!$C$5/Parameters!$C$4)*(1-EXP(-Parameters!$C$4*0.25))*SQRT((1-EXP(-2*Parameters!$C$4*B64))/(2*Parameters!$C$4)))</f>
        <v>0.0026757220227115</v>
      </c>
      <c r="I64" s="60">
        <f t="shared" si="19"/>
        <v>0.148556731585408</v>
      </c>
      <c r="J64" s="60">
        <f t="shared" si="20"/>
        <v>0.442007661685839</v>
      </c>
      <c r="K64" s="60">
        <f t="shared" si="21"/>
        <v>0.440951708623259</v>
      </c>
      <c r="L64" s="61">
        <f t="shared" si="22"/>
        <v>0.000799188734677136</v>
      </c>
      <c r="M64" s="41">
        <f t="shared" si="23"/>
        <v>7.99188734677136</v>
      </c>
    </row>
    <row r="65" ht="15.75" customHeight="1" spans="2:13">
      <c r="B65" s="12">
        <v>3</v>
      </c>
      <c r="C65" s="12">
        <v>3.25</v>
      </c>
      <c r="D65" s="44">
        <f>VLOOKUP(B65,OIS_Curve!$B$19:$D$58,3,FALSE())</f>
        <v>0.898112084896219</v>
      </c>
      <c r="E65" s="44">
        <f>VLOOKUP(C65,OIS_Curve!$B$19:$D$58,3,FALSE())</f>
        <v>0.890040326710701</v>
      </c>
      <c r="F65" s="45">
        <f>Par_Rates!$E$8</f>
        <v>0.0362002014003943</v>
      </c>
      <c r="G65" s="44">
        <f t="shared" si="18"/>
        <v>0.991031118479248</v>
      </c>
      <c r="H65" s="56">
        <f>IF(B65=0,0,(Parameters!$C$5/Parameters!$C$4)*(1-EXP(-Parameters!$C$4*0.25))*SQRT((1-EXP(-2*Parameters!$C$4*B65))/(2*Parameters!$C$4)))</f>
        <v>0.00274705269428857</v>
      </c>
      <c r="I65" s="57">
        <f t="shared" si="19"/>
        <v>-0.00545560709251325</v>
      </c>
      <c r="J65" s="57">
        <f t="shared" si="20"/>
        <v>0.503272351104721</v>
      </c>
      <c r="K65" s="57">
        <f t="shared" si="21"/>
        <v>0.502176461537883</v>
      </c>
      <c r="L65" s="58">
        <f t="shared" si="22"/>
        <v>0.000992692541199609</v>
      </c>
      <c r="M65" s="43">
        <f t="shared" si="23"/>
        <v>9.92692541199609</v>
      </c>
    </row>
    <row r="66" ht="15.75" customHeight="1" spans="2:13">
      <c r="B66" s="16">
        <v>3.25</v>
      </c>
      <c r="C66" s="16">
        <v>3.5</v>
      </c>
      <c r="D66" s="49">
        <f>VLOOKUP(B66,OIS_Curve!$B$19:$D$58,3,FALSE())</f>
        <v>0.890040326710701</v>
      </c>
      <c r="E66" s="49">
        <f>VLOOKUP(C66,OIS_Curve!$B$19:$D$58,3,FALSE())</f>
        <v>0.882031197720876</v>
      </c>
      <c r="F66" s="50">
        <f>Par_Rates!$E$8</f>
        <v>0.0362002014003943</v>
      </c>
      <c r="G66" s="49">
        <f t="shared" si="18"/>
        <v>0.991031118479248</v>
      </c>
      <c r="H66" s="59">
        <f>IF(B66=0,0,(Parameters!$C$5/Parameters!$C$4)*(1-EXP(-Parameters!$C$4*0.25))*SQRT((1-EXP(-2*Parameters!$C$4*B66))/(2*Parameters!$C$4)))</f>
        <v>0.00281121313207036</v>
      </c>
      <c r="I66" s="60">
        <f t="shared" si="19"/>
        <v>-0.00926651476128238</v>
      </c>
      <c r="J66" s="60">
        <f t="shared" si="20"/>
        <v>0.504818199167892</v>
      </c>
      <c r="K66" s="60">
        <f t="shared" si="21"/>
        <v>0.503696751624537</v>
      </c>
      <c r="L66" s="61">
        <f t="shared" si="22"/>
        <v>0.00101158336947259</v>
      </c>
      <c r="M66" s="41">
        <f t="shared" si="23"/>
        <v>10.1158336947259</v>
      </c>
    </row>
    <row r="67" ht="15.75" customHeight="1" spans="2:13">
      <c r="B67" s="12">
        <v>3.5</v>
      </c>
      <c r="C67" s="12">
        <v>3.75</v>
      </c>
      <c r="D67" s="44">
        <f>VLOOKUP(B67,OIS_Curve!$B$19:$D$58,3,FALSE())</f>
        <v>0.882031197720876</v>
      </c>
      <c r="E67" s="44">
        <f>VLOOKUP(C67,OIS_Curve!$B$19:$D$58,3,FALSE())</f>
        <v>0.874084313610749</v>
      </c>
      <c r="F67" s="45">
        <f>Par_Rates!$E$8</f>
        <v>0.0362002014003943</v>
      </c>
      <c r="G67" s="44">
        <f t="shared" si="18"/>
        <v>0.991031118479248</v>
      </c>
      <c r="H67" s="56">
        <f>IF(B67=0,0,(Parameters!$C$5/Parameters!$C$4)*(1-EXP(-Parameters!$C$4*0.25))*SQRT((1-EXP(-2*Parameters!$C$4*B67))/(2*Parameters!$C$4)))</f>
        <v>0.0028690951260356</v>
      </c>
      <c r="I67" s="57">
        <f t="shared" si="19"/>
        <v>-0.0129404466489111</v>
      </c>
      <c r="J67" s="57">
        <f t="shared" si="20"/>
        <v>0.506306831923416</v>
      </c>
      <c r="K67" s="57">
        <f t="shared" si="21"/>
        <v>0.505162347218181</v>
      </c>
      <c r="L67" s="58">
        <f t="shared" si="22"/>
        <v>0.00102784753721355</v>
      </c>
      <c r="M67" s="43">
        <f t="shared" si="23"/>
        <v>10.2784753721355</v>
      </c>
    </row>
    <row r="68" ht="15.75" customHeight="1" spans="2:13">
      <c r="B68" s="16">
        <v>3.75</v>
      </c>
      <c r="C68" s="16">
        <v>4</v>
      </c>
      <c r="D68" s="49">
        <f>VLOOKUP(B68,OIS_Curve!$B$19:$D$58,3,FALSE())</f>
        <v>0.874084313610749</v>
      </c>
      <c r="E68" s="49">
        <f>VLOOKUP(C68,OIS_Curve!$B$19:$D$58,3,FALSE())</f>
        <v>0.866199291435047</v>
      </c>
      <c r="F68" s="50">
        <f>Par_Rates!$E$8</f>
        <v>0.0362002014003943</v>
      </c>
      <c r="G68" s="49">
        <f t="shared" si="18"/>
        <v>0.991031118479248</v>
      </c>
      <c r="H68" s="59">
        <f>IF(B68=0,0,(Parameters!$C$5/Parameters!$C$4)*(1-EXP(-Parameters!$C$4*0.25))*SQRT((1-EXP(-2*Parameters!$C$4*B68))/(2*Parameters!$C$4)))</f>
        <v>0.00292144373716899</v>
      </c>
      <c r="I68" s="60">
        <f t="shared" si="19"/>
        <v>-0.0165046571562329</v>
      </c>
      <c r="J68" s="60">
        <f t="shared" si="20"/>
        <v>0.507749405583407</v>
      </c>
      <c r="K68" s="60">
        <f t="shared" si="21"/>
        <v>0.506584106639284</v>
      </c>
      <c r="L68" s="61">
        <f t="shared" si="22"/>
        <v>0.00104180906094955</v>
      </c>
      <c r="M68" s="41">
        <f t="shared" si="23"/>
        <v>10.4180906094955</v>
      </c>
    </row>
    <row r="69" ht="15.75" customHeight="1" spans="2:13">
      <c r="B69" s="12">
        <v>4</v>
      </c>
      <c r="C69" s="12">
        <v>4.25</v>
      </c>
      <c r="D69" s="44">
        <f>VLOOKUP(B69,OIS_Curve!$B$19:$D$58,3,FALSE())</f>
        <v>0.866199291435047</v>
      </c>
      <c r="E69" s="44">
        <f>VLOOKUP(C69,OIS_Curve!$B$19:$D$58,3,FALSE())</f>
        <v>0.859004040505197</v>
      </c>
      <c r="F69" s="45">
        <f>Par_Rates!$E$8</f>
        <v>0.0362002014003943</v>
      </c>
      <c r="G69" s="44">
        <f t="shared" si="18"/>
        <v>0.991031118479248</v>
      </c>
      <c r="H69" s="56">
        <f>IF(B69=0,0,(Parameters!$C$5/Parameters!$C$4)*(1-EXP(-Parameters!$C$4*0.25))*SQRT((1-EXP(-2*Parameters!$C$4*B69))/(2*Parameters!$C$4)))</f>
        <v>0.00296888902340066</v>
      </c>
      <c r="I69" s="57">
        <f t="shared" si="19"/>
        <v>0.226470623034192</v>
      </c>
      <c r="J69" s="57">
        <f t="shared" si="20"/>
        <v>0.411572516857453</v>
      </c>
      <c r="K69" s="57">
        <f t="shared" si="21"/>
        <v>0.410417702565914</v>
      </c>
      <c r="L69" s="58">
        <f t="shared" si="22"/>
        <v>0.000762758219702382</v>
      </c>
      <c r="M69" s="43">
        <f t="shared" si="23"/>
        <v>7.62758219702382</v>
      </c>
    </row>
    <row r="70" ht="15.75" customHeight="1" spans="2:13">
      <c r="B70" s="16">
        <v>4.25</v>
      </c>
      <c r="C70" s="16">
        <v>4.5</v>
      </c>
      <c r="D70" s="49">
        <f>VLOOKUP(B70,OIS_Curve!$B$19:$D$58,3,FALSE())</f>
        <v>0.859004040505197</v>
      </c>
      <c r="E70" s="49">
        <f>VLOOKUP(C70,OIS_Curve!$B$19:$D$58,3,FALSE())</f>
        <v>0.851932313707466</v>
      </c>
      <c r="F70" s="50">
        <f>Par_Rates!$E$8</f>
        <v>0.0362002014003943</v>
      </c>
      <c r="G70" s="49">
        <f t="shared" si="18"/>
        <v>0.991031118479248</v>
      </c>
      <c r="H70" s="59">
        <f>IF(B70=0,0,(Parameters!$C$5/Parameters!$C$4)*(1-EXP(-Parameters!$C$4*0.25))*SQRT((1-EXP(-2*Parameters!$C$4*B70))/(2*Parameters!$C$4)))</f>
        <v>0.00301196926646191</v>
      </c>
      <c r="I70" s="60">
        <f t="shared" si="19"/>
        <v>0.248121389385814</v>
      </c>
      <c r="J70" s="60">
        <f t="shared" si="20"/>
        <v>0.403185854585746</v>
      </c>
      <c r="K70" s="60">
        <f t="shared" si="21"/>
        <v>0.40202024332233</v>
      </c>
      <c r="L70" s="61">
        <f t="shared" si="22"/>
        <v>0.000744653841996924</v>
      </c>
      <c r="M70" s="41">
        <f t="shared" si="23"/>
        <v>7.44653841996924</v>
      </c>
    </row>
    <row r="71" ht="15.75" customHeight="1" spans="2:13">
      <c r="B71" s="12">
        <v>4.5</v>
      </c>
      <c r="C71" s="12">
        <v>4.75</v>
      </c>
      <c r="D71" s="44">
        <f>VLOOKUP(B71,OIS_Curve!$B$19:$D$58,3,FALSE())</f>
        <v>0.851932313707466</v>
      </c>
      <c r="E71" s="44">
        <f>VLOOKUP(C71,OIS_Curve!$B$19:$D$58,3,FALSE())</f>
        <v>0.844982039968139</v>
      </c>
      <c r="F71" s="45">
        <f>Par_Rates!$E$8</f>
        <v>0.0362002014003943</v>
      </c>
      <c r="G71" s="44">
        <f t="shared" si="18"/>
        <v>0.991031118479248</v>
      </c>
      <c r="H71" s="56">
        <f>IF(B71=0,0,(Parameters!$C$5/Parameters!$C$4)*(1-EXP(-Parameters!$C$4*0.25))*SQRT((1-EXP(-2*Parameters!$C$4*B71))/(2*Parameters!$C$4)))</f>
        <v>0.00305114836324089</v>
      </c>
      <c r="I71" s="57">
        <f t="shared" si="19"/>
        <v>0.269502396784307</v>
      </c>
      <c r="J71" s="57">
        <f t="shared" si="20"/>
        <v>0.394945850351066</v>
      </c>
      <c r="K71" s="57">
        <f t="shared" si="21"/>
        <v>0.393771549030055</v>
      </c>
      <c r="L71" s="58">
        <f t="shared" si="22"/>
        <v>0.000726023069566859</v>
      </c>
      <c r="M71" s="43">
        <f t="shared" si="23"/>
        <v>7.26023069566859</v>
      </c>
    </row>
    <row r="72" ht="15.75" customHeight="1" spans="2:13">
      <c r="B72" s="16">
        <v>4.75</v>
      </c>
      <c r="C72" s="16">
        <v>5</v>
      </c>
      <c r="D72" s="49">
        <f>VLOOKUP(B72,OIS_Curve!$B$19:$D$58,3,FALSE())</f>
        <v>0.844982039968139</v>
      </c>
      <c r="E72" s="49">
        <f>VLOOKUP(C72,OIS_Curve!$B$19:$D$58,3,FALSE())</f>
        <v>0.838151192344588</v>
      </c>
      <c r="F72" s="50">
        <f>Par_Rates!$E$8</f>
        <v>0.0362002014003943</v>
      </c>
      <c r="G72" s="49">
        <f t="shared" si="18"/>
        <v>0.991031118479248</v>
      </c>
      <c r="H72" s="59">
        <f>IF(B72=0,0,(Parameters!$C$5/Parameters!$C$4)*(1-EXP(-Parameters!$C$4*0.25))*SQRT((1-EXP(-2*Parameters!$C$4*B72))/(2*Parameters!$C$4)))</f>
        <v>0.00308682910548797</v>
      </c>
      <c r="I72" s="60">
        <f t="shared" si="19"/>
        <v>0.290667313897488</v>
      </c>
      <c r="J72" s="60">
        <f t="shared" si="20"/>
        <v>0.386833942487445</v>
      </c>
      <c r="K72" s="60">
        <f t="shared" si="21"/>
        <v>0.385652886228303</v>
      </c>
      <c r="L72" s="61">
        <f t="shared" si="22"/>
        <v>0.000707010544507575</v>
      </c>
      <c r="M72" s="41">
        <f t="shared" si="23"/>
        <v>7.07010544507575</v>
      </c>
    </row>
    <row r="73" ht="15.75" customHeight="1" spans="2:13">
      <c r="B73" s="12">
        <v>5</v>
      </c>
      <c r="C73" s="12">
        <v>5.25</v>
      </c>
      <c r="D73" s="44">
        <f>VLOOKUP(B73,OIS_Curve!$B$19:$D$58,3,FALSE())</f>
        <v>0.838151192344588</v>
      </c>
      <c r="E73" s="44">
        <f>VLOOKUP(C73,OIS_Curve!$B$19:$D$58,3,FALSE())</f>
        <v>0.830518323961271</v>
      </c>
      <c r="F73" s="45">
        <f>Par_Rates!$E$8</f>
        <v>0.0362002014003943</v>
      </c>
      <c r="G73" s="44">
        <f t="shared" si="18"/>
        <v>0.991031118479248</v>
      </c>
      <c r="H73" s="56">
        <f>IF(B73=0,0,(Parameters!$C$5/Parameters!$C$4)*(1-EXP(-Parameters!$C$4*0.25))*SQRT((1-EXP(-2*Parameters!$C$4*B73))/(2*Parameters!$C$4)))</f>
        <v>0.00311936349614793</v>
      </c>
      <c r="I73" s="57">
        <f t="shared" si="19"/>
        <v>-0.0430545579776555</v>
      </c>
      <c r="J73" s="57">
        <f t="shared" si="20"/>
        <v>0.518414186026142</v>
      </c>
      <c r="K73" s="57">
        <f t="shared" si="21"/>
        <v>0.517170978418099</v>
      </c>
      <c r="L73" s="58">
        <f t="shared" si="22"/>
        <v>0.00110231655609244</v>
      </c>
      <c r="M73" s="43">
        <f t="shared" si="23"/>
        <v>11.0231655609244</v>
      </c>
    </row>
    <row r="74" ht="15.75" customHeight="1" spans="2:13">
      <c r="B74" s="16">
        <v>5.25</v>
      </c>
      <c r="C74" s="16">
        <v>5.5</v>
      </c>
      <c r="D74" s="49">
        <f>VLOOKUP(B74,OIS_Curve!$B$19:$D$58,3,FALSE())</f>
        <v>0.830518323961271</v>
      </c>
      <c r="E74" s="49">
        <f>VLOOKUP(C74,OIS_Curve!$B$19:$D$58,3,FALSE())</f>
        <v>0.822929833595843</v>
      </c>
      <c r="F74" s="50">
        <f>Par_Rates!$E$8</f>
        <v>0.0362002014003943</v>
      </c>
      <c r="G74" s="49">
        <f t="shared" si="18"/>
        <v>0.991031118479248</v>
      </c>
      <c r="H74" s="59">
        <f>IF(B74=0,0,(Parameters!$C$5/Parameters!$C$4)*(1-EXP(-Parameters!$C$4*0.25))*SQRT((1-EXP(-2*Parameters!$C$4*B74))/(2*Parameters!$C$4)))</f>
        <v>0.00314906088677719</v>
      </c>
      <c r="I74" s="60">
        <f t="shared" si="19"/>
        <v>-0.0523172036237121</v>
      </c>
      <c r="J74" s="60">
        <f t="shared" si="20"/>
        <v>0.52211649721026</v>
      </c>
      <c r="K74" s="60">
        <f t="shared" si="21"/>
        <v>0.520862027210409</v>
      </c>
      <c r="L74" s="61">
        <f t="shared" si="22"/>
        <v>0.0011152674577537</v>
      </c>
      <c r="M74" s="41">
        <f t="shared" si="23"/>
        <v>11.152674577537</v>
      </c>
    </row>
    <row r="75" ht="15.75" customHeight="1" spans="2:13">
      <c r="B75" s="12">
        <v>5.5</v>
      </c>
      <c r="C75" s="12">
        <v>5.75</v>
      </c>
      <c r="D75" s="44">
        <f>VLOOKUP(B75,OIS_Curve!$B$19:$D$58,3,FALSE())</f>
        <v>0.822929833595843</v>
      </c>
      <c r="E75" s="44">
        <f>VLOOKUP(C75,OIS_Curve!$B$19:$D$58,3,FALSE())</f>
        <v>0.815385777149241</v>
      </c>
      <c r="F75" s="45">
        <f>Par_Rates!$E$8</f>
        <v>0.0362002014003943</v>
      </c>
      <c r="G75" s="44">
        <f t="shared" si="18"/>
        <v>0.991031118479248</v>
      </c>
      <c r="H75" s="56">
        <f>IF(B75=0,0,(Parameters!$C$5/Parameters!$C$4)*(1-EXP(-Parameters!$C$4*0.25))*SQRT((1-EXP(-2*Parameters!$C$4*B75))/(2*Parameters!$C$4)))</f>
        <v>0.00317619448407471</v>
      </c>
      <c r="I75" s="57">
        <f t="shared" si="19"/>
        <v>-0.0614586317723857</v>
      </c>
      <c r="J75" s="57">
        <f t="shared" si="20"/>
        <v>0.525767622334778</v>
      </c>
      <c r="K75" s="57">
        <f t="shared" si="21"/>
        <v>0.524503020420789</v>
      </c>
      <c r="L75" s="58">
        <f t="shared" si="22"/>
        <v>0.00112710316031612</v>
      </c>
      <c r="M75" s="43">
        <f t="shared" si="23"/>
        <v>11.2710316031612</v>
      </c>
    </row>
    <row r="76" ht="15.75" customHeight="1" spans="2:13">
      <c r="B76" s="16">
        <v>5.75</v>
      </c>
      <c r="C76" s="16">
        <v>6</v>
      </c>
      <c r="D76" s="49">
        <f>VLOOKUP(B76,OIS_Curve!$B$19:$D$58,3,FALSE())</f>
        <v>0.815385777149241</v>
      </c>
      <c r="E76" s="49">
        <f>VLOOKUP(C76,OIS_Curve!$B$19:$D$58,3,FALSE())</f>
        <v>0.807886205958442</v>
      </c>
      <c r="F76" s="50">
        <f>Par_Rates!$E$8</f>
        <v>0.0362002014003943</v>
      </c>
      <c r="G76" s="49">
        <f t="shared" si="18"/>
        <v>0.991031118479248</v>
      </c>
      <c r="H76" s="59">
        <f>IF(B76=0,0,(Parameters!$C$5/Parameters!$C$4)*(1-EXP(-Parameters!$C$4*0.25))*SQRT((1-EXP(-2*Parameters!$C$4*B76))/(2*Parameters!$C$4)))</f>
        <v>0.00320100661609174</v>
      </c>
      <c r="I76" s="60">
        <f t="shared" si="19"/>
        <v>-0.0704983773497244</v>
      </c>
      <c r="J76" s="60">
        <f t="shared" si="20"/>
        <v>0.529375205509165</v>
      </c>
      <c r="K76" s="60">
        <f t="shared" si="21"/>
        <v>0.528101503987044</v>
      </c>
      <c r="L76" s="61">
        <f t="shared" si="22"/>
        <v>0.00113792586915133</v>
      </c>
      <c r="M76" s="41">
        <f t="shared" si="23"/>
        <v>11.3792586915133</v>
      </c>
    </row>
    <row r="77" ht="15.75" customHeight="1" spans="2:13">
      <c r="B77" s="12">
        <v>6</v>
      </c>
      <c r="C77" s="12">
        <v>6.25</v>
      </c>
      <c r="D77" s="44">
        <f>VLOOKUP(B77,OIS_Curve!$B$19:$D$58,3,FALSE())</f>
        <v>0.807886205958442</v>
      </c>
      <c r="E77" s="44">
        <f>VLOOKUP(C77,OIS_Curve!$B$19:$D$58,3,FALSE())</f>
        <v>0.801300488411683</v>
      </c>
      <c r="F77" s="45">
        <f>Par_Rates!$E$8</f>
        <v>0.0362002014003943</v>
      </c>
      <c r="G77" s="44">
        <f t="shared" si="18"/>
        <v>0.991031118479248</v>
      </c>
      <c r="H77" s="56">
        <f>IF(B77=0,0,(Parameters!$C$5/Parameters!$C$4)*(1-EXP(-Parameters!$C$4*0.25))*SQRT((1-EXP(-2*Parameters!$C$4*B77))/(2*Parameters!$C$4)))</f>
        <v>0.0032237130414895</v>
      </c>
      <c r="I77" s="57">
        <f t="shared" si="19"/>
        <v>0.257263634543478</v>
      </c>
      <c r="J77" s="57">
        <f t="shared" si="20"/>
        <v>0.399732358307959</v>
      </c>
      <c r="K77" s="57">
        <f t="shared" si="21"/>
        <v>0.398487631642521</v>
      </c>
      <c r="L77" s="58">
        <f t="shared" si="22"/>
        <v>0.000740167992421207</v>
      </c>
      <c r="M77" s="43">
        <f t="shared" si="23"/>
        <v>7.40167992421207</v>
      </c>
    </row>
    <row r="78" ht="15.75" customHeight="1" spans="2:13">
      <c r="B78" s="16">
        <v>6.25</v>
      </c>
      <c r="C78" s="16">
        <v>6.5</v>
      </c>
      <c r="D78" s="49">
        <f>VLOOKUP(B78,OIS_Curve!$B$19:$D$58,3,FALSE())</f>
        <v>0.801300488411683</v>
      </c>
      <c r="E78" s="49">
        <f>VLOOKUP(C78,OIS_Curve!$B$19:$D$58,3,FALSE())</f>
        <v>0.794813201266242</v>
      </c>
      <c r="F78" s="50">
        <f>Par_Rates!$E$8</f>
        <v>0.0362002014003943</v>
      </c>
      <c r="G78" s="49">
        <f t="shared" si="18"/>
        <v>0.991031118479248</v>
      </c>
      <c r="H78" s="59">
        <f>IF(B78=0,0,(Parameters!$C$5/Parameters!$C$4)*(1-EXP(-Parameters!$C$4*0.25))*SQRT((1-EXP(-2*Parameters!$C$4*B78))/(2*Parameters!$C$4)))</f>
        <v>0.00324450651078785</v>
      </c>
      <c r="I78" s="60">
        <f t="shared" si="19"/>
        <v>0.272987352933492</v>
      </c>
      <c r="J78" s="60">
        <f t="shared" si="20"/>
        <v>0.393679047614344</v>
      </c>
      <c r="K78" s="60">
        <f t="shared" si="21"/>
        <v>0.392431468688805</v>
      </c>
      <c r="L78" s="61">
        <f t="shared" si="22"/>
        <v>0.000722702627222798</v>
      </c>
      <c r="M78" s="41">
        <f t="shared" si="23"/>
        <v>7.22702627222798</v>
      </c>
    </row>
    <row r="79" ht="15.75" customHeight="1" spans="2:13">
      <c r="B79" s="12">
        <v>6.5</v>
      </c>
      <c r="C79" s="12">
        <v>6.75</v>
      </c>
      <c r="D79" s="44">
        <f>VLOOKUP(B79,OIS_Curve!$B$19:$D$58,3,FALSE())</f>
        <v>0.794813201266242</v>
      </c>
      <c r="E79" s="44">
        <f>VLOOKUP(C79,OIS_Curve!$B$19:$D$58,3,FALSE())</f>
        <v>0.788422820130236</v>
      </c>
      <c r="F79" s="45">
        <f>Par_Rates!$E$8</f>
        <v>0.0362002014003943</v>
      </c>
      <c r="G79" s="44">
        <f t="shared" si="18"/>
        <v>0.991031118479248</v>
      </c>
      <c r="H79" s="56">
        <f>IF(B79=0,0,(Parameters!$C$5/Parameters!$C$4)*(1-EXP(-Parameters!$C$4*0.25))*SQRT((1-EXP(-2*Parameters!$C$4*B79))/(2*Parameters!$C$4)))</f>
        <v>0.00326355973594485</v>
      </c>
      <c r="I79" s="57">
        <f t="shared" si="19"/>
        <v>0.288663049496998</v>
      </c>
      <c r="J79" s="57">
        <f t="shared" si="20"/>
        <v>0.387669049200142</v>
      </c>
      <c r="K79" s="57">
        <f t="shared" si="21"/>
        <v>0.386419620848677</v>
      </c>
      <c r="L79" s="58">
        <f t="shared" si="22"/>
        <v>0.000705223936300758</v>
      </c>
      <c r="M79" s="43">
        <f t="shared" si="23"/>
        <v>7.05223936300758</v>
      </c>
    </row>
    <row r="80" ht="15.75" customHeight="1" spans="2:13">
      <c r="B80" s="16">
        <v>6.75</v>
      </c>
      <c r="C80" s="16">
        <v>7</v>
      </c>
      <c r="D80" s="49">
        <f>VLOOKUP(B80,OIS_Curve!$B$19:$D$58,3,FALSE())</f>
        <v>0.788422820130236</v>
      </c>
      <c r="E80" s="49">
        <f>VLOOKUP(C80,OIS_Curve!$B$19:$D$58,3,FALSE())</f>
        <v>0.782127849212015</v>
      </c>
      <c r="F80" s="50">
        <f>Par_Rates!$E$8</f>
        <v>0.0362002014003943</v>
      </c>
      <c r="G80" s="49">
        <f t="shared" si="18"/>
        <v>0.991031118479248</v>
      </c>
      <c r="H80" s="59">
        <f>IF(B80=0,0,(Parameters!$C$5/Parameters!$C$4)*(1-EXP(-Parameters!$C$4*0.25))*SQRT((1-EXP(-2*Parameters!$C$4*B80))/(2*Parameters!$C$4)))</f>
        <v>0.00328102788682314</v>
      </c>
      <c r="I80" s="60">
        <f t="shared" si="19"/>
        <v>0.304302237825315</v>
      </c>
      <c r="J80" s="60">
        <f t="shared" si="20"/>
        <v>0.381699160505739</v>
      </c>
      <c r="K80" s="60">
        <f t="shared" si="21"/>
        <v>0.380448820207048</v>
      </c>
      <c r="L80" s="61">
        <f t="shared" si="22"/>
        <v>0.00068778156310689</v>
      </c>
      <c r="M80" s="41">
        <f t="shared" si="23"/>
        <v>6.8778156310689</v>
      </c>
    </row>
    <row r="81" ht="19.5" customHeight="1" spans="2:13">
      <c r="B81" s="51" t="s">
        <v>136</v>
      </c>
      <c r="C81" s="51"/>
      <c r="D81" s="51"/>
      <c r="E81" s="51"/>
      <c r="F81" s="51"/>
      <c r="G81" s="51"/>
      <c r="H81" s="51"/>
      <c r="I81" s="51"/>
      <c r="J81" s="51"/>
      <c r="K81" s="51"/>
      <c r="L81" s="54">
        <f>SUM(L54:L80)</f>
        <v>0.0219834686804633</v>
      </c>
      <c r="M81" s="55">
        <f>SUM(M54:M80)</f>
        <v>219.834686804633</v>
      </c>
    </row>
    <row r="83" ht="19.5" customHeight="1" spans="2:13">
      <c r="B83" s="10" t="s">
        <v>137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</row>
    <row r="84" ht="19.5" customHeight="1" spans="2:13">
      <c r="B84" s="4" t="s">
        <v>18</v>
      </c>
      <c r="C84" s="4" t="s">
        <v>19</v>
      </c>
      <c r="D84" s="4" t="s">
        <v>120</v>
      </c>
      <c r="E84" s="4" t="s">
        <v>121</v>
      </c>
      <c r="F84" s="4" t="s">
        <v>122</v>
      </c>
      <c r="G84" s="4" t="s">
        <v>123</v>
      </c>
      <c r="H84" s="4" t="s">
        <v>124</v>
      </c>
      <c r="I84" s="4" t="s">
        <v>125</v>
      </c>
      <c r="J84" s="4" t="s">
        <v>126</v>
      </c>
      <c r="K84" s="4" t="s">
        <v>127</v>
      </c>
      <c r="L84" s="4" t="s">
        <v>128</v>
      </c>
      <c r="M84" s="4" t="s">
        <v>129</v>
      </c>
    </row>
    <row r="85" ht="15.75" customHeight="1" spans="2:13">
      <c r="B85" s="12">
        <v>0.25</v>
      </c>
      <c r="C85" s="12">
        <v>0.5</v>
      </c>
      <c r="D85" s="44">
        <f>VLOOKUP(B85,OIS_Curve!$B$19:$D$58,3,FALSE())</f>
        <v>0.989731535321044</v>
      </c>
      <c r="E85" s="44">
        <f>VLOOKUP(C85,OIS_Curve!$B$19:$D$58,3,FALSE())</f>
        <v>0.980392156862745</v>
      </c>
      <c r="F85" s="45">
        <f>Par_Rates!$E$9</f>
        <v>0.0359004710987383</v>
      </c>
      <c r="G85" s="44">
        <f t="shared" ref="G85:G123" si="24">1/(1+F85*0.25)</f>
        <v>0.991104718425089</v>
      </c>
      <c r="H85" s="56">
        <f>IF(B85=0,0,(Parameters!$C$5/Parameters!$C$4)*(1-EXP(-Parameters!$C$4*0.25))*SQRT((1-EXP(-2*Parameters!$C$4*B85))/(2*Parameters!$C$4)))</f>
        <v>0.000972413048041604</v>
      </c>
      <c r="I85" s="57">
        <f t="shared" ref="I85:I123" si="25">IF(H85=0,0,(1/H85)*LN(E85/(D85*G85))+H85/2)</f>
        <v>-0.561000952431721</v>
      </c>
      <c r="J85" s="57">
        <f t="shared" ref="J85:J123" si="26">NORMSDIST(-I85+H85)</f>
        <v>0.712932916972375</v>
      </c>
      <c r="K85" s="57">
        <f t="shared" ref="K85:K123" si="27">NORMSDIST(-I85)</f>
        <v>0.712601556048517</v>
      </c>
      <c r="L85" s="58">
        <f t="shared" ref="L85:L123" si="28">IF(H85=0,0,(1+F85*0.25)*(G85*D85*J85-E85*K85))</f>
        <v>0.000712936632767237</v>
      </c>
      <c r="M85" s="43">
        <f t="shared" ref="M85:M123" si="29">L85*10000</f>
        <v>7.12936632767237</v>
      </c>
    </row>
    <row r="86" ht="15.75" customHeight="1" spans="2:13">
      <c r="B86" s="16">
        <v>0.5</v>
      </c>
      <c r="C86" s="16">
        <v>0.75</v>
      </c>
      <c r="D86" s="49">
        <f>VLOOKUP(B86,OIS_Curve!$B$19:$D$58,3,FALSE())</f>
        <v>0.980392156862745</v>
      </c>
      <c r="E86" s="49">
        <f>VLOOKUP(C86,OIS_Curve!$B$19:$D$58,3,FALSE())</f>
        <v>0.971573953796494</v>
      </c>
      <c r="F86" s="50">
        <f>Par_Rates!$E$9</f>
        <v>0.0359004710987383</v>
      </c>
      <c r="G86" s="49">
        <f t="shared" si="24"/>
        <v>0.991104718425089</v>
      </c>
      <c r="H86" s="59">
        <f>IF(B86=0,0,(Parameters!$C$5/Parameters!$C$4)*(1-EXP(-Parameters!$C$4*0.25))*SQRT((1-EXP(-2*Parameters!$C$4*B86))/(2*Parameters!$C$4)))</f>
        <v>0.00134810013785897</v>
      </c>
      <c r="I86" s="60">
        <f t="shared" si="25"/>
        <v>-0.0736391759266373</v>
      </c>
      <c r="J86" s="60">
        <f t="shared" si="26"/>
        <v>0.529887582191152</v>
      </c>
      <c r="K86" s="60">
        <f t="shared" si="27"/>
        <v>0.529351251067323</v>
      </c>
      <c r="L86" s="61">
        <f t="shared" si="28"/>
        <v>0.000577803686270566</v>
      </c>
      <c r="M86" s="41">
        <f t="shared" si="29"/>
        <v>5.77803686270566</v>
      </c>
    </row>
    <row r="87" ht="15.75" customHeight="1" spans="2:13">
      <c r="B87" s="12">
        <v>0.75</v>
      </c>
      <c r="C87" s="12">
        <v>1</v>
      </c>
      <c r="D87" s="44">
        <f>VLOOKUP(B87,OIS_Curve!$B$19:$D$58,3,FALSE())</f>
        <v>0.971573953796494</v>
      </c>
      <c r="E87" s="44">
        <f>VLOOKUP(C87,OIS_Curve!$B$19:$D$58,3,FALSE())</f>
        <v>0.963391136801541</v>
      </c>
      <c r="F87" s="45">
        <f>Par_Rates!$E$9</f>
        <v>0.0359004710987383</v>
      </c>
      <c r="G87" s="44">
        <f t="shared" si="24"/>
        <v>0.991104718425089</v>
      </c>
      <c r="H87" s="56">
        <f>IF(B87=0,0,(Parameters!$C$5/Parameters!$C$4)*(1-EXP(-Parameters!$C$4*0.25))*SQRT((1-EXP(-2*Parameters!$C$4*B87))/(2*Parameters!$C$4)))</f>
        <v>0.00161898747133126</v>
      </c>
      <c r="I87" s="57">
        <f t="shared" si="25"/>
        <v>0.295552844382708</v>
      </c>
      <c r="J87" s="57">
        <f t="shared" si="26"/>
        <v>0.384404223092713</v>
      </c>
      <c r="K87" s="57">
        <f t="shared" si="27"/>
        <v>0.383785795101103</v>
      </c>
      <c r="L87" s="58">
        <f t="shared" si="28"/>
        <v>0.00042287480496</v>
      </c>
      <c r="M87" s="43">
        <f t="shared" si="29"/>
        <v>4.2287480496</v>
      </c>
    </row>
    <row r="88" ht="15.75" customHeight="1" spans="2:13">
      <c r="B88" s="16">
        <v>1</v>
      </c>
      <c r="C88" s="16">
        <v>1.25</v>
      </c>
      <c r="D88" s="49">
        <f>VLOOKUP(B88,OIS_Curve!$B$19:$D$58,3,FALSE())</f>
        <v>0.963391136801541</v>
      </c>
      <c r="E88" s="49">
        <f>VLOOKUP(C88,OIS_Curve!$B$19:$D$58,3,FALSE())</f>
        <v>0.954743122287646</v>
      </c>
      <c r="F88" s="50">
        <f>Par_Rates!$E$9</f>
        <v>0.0359004710987383</v>
      </c>
      <c r="G88" s="49">
        <f t="shared" si="24"/>
        <v>0.991104718425089</v>
      </c>
      <c r="H88" s="59">
        <f>IF(B88=0,0,(Parameters!$C$5/Parameters!$C$4)*(1-EXP(-Parameters!$C$4*0.25))*SQRT((1-EXP(-2*Parameters!$C$4*B88))/(2*Parameters!$C$4)))</f>
        <v>0.00183361305631501</v>
      </c>
      <c r="I88" s="60">
        <f t="shared" si="25"/>
        <v>-0.0438533005927383</v>
      </c>
      <c r="J88" s="60">
        <f t="shared" si="26"/>
        <v>0.518220102843144</v>
      </c>
      <c r="K88" s="60">
        <f t="shared" si="27"/>
        <v>0.517489329905392</v>
      </c>
      <c r="L88" s="61">
        <f t="shared" si="28"/>
        <v>0.00074494454539146</v>
      </c>
      <c r="M88" s="41">
        <f t="shared" si="29"/>
        <v>7.4494454539146</v>
      </c>
    </row>
    <row r="89" ht="15.75" customHeight="1" spans="2:13">
      <c r="B89" s="12">
        <v>1.25</v>
      </c>
      <c r="C89" s="12">
        <v>1.5</v>
      </c>
      <c r="D89" s="44">
        <f>VLOOKUP(B89,OIS_Curve!$B$19:$D$58,3,FALSE())</f>
        <v>0.954743122287646</v>
      </c>
      <c r="E89" s="44">
        <f>VLOOKUP(C89,OIS_Curve!$B$19:$D$58,3,FALSE())</f>
        <v>0.946288849612581</v>
      </c>
      <c r="F89" s="45">
        <f>Par_Rates!$E$9</f>
        <v>0.0359004710987383</v>
      </c>
      <c r="G89" s="44">
        <f t="shared" si="24"/>
        <v>0.991104718425089</v>
      </c>
      <c r="H89" s="56">
        <f>IF(B89=0,0,(Parameters!$C$5/Parameters!$C$4)*(1-EXP(-Parameters!$C$4*0.25))*SQRT((1-EXP(-2*Parameters!$C$4*B89))/(2*Parameters!$C$4)))</f>
        <v>0.00201129786471566</v>
      </c>
      <c r="I89" s="57">
        <f t="shared" si="25"/>
        <v>0.0212009104590634</v>
      </c>
      <c r="J89" s="57">
        <f t="shared" si="26"/>
        <v>0.492344922013698</v>
      </c>
      <c r="K89" s="57">
        <f t="shared" si="27"/>
        <v>0.491542694002636</v>
      </c>
      <c r="L89" s="58">
        <f t="shared" si="28"/>
        <v>0.000746859060995996</v>
      </c>
      <c r="M89" s="43">
        <f t="shared" si="29"/>
        <v>7.46859060995996</v>
      </c>
    </row>
    <row r="90" ht="15.75" customHeight="1" spans="2:13">
      <c r="B90" s="16">
        <v>1.5</v>
      </c>
      <c r="C90" s="16">
        <v>1.75</v>
      </c>
      <c r="D90" s="49">
        <f>VLOOKUP(B90,OIS_Curve!$B$19:$D$58,3,FALSE())</f>
        <v>0.946288849612581</v>
      </c>
      <c r="E90" s="49">
        <f>VLOOKUP(C90,OIS_Curve!$B$19:$D$58,3,FALSE())</f>
        <v>0.938024537404291</v>
      </c>
      <c r="F90" s="50">
        <f>Par_Rates!$E$9</f>
        <v>0.0359004710987383</v>
      </c>
      <c r="G90" s="49">
        <f t="shared" si="24"/>
        <v>0.991104718425089</v>
      </c>
      <c r="H90" s="59">
        <f>IF(B90=0,0,(Parameters!$C$5/Parameters!$C$4)*(1-EXP(-Parameters!$C$4*0.25))*SQRT((1-EXP(-2*Parameters!$C$4*B90))/(2*Parameters!$C$4)))</f>
        <v>0.00216221668621274</v>
      </c>
      <c r="I90" s="60">
        <f t="shared" si="25"/>
        <v>0.0766186003832936</v>
      </c>
      <c r="J90" s="60">
        <f t="shared" si="26"/>
        <v>0.470323622778474</v>
      </c>
      <c r="K90" s="60">
        <f t="shared" si="27"/>
        <v>0.469463480741551</v>
      </c>
      <c r="L90" s="61">
        <f t="shared" si="28"/>
        <v>0.000741378557079949</v>
      </c>
      <c r="M90" s="41">
        <f t="shared" si="29"/>
        <v>7.41378557079949</v>
      </c>
    </row>
    <row r="91" ht="15.75" customHeight="1" spans="2:13">
      <c r="B91" s="12">
        <v>1.75</v>
      </c>
      <c r="C91" s="12">
        <v>2</v>
      </c>
      <c r="D91" s="44">
        <f>VLOOKUP(B91,OIS_Curve!$B$19:$D$58,3,FALSE())</f>
        <v>0.938024537404291</v>
      </c>
      <c r="E91" s="44">
        <f>VLOOKUP(C91,OIS_Curve!$B$19:$D$58,3,FALSE())</f>
        <v>0.929946507172944</v>
      </c>
      <c r="F91" s="45">
        <f>Par_Rates!$E$9</f>
        <v>0.0359004710987383</v>
      </c>
      <c r="G91" s="44">
        <f t="shared" si="24"/>
        <v>0.991104718425089</v>
      </c>
      <c r="H91" s="56">
        <f>IF(B91=0,0,(Parameters!$C$5/Parameters!$C$4)*(1-EXP(-Parameters!$C$4*0.25))*SQRT((1-EXP(-2*Parameters!$C$4*B91))/(2*Parameters!$C$4)))</f>
        <v>0.00229257148854877</v>
      </c>
      <c r="I91" s="57">
        <f t="shared" si="25"/>
        <v>0.125913677509106</v>
      </c>
      <c r="J91" s="57">
        <f t="shared" si="26"/>
        <v>0.450807640242057</v>
      </c>
      <c r="K91" s="57">
        <f t="shared" si="27"/>
        <v>0.449900127880593</v>
      </c>
      <c r="L91" s="58">
        <f t="shared" si="28"/>
        <v>0.000730538526043966</v>
      </c>
      <c r="M91" s="43">
        <f t="shared" si="29"/>
        <v>7.30538526043966</v>
      </c>
    </row>
    <row r="92" ht="15.75" customHeight="1" spans="2:13">
      <c r="B92" s="16">
        <v>2</v>
      </c>
      <c r="C92" s="16">
        <v>2.25</v>
      </c>
      <c r="D92" s="49">
        <f>VLOOKUP(B92,OIS_Curve!$B$19:$D$58,3,FALSE())</f>
        <v>0.929946507172944</v>
      </c>
      <c r="E92" s="49">
        <f>VLOOKUP(C92,OIS_Curve!$B$19:$D$58,3,FALSE())</f>
        <v>0.92179826516081</v>
      </c>
      <c r="F92" s="50">
        <f>Par_Rates!$E$9</f>
        <v>0.0359004710987383</v>
      </c>
      <c r="G92" s="49">
        <f t="shared" si="24"/>
        <v>0.991104718425089</v>
      </c>
      <c r="H92" s="59">
        <f>IF(B92=0,0,(Parameters!$C$5/Parameters!$C$4)*(1-EXP(-Parameters!$C$4*0.25))*SQRT((1-EXP(-2*Parameters!$C$4*B92))/(2*Parameters!$C$4)))</f>
        <v>0.00240650470624022</v>
      </c>
      <c r="I92" s="60">
        <f t="shared" si="25"/>
        <v>0.0570575925560418</v>
      </c>
      <c r="J92" s="60">
        <f t="shared" si="26"/>
        <v>0.478208218662277</v>
      </c>
      <c r="K92" s="60">
        <f t="shared" si="27"/>
        <v>0.47724965879779</v>
      </c>
      <c r="L92" s="61">
        <f t="shared" si="28"/>
        <v>0.000831750335550334</v>
      </c>
      <c r="M92" s="41">
        <f t="shared" si="29"/>
        <v>8.31750335550334</v>
      </c>
    </row>
    <row r="93" ht="15.75" customHeight="1" spans="2:13">
      <c r="B93" s="12">
        <v>2.25</v>
      </c>
      <c r="C93" s="12">
        <v>2.5</v>
      </c>
      <c r="D93" s="44">
        <f>VLOOKUP(B93,OIS_Curve!$B$19:$D$58,3,FALSE())</f>
        <v>0.92179826516081</v>
      </c>
      <c r="E93" s="44">
        <f>VLOOKUP(C93,OIS_Curve!$B$19:$D$58,3,FALSE())</f>
        <v>0.913777839413286</v>
      </c>
      <c r="F93" s="45">
        <f>Par_Rates!$E$9</f>
        <v>0.0359004710987383</v>
      </c>
      <c r="G93" s="44">
        <f t="shared" si="24"/>
        <v>0.991104718425089</v>
      </c>
      <c r="H93" s="56">
        <f>IF(B93=0,0,(Parameters!$C$5/Parameters!$C$4)*(1-EXP(-Parameters!$C$4*0.25))*SQRT((1-EXP(-2*Parameters!$C$4*B93))/(2*Parameters!$C$4)))</f>
        <v>0.00250696247926221</v>
      </c>
      <c r="I93" s="57">
        <f t="shared" si="25"/>
        <v>0.079499695223969</v>
      </c>
      <c r="J93" s="57">
        <f t="shared" si="26"/>
        <v>0.469314663118761</v>
      </c>
      <c r="K93" s="57">
        <f t="shared" si="27"/>
        <v>0.468317587011633</v>
      </c>
      <c r="L93" s="58">
        <f t="shared" si="28"/>
        <v>0.000834413418831904</v>
      </c>
      <c r="M93" s="43">
        <f t="shared" si="29"/>
        <v>8.34413418831904</v>
      </c>
    </row>
    <row r="94" ht="15.75" customHeight="1" spans="2:13">
      <c r="B94" s="16">
        <v>2.5</v>
      </c>
      <c r="C94" s="16">
        <v>2.75</v>
      </c>
      <c r="D94" s="49">
        <f>VLOOKUP(B94,OIS_Curve!$B$19:$D$58,3,FALSE())</f>
        <v>0.913777839413286</v>
      </c>
      <c r="E94" s="49">
        <f>VLOOKUP(C94,OIS_Curve!$B$19:$D$58,3,FALSE())</f>
        <v>0.905883131631225</v>
      </c>
      <c r="F94" s="50">
        <f>Par_Rates!$E$9</f>
        <v>0.0359004710987383</v>
      </c>
      <c r="G94" s="49">
        <f t="shared" si="24"/>
        <v>0.991104718425089</v>
      </c>
      <c r="H94" s="59">
        <f>IF(B94=0,0,(Parameters!$C$5/Parameters!$C$4)*(1-EXP(-Parameters!$C$4*0.25))*SQRT((1-EXP(-2*Parameters!$C$4*B94))/(2*Parameters!$C$4)))</f>
        <v>0.00259613811887088</v>
      </c>
      <c r="I94" s="60">
        <f t="shared" si="25"/>
        <v>0.100640592774983</v>
      </c>
      <c r="J94" s="60">
        <f t="shared" si="26"/>
        <v>0.460948496839509</v>
      </c>
      <c r="K94" s="60">
        <f t="shared" si="27"/>
        <v>0.459917885950917</v>
      </c>
      <c r="L94" s="61">
        <f t="shared" si="28"/>
        <v>0.000833346738697756</v>
      </c>
      <c r="M94" s="41">
        <f t="shared" si="29"/>
        <v>8.33346738697756</v>
      </c>
    </row>
    <row r="95" ht="15.75" customHeight="1" spans="2:13">
      <c r="B95" s="12">
        <v>2.75</v>
      </c>
      <c r="C95" s="12">
        <v>3</v>
      </c>
      <c r="D95" s="44">
        <f>VLOOKUP(B95,OIS_Curve!$B$19:$D$58,3,FALSE())</f>
        <v>0.905883131631225</v>
      </c>
      <c r="E95" s="44">
        <f>VLOOKUP(C95,OIS_Curve!$B$19:$D$58,3,FALSE())</f>
        <v>0.898112084896219</v>
      </c>
      <c r="F95" s="45">
        <f>Par_Rates!$E$9</f>
        <v>0.0359004710987383</v>
      </c>
      <c r="G95" s="44">
        <f t="shared" si="24"/>
        <v>0.991104718425089</v>
      </c>
      <c r="H95" s="56">
        <f>IF(B95=0,0,(Parameters!$C$5/Parameters!$C$4)*(1-EXP(-Parameters!$C$4*0.25))*SQRT((1-EXP(-2*Parameters!$C$4*B95))/(2*Parameters!$C$4)))</f>
        <v>0.0026757220227115</v>
      </c>
      <c r="I95" s="57">
        <f t="shared" si="25"/>
        <v>0.120802252292943</v>
      </c>
      <c r="J95" s="57">
        <f t="shared" si="26"/>
        <v>0.452983701250718</v>
      </c>
      <c r="K95" s="57">
        <f t="shared" si="27"/>
        <v>0.451923833050148</v>
      </c>
      <c r="L95" s="58">
        <f t="shared" si="28"/>
        <v>0.00082923280292413</v>
      </c>
      <c r="M95" s="43">
        <f t="shared" si="29"/>
        <v>8.2923280292413</v>
      </c>
    </row>
    <row r="96" ht="15.75" customHeight="1" spans="2:13">
      <c r="B96" s="16">
        <v>3</v>
      </c>
      <c r="C96" s="16">
        <v>3.25</v>
      </c>
      <c r="D96" s="49">
        <f>VLOOKUP(B96,OIS_Curve!$B$19:$D$58,3,FALSE())</f>
        <v>0.898112084896219</v>
      </c>
      <c r="E96" s="49">
        <f>VLOOKUP(C96,OIS_Curve!$B$19:$D$58,3,FALSE())</f>
        <v>0.890040326710701</v>
      </c>
      <c r="F96" s="50">
        <f>Par_Rates!$E$9</f>
        <v>0.0359004710987383</v>
      </c>
      <c r="G96" s="49">
        <f t="shared" si="24"/>
        <v>0.991104718425089</v>
      </c>
      <c r="H96" s="59">
        <f>IF(B96=0,0,(Parameters!$C$5/Parameters!$C$4)*(1-EXP(-Parameters!$C$4*0.25))*SQRT((1-EXP(-2*Parameters!$C$4*B96))/(2*Parameters!$C$4)))</f>
        <v>0.00274705269428857</v>
      </c>
      <c r="I96" s="60">
        <f t="shared" si="25"/>
        <v>-0.0324894064899635</v>
      </c>
      <c r="J96" s="60">
        <f t="shared" si="26"/>
        <v>0.514054404976334</v>
      </c>
      <c r="K96" s="60">
        <f t="shared" si="27"/>
        <v>0.512959118016149</v>
      </c>
      <c r="L96" s="61">
        <f t="shared" si="28"/>
        <v>0.00102654379314522</v>
      </c>
      <c r="M96" s="41">
        <f t="shared" si="29"/>
        <v>10.2654379314522</v>
      </c>
    </row>
    <row r="97" ht="15.75" customHeight="1" spans="2:13">
      <c r="B97" s="12">
        <v>3.25</v>
      </c>
      <c r="C97" s="12">
        <v>3.5</v>
      </c>
      <c r="D97" s="44">
        <f>VLOOKUP(B97,OIS_Curve!$B$19:$D$58,3,FALSE())</f>
        <v>0.890040326710701</v>
      </c>
      <c r="E97" s="44">
        <f>VLOOKUP(C97,OIS_Curve!$B$19:$D$58,3,FALSE())</f>
        <v>0.882031197720876</v>
      </c>
      <c r="F97" s="45">
        <f>Par_Rates!$E$9</f>
        <v>0.0359004710987383</v>
      </c>
      <c r="G97" s="44">
        <f t="shared" si="24"/>
        <v>0.991104718425089</v>
      </c>
      <c r="H97" s="56">
        <f>IF(B97=0,0,(Parameters!$C$5/Parameters!$C$4)*(1-EXP(-Parameters!$C$4*0.25))*SQRT((1-EXP(-2*Parameters!$C$4*B97))/(2*Parameters!$C$4)))</f>
        <v>0.00281121313207036</v>
      </c>
      <c r="I97" s="57">
        <f t="shared" si="25"/>
        <v>-0.0356833205966006</v>
      </c>
      <c r="J97" s="57">
        <f t="shared" si="26"/>
        <v>0.515353305145968</v>
      </c>
      <c r="K97" s="57">
        <f t="shared" si="27"/>
        <v>0.514232564841056</v>
      </c>
      <c r="L97" s="58">
        <f t="shared" si="28"/>
        <v>0.00104522233421944</v>
      </c>
      <c r="M97" s="43">
        <f t="shared" si="29"/>
        <v>10.4522233421944</v>
      </c>
    </row>
    <row r="98" ht="15.75" customHeight="1" spans="2:13">
      <c r="B98" s="16">
        <v>3.5</v>
      </c>
      <c r="C98" s="16">
        <v>3.75</v>
      </c>
      <c r="D98" s="49">
        <f>VLOOKUP(B98,OIS_Curve!$B$19:$D$58,3,FALSE())</f>
        <v>0.882031197720876</v>
      </c>
      <c r="E98" s="49">
        <f>VLOOKUP(C98,OIS_Curve!$B$19:$D$58,3,FALSE())</f>
        <v>0.874084313610749</v>
      </c>
      <c r="F98" s="50">
        <f>Par_Rates!$E$9</f>
        <v>0.0359004710987383</v>
      </c>
      <c r="G98" s="49">
        <f t="shared" si="24"/>
        <v>0.991104718425089</v>
      </c>
      <c r="H98" s="59">
        <f>IF(B98=0,0,(Parameters!$C$5/Parameters!$C$4)*(1-EXP(-Parameters!$C$4*0.25))*SQRT((1-EXP(-2*Parameters!$C$4*B98))/(2*Parameters!$C$4)))</f>
        <v>0.0028690951260356</v>
      </c>
      <c r="I98" s="60">
        <f t="shared" si="25"/>
        <v>-0.0388243118431068</v>
      </c>
      <c r="J98" s="60">
        <f t="shared" si="26"/>
        <v>0.516628445065415</v>
      </c>
      <c r="K98" s="60">
        <f t="shared" si="27"/>
        <v>0.515484769301716</v>
      </c>
      <c r="L98" s="61">
        <f t="shared" si="28"/>
        <v>0.00106127243125604</v>
      </c>
      <c r="M98" s="41">
        <f t="shared" si="29"/>
        <v>10.6127243125604</v>
      </c>
    </row>
    <row r="99" ht="15.75" customHeight="1" spans="2:13">
      <c r="B99" s="12">
        <v>3.75</v>
      </c>
      <c r="C99" s="12">
        <v>4</v>
      </c>
      <c r="D99" s="44">
        <f>VLOOKUP(B99,OIS_Curve!$B$19:$D$58,3,FALSE())</f>
        <v>0.874084313610749</v>
      </c>
      <c r="E99" s="44">
        <f>VLOOKUP(C99,OIS_Curve!$B$19:$D$58,3,FALSE())</f>
        <v>0.866199291435047</v>
      </c>
      <c r="F99" s="45">
        <f>Par_Rates!$E$9</f>
        <v>0.0359004710987383</v>
      </c>
      <c r="G99" s="44">
        <f t="shared" si="24"/>
        <v>0.991104718425089</v>
      </c>
      <c r="H99" s="56">
        <f>IF(B99=0,0,(Parameters!$C$5/Parameters!$C$4)*(1-EXP(-Parameters!$C$4*0.25))*SQRT((1-EXP(-2*Parameters!$C$4*B99))/(2*Parameters!$C$4)))</f>
        <v>0.00292144373716899</v>
      </c>
      <c r="I99" s="57">
        <f t="shared" si="25"/>
        <v>-0.0419247159192214</v>
      </c>
      <c r="J99" s="57">
        <f t="shared" si="26"/>
        <v>0.517885034001797</v>
      </c>
      <c r="K99" s="57">
        <f t="shared" si="27"/>
        <v>0.5167206433688</v>
      </c>
      <c r="L99" s="58">
        <f t="shared" si="28"/>
        <v>0.00107501868484616</v>
      </c>
      <c r="M99" s="43">
        <f t="shared" si="29"/>
        <v>10.7501868484616</v>
      </c>
    </row>
    <row r="100" ht="15.75" customHeight="1" spans="2:13">
      <c r="B100" s="16">
        <v>4</v>
      </c>
      <c r="C100" s="16">
        <v>4.25</v>
      </c>
      <c r="D100" s="49">
        <f>VLOOKUP(B100,OIS_Curve!$B$19:$D$58,3,FALSE())</f>
        <v>0.866199291435047</v>
      </c>
      <c r="E100" s="49">
        <f>VLOOKUP(C100,OIS_Curve!$B$19:$D$58,3,FALSE())</f>
        <v>0.859004040505197</v>
      </c>
      <c r="F100" s="50">
        <f>Par_Rates!$E$9</f>
        <v>0.0359004710987383</v>
      </c>
      <c r="G100" s="49">
        <f t="shared" si="24"/>
        <v>0.991104718425089</v>
      </c>
      <c r="H100" s="59">
        <f>IF(B100=0,0,(Parameters!$C$5/Parameters!$C$4)*(1-EXP(-Parameters!$C$4*0.25))*SQRT((1-EXP(-2*Parameters!$C$4*B100))/(2*Parameters!$C$4)))</f>
        <v>0.00296888902340066</v>
      </c>
      <c r="I100" s="60">
        <f t="shared" si="25"/>
        <v>0.201456797698748</v>
      </c>
      <c r="J100" s="60">
        <f t="shared" si="26"/>
        <v>0.421331672018455</v>
      </c>
      <c r="K100" s="60">
        <f t="shared" si="27"/>
        <v>0.420170703647004</v>
      </c>
      <c r="L100" s="61">
        <f t="shared" si="28"/>
        <v>0.000789489337711777</v>
      </c>
      <c r="M100" s="41">
        <f t="shared" si="29"/>
        <v>7.89489337711777</v>
      </c>
    </row>
    <row r="101" ht="15.75" customHeight="1" spans="2:13">
      <c r="B101" s="12">
        <v>4.25</v>
      </c>
      <c r="C101" s="12">
        <v>4.5</v>
      </c>
      <c r="D101" s="44">
        <f>VLOOKUP(B101,OIS_Curve!$B$19:$D$58,3,FALSE())</f>
        <v>0.859004040505197</v>
      </c>
      <c r="E101" s="44">
        <f>VLOOKUP(C101,OIS_Curve!$B$19:$D$58,3,FALSE())</f>
        <v>0.851932313707466</v>
      </c>
      <c r="F101" s="45">
        <f>Par_Rates!$E$9</f>
        <v>0.0359004710987383</v>
      </c>
      <c r="G101" s="44">
        <f t="shared" si="24"/>
        <v>0.991104718425089</v>
      </c>
      <c r="H101" s="56">
        <f>IF(B101=0,0,(Parameters!$C$5/Parameters!$C$4)*(1-EXP(-Parameters!$C$4*0.25))*SQRT((1-EXP(-2*Parameters!$C$4*B101))/(2*Parameters!$C$4)))</f>
        <v>0.00301196926646191</v>
      </c>
      <c r="I101" s="57">
        <f t="shared" si="25"/>
        <v>0.223465337181446</v>
      </c>
      <c r="J101" s="57">
        <f t="shared" si="26"/>
        <v>0.412759042991601</v>
      </c>
      <c r="K101" s="57">
        <f t="shared" si="27"/>
        <v>0.41158667897592</v>
      </c>
      <c r="L101" s="58">
        <f t="shared" si="28"/>
        <v>0.000770622851123251</v>
      </c>
      <c r="M101" s="43">
        <f t="shared" si="29"/>
        <v>7.70622851123251</v>
      </c>
    </row>
    <row r="102" ht="15.75" customHeight="1" spans="2:13">
      <c r="B102" s="16">
        <v>4.5</v>
      </c>
      <c r="C102" s="16">
        <v>4.75</v>
      </c>
      <c r="D102" s="49">
        <f>VLOOKUP(B102,OIS_Curve!$B$19:$D$58,3,FALSE())</f>
        <v>0.851932313707466</v>
      </c>
      <c r="E102" s="49">
        <f>VLOOKUP(C102,OIS_Curve!$B$19:$D$58,3,FALSE())</f>
        <v>0.844982039968139</v>
      </c>
      <c r="F102" s="50">
        <f>Par_Rates!$E$9</f>
        <v>0.0359004710987383</v>
      </c>
      <c r="G102" s="49">
        <f t="shared" si="24"/>
        <v>0.991104718425089</v>
      </c>
      <c r="H102" s="59">
        <f>IF(B102=0,0,(Parameters!$C$5/Parameters!$C$4)*(1-EXP(-Parameters!$C$4*0.25))*SQRT((1-EXP(-2*Parameters!$C$4*B102))/(2*Parameters!$C$4)))</f>
        <v>0.00305114836324089</v>
      </c>
      <c r="I102" s="60">
        <f t="shared" si="25"/>
        <v>0.24516294729494</v>
      </c>
      <c r="J102" s="60">
        <f t="shared" si="26"/>
        <v>0.404346767959842</v>
      </c>
      <c r="K102" s="60">
        <f t="shared" si="27"/>
        <v>0.403165132396461</v>
      </c>
      <c r="L102" s="61">
        <f t="shared" si="28"/>
        <v>0.000751252448046859</v>
      </c>
      <c r="M102" s="41">
        <f t="shared" si="29"/>
        <v>7.51252448046859</v>
      </c>
    </row>
    <row r="103" ht="15.75" customHeight="1" spans="2:13">
      <c r="B103" s="12">
        <v>4.75</v>
      </c>
      <c r="C103" s="12">
        <v>5</v>
      </c>
      <c r="D103" s="44">
        <f>VLOOKUP(B103,OIS_Curve!$B$19:$D$58,3,FALSE())</f>
        <v>0.844982039968139</v>
      </c>
      <c r="E103" s="44">
        <f>VLOOKUP(C103,OIS_Curve!$B$19:$D$58,3,FALSE())</f>
        <v>0.838151192344588</v>
      </c>
      <c r="F103" s="45">
        <f>Par_Rates!$E$9</f>
        <v>0.0359004710987383</v>
      </c>
      <c r="G103" s="44">
        <f t="shared" si="24"/>
        <v>0.991104718425089</v>
      </c>
      <c r="H103" s="56">
        <f>IF(B103=0,0,(Parameters!$C$5/Parameters!$C$4)*(1-EXP(-Parameters!$C$4*0.25))*SQRT((1-EXP(-2*Parameters!$C$4*B103))/(2*Parameters!$C$4)))</f>
        <v>0.00308682910548797</v>
      </c>
      <c r="I103" s="57">
        <f t="shared" si="25"/>
        <v>0.266609204771927</v>
      </c>
      <c r="J103" s="57">
        <f t="shared" si="26"/>
        <v>0.396073989780178</v>
      </c>
      <c r="K103" s="57">
        <f t="shared" si="27"/>
        <v>0.394885033858015</v>
      </c>
      <c r="L103" s="58">
        <f t="shared" si="28"/>
        <v>0.000731520991707786</v>
      </c>
      <c r="M103" s="43">
        <f t="shared" si="29"/>
        <v>7.31520991707786</v>
      </c>
    </row>
    <row r="104" ht="15.75" customHeight="1" spans="2:13">
      <c r="B104" s="16">
        <v>5</v>
      </c>
      <c r="C104" s="16">
        <v>5.25</v>
      </c>
      <c r="D104" s="49">
        <f>VLOOKUP(B104,OIS_Curve!$B$19:$D$58,3,FALSE())</f>
        <v>0.838151192344588</v>
      </c>
      <c r="E104" s="49">
        <f>VLOOKUP(C104,OIS_Curve!$B$19:$D$58,3,FALSE())</f>
        <v>0.830518323961271</v>
      </c>
      <c r="F104" s="50">
        <f>Par_Rates!$E$9</f>
        <v>0.0359004710987383</v>
      </c>
      <c r="G104" s="49">
        <f t="shared" si="24"/>
        <v>0.991104718425089</v>
      </c>
      <c r="H104" s="59">
        <f>IF(B104=0,0,(Parameters!$C$5/Parameters!$C$4)*(1-EXP(-Parameters!$C$4*0.25))*SQRT((1-EXP(-2*Parameters!$C$4*B104))/(2*Parameters!$C$4)))</f>
        <v>0.00311936349614793</v>
      </c>
      <c r="I104" s="60">
        <f t="shared" si="25"/>
        <v>-0.0668617454258012</v>
      </c>
      <c r="J104" s="60">
        <f t="shared" si="26"/>
        <v>0.527895652167496</v>
      </c>
      <c r="K104" s="60">
        <f t="shared" si="27"/>
        <v>0.526654116207165</v>
      </c>
      <c r="L104" s="61">
        <f t="shared" si="28"/>
        <v>0.00113479673611821</v>
      </c>
      <c r="M104" s="41">
        <f t="shared" si="29"/>
        <v>11.3479673611821</v>
      </c>
    </row>
    <row r="105" ht="15.75" customHeight="1" spans="2:13">
      <c r="B105" s="12">
        <v>5.25</v>
      </c>
      <c r="C105" s="12">
        <v>5.5</v>
      </c>
      <c r="D105" s="44">
        <f>VLOOKUP(B105,OIS_Curve!$B$19:$D$58,3,FALSE())</f>
        <v>0.830518323961271</v>
      </c>
      <c r="E105" s="44">
        <f>VLOOKUP(C105,OIS_Curve!$B$19:$D$58,3,FALSE())</f>
        <v>0.822929833595843</v>
      </c>
      <c r="F105" s="45">
        <f>Par_Rates!$E$9</f>
        <v>0.0359004710987383</v>
      </c>
      <c r="G105" s="44">
        <f t="shared" si="24"/>
        <v>0.991104718425089</v>
      </c>
      <c r="H105" s="56">
        <f>IF(B105=0,0,(Parameters!$C$5/Parameters!$C$4)*(1-EXP(-Parameters!$C$4*0.25))*SQRT((1-EXP(-2*Parameters!$C$4*B105))/(2*Parameters!$C$4)))</f>
        <v>0.00314906088677719</v>
      </c>
      <c r="I105" s="57">
        <f t="shared" si="25"/>
        <v>-0.0758998760907497</v>
      </c>
      <c r="J105" s="57">
        <f t="shared" si="26"/>
        <v>0.531503150632748</v>
      </c>
      <c r="K105" s="57">
        <f t="shared" si="27"/>
        <v>0.530250622278984</v>
      </c>
      <c r="L105" s="58">
        <f t="shared" si="28"/>
        <v>0.00114767556466151</v>
      </c>
      <c r="M105" s="43">
        <f t="shared" si="29"/>
        <v>11.4767556466151</v>
      </c>
    </row>
    <row r="106" ht="15.75" customHeight="1" spans="2:13">
      <c r="B106" s="16">
        <v>5.5</v>
      </c>
      <c r="C106" s="16">
        <v>5.75</v>
      </c>
      <c r="D106" s="49">
        <f>VLOOKUP(B106,OIS_Curve!$B$19:$D$58,3,FALSE())</f>
        <v>0.822929833595843</v>
      </c>
      <c r="E106" s="49">
        <f>VLOOKUP(C106,OIS_Curve!$B$19:$D$58,3,FALSE())</f>
        <v>0.815385777149241</v>
      </c>
      <c r="F106" s="50">
        <f>Par_Rates!$E$9</f>
        <v>0.0359004710987383</v>
      </c>
      <c r="G106" s="49">
        <f t="shared" si="24"/>
        <v>0.991104718425089</v>
      </c>
      <c r="H106" s="59">
        <f>IF(B106=0,0,(Parameters!$C$5/Parameters!$C$4)*(1-EXP(-Parameters!$C$4*0.25))*SQRT((1-EXP(-2*Parameters!$C$4*B106))/(2*Parameters!$C$4)))</f>
        <v>0.00317619448407471</v>
      </c>
      <c r="I106" s="60">
        <f t="shared" si="25"/>
        <v>-0.0848398421623453</v>
      </c>
      <c r="J106" s="60">
        <f t="shared" si="26"/>
        <v>0.53506803489601</v>
      </c>
      <c r="K106" s="60">
        <f t="shared" si="27"/>
        <v>0.533805640878284</v>
      </c>
      <c r="L106" s="61">
        <f t="shared" si="28"/>
        <v>0.00115943401509775</v>
      </c>
      <c r="M106" s="41">
        <f t="shared" si="29"/>
        <v>11.5943401509775</v>
      </c>
    </row>
    <row r="107" ht="15.75" customHeight="1" spans="2:13">
      <c r="B107" s="12">
        <v>5.75</v>
      </c>
      <c r="C107" s="12">
        <v>6</v>
      </c>
      <c r="D107" s="44">
        <f>VLOOKUP(B107,OIS_Curve!$B$19:$D$58,3,FALSE())</f>
        <v>0.815385777149241</v>
      </c>
      <c r="E107" s="44">
        <f>VLOOKUP(C107,OIS_Curve!$B$19:$D$58,3,FALSE())</f>
        <v>0.807886205958442</v>
      </c>
      <c r="F107" s="45">
        <f>Par_Rates!$E$9</f>
        <v>0.0359004710987383</v>
      </c>
      <c r="G107" s="44">
        <f t="shared" si="24"/>
        <v>0.991104718425089</v>
      </c>
      <c r="H107" s="56">
        <f>IF(B107=0,0,(Parameters!$C$5/Parameters!$C$4)*(1-EXP(-Parameters!$C$4*0.25))*SQRT((1-EXP(-2*Parameters!$C$4*B107))/(2*Parameters!$C$4)))</f>
        <v>0.00320100661609174</v>
      </c>
      <c r="I107" s="57">
        <f t="shared" si="25"/>
        <v>-0.0936983517260177</v>
      </c>
      <c r="J107" s="57">
        <f t="shared" si="26"/>
        <v>0.538596840810342</v>
      </c>
      <c r="K107" s="57">
        <f t="shared" si="27"/>
        <v>0.537325610174713</v>
      </c>
      <c r="L107" s="58">
        <f t="shared" si="28"/>
        <v>0.00117017483176251</v>
      </c>
      <c r="M107" s="43">
        <f t="shared" si="29"/>
        <v>11.7017483176251</v>
      </c>
    </row>
    <row r="108" ht="15.75" customHeight="1" spans="2:13">
      <c r="B108" s="16">
        <v>6</v>
      </c>
      <c r="C108" s="16">
        <v>6.25</v>
      </c>
      <c r="D108" s="49">
        <f>VLOOKUP(B108,OIS_Curve!$B$19:$D$58,3,FALSE())</f>
        <v>0.807886205958442</v>
      </c>
      <c r="E108" s="49">
        <f>VLOOKUP(C108,OIS_Curve!$B$19:$D$58,3,FALSE())</f>
        <v>0.801300488411683</v>
      </c>
      <c r="F108" s="50">
        <f>Par_Rates!$E$9</f>
        <v>0.0359004710987383</v>
      </c>
      <c r="G108" s="49">
        <f t="shared" si="24"/>
        <v>0.991104718425089</v>
      </c>
      <c r="H108" s="59">
        <f>IF(B108=0,0,(Parameters!$C$5/Parameters!$C$4)*(1-EXP(-Parameters!$C$4*0.25))*SQRT((1-EXP(-2*Parameters!$C$4*B108))/(2*Parameters!$C$4)))</f>
        <v>0.0032237130414895</v>
      </c>
      <c r="I108" s="60">
        <f t="shared" si="25"/>
        <v>0.234227070644698</v>
      </c>
      <c r="J108" s="60">
        <f t="shared" si="26"/>
        <v>0.408656096791123</v>
      </c>
      <c r="K108" s="60">
        <f t="shared" si="27"/>
        <v>0.407404350070999</v>
      </c>
      <c r="L108" s="61">
        <f t="shared" si="28"/>
        <v>0.000764362027876255</v>
      </c>
      <c r="M108" s="41">
        <f t="shared" si="29"/>
        <v>7.64362027876255</v>
      </c>
    </row>
    <row r="109" ht="15.75" customHeight="1" spans="2:13">
      <c r="B109" s="12">
        <v>6.25</v>
      </c>
      <c r="C109" s="12">
        <v>6.5</v>
      </c>
      <c r="D109" s="44">
        <f>VLOOKUP(B109,OIS_Curve!$B$19:$D$58,3,FALSE())</f>
        <v>0.801300488411683</v>
      </c>
      <c r="E109" s="44">
        <f>VLOOKUP(C109,OIS_Curve!$B$19:$D$58,3,FALSE())</f>
        <v>0.794813201266242</v>
      </c>
      <c r="F109" s="45">
        <f>Par_Rates!$E$9</f>
        <v>0.0359004710987383</v>
      </c>
      <c r="G109" s="44">
        <f t="shared" si="24"/>
        <v>0.991104718425089</v>
      </c>
      <c r="H109" s="56">
        <f>IF(B109=0,0,(Parameters!$C$5/Parameters!$C$4)*(1-EXP(-Parameters!$C$4*0.25))*SQRT((1-EXP(-2*Parameters!$C$4*B109))/(2*Parameters!$C$4)))</f>
        <v>0.00324450651078785</v>
      </c>
      <c r="I109" s="57">
        <f t="shared" si="25"/>
        <v>0.250098426304826</v>
      </c>
      <c r="J109" s="57">
        <f t="shared" si="26"/>
        <v>0.402510639739587</v>
      </c>
      <c r="K109" s="57">
        <f t="shared" si="27"/>
        <v>0.401255616471445</v>
      </c>
      <c r="L109" s="58">
        <f t="shared" si="28"/>
        <v>0.000746337331457524</v>
      </c>
      <c r="M109" s="43">
        <f t="shared" si="29"/>
        <v>7.46337331457524</v>
      </c>
    </row>
    <row r="110" ht="15.75" customHeight="1" spans="2:13">
      <c r="B110" s="16">
        <v>6.5</v>
      </c>
      <c r="C110" s="16">
        <v>6.75</v>
      </c>
      <c r="D110" s="49">
        <f>VLOOKUP(B110,OIS_Curve!$B$19:$D$58,3,FALSE())</f>
        <v>0.794813201266242</v>
      </c>
      <c r="E110" s="49">
        <f>VLOOKUP(C110,OIS_Curve!$B$19:$D$58,3,FALSE())</f>
        <v>0.788422820130236</v>
      </c>
      <c r="F110" s="50">
        <f>Par_Rates!$E$9</f>
        <v>0.0359004710987383</v>
      </c>
      <c r="G110" s="49">
        <f t="shared" si="24"/>
        <v>0.991104718425089</v>
      </c>
      <c r="H110" s="59">
        <f>IF(B110=0,0,(Parameters!$C$5/Parameters!$C$4)*(1-EXP(-Parameters!$C$4*0.25))*SQRT((1-EXP(-2*Parameters!$C$4*B110))/(2*Parameters!$C$4)))</f>
        <v>0.00326355973594485</v>
      </c>
      <c r="I110" s="60">
        <f t="shared" si="25"/>
        <v>0.265907752373566</v>
      </c>
      <c r="J110" s="60">
        <f t="shared" si="26"/>
        <v>0.396412417338881</v>
      </c>
      <c r="K110" s="60">
        <f t="shared" si="27"/>
        <v>0.395155127224049</v>
      </c>
      <c r="L110" s="61">
        <f t="shared" si="28"/>
        <v>0.000728310814116473</v>
      </c>
      <c r="M110" s="41">
        <f t="shared" si="29"/>
        <v>7.28310814116473</v>
      </c>
    </row>
    <row r="111" ht="15.75" customHeight="1" spans="2:13">
      <c r="B111" s="12">
        <v>6.75</v>
      </c>
      <c r="C111" s="12">
        <v>7</v>
      </c>
      <c r="D111" s="44">
        <f>VLOOKUP(B111,OIS_Curve!$B$19:$D$58,3,FALSE())</f>
        <v>0.788422820130236</v>
      </c>
      <c r="E111" s="44">
        <f>VLOOKUP(C111,OIS_Curve!$B$19:$D$58,3,FALSE())</f>
        <v>0.782127849212015</v>
      </c>
      <c r="F111" s="45">
        <f>Par_Rates!$E$9</f>
        <v>0.0359004710987383</v>
      </c>
      <c r="G111" s="44">
        <f t="shared" si="24"/>
        <v>0.991104718425089</v>
      </c>
      <c r="H111" s="56">
        <f>IF(B111=0,0,(Parameters!$C$5/Parameters!$C$4)*(1-EXP(-Parameters!$C$4*0.25))*SQRT((1-EXP(-2*Parameters!$C$4*B111))/(2*Parameters!$C$4)))</f>
        <v>0.00328102788682314</v>
      </c>
      <c r="I111" s="57">
        <f t="shared" si="25"/>
        <v>0.281668089615296</v>
      </c>
      <c r="J111" s="57">
        <f t="shared" si="26"/>
        <v>0.390357625183681</v>
      </c>
      <c r="K111" s="57">
        <f t="shared" si="27"/>
        <v>0.389099012480349</v>
      </c>
      <c r="L111" s="58">
        <f t="shared" si="28"/>
        <v>0.000710331668571893</v>
      </c>
      <c r="M111" s="43">
        <f t="shared" si="29"/>
        <v>7.10331668571893</v>
      </c>
    </row>
    <row r="112" ht="15.75" customHeight="1" spans="2:13">
      <c r="B112" s="16">
        <v>7</v>
      </c>
      <c r="C112" s="16">
        <v>7.25</v>
      </c>
      <c r="D112" s="49">
        <f>VLOOKUP(B112,OIS_Curve!$B$19:$D$58,3,FALSE())</f>
        <v>0.782127849212015</v>
      </c>
      <c r="E112" s="49">
        <f>VLOOKUP(C112,OIS_Curve!$B$19:$D$58,3,FALSE())</f>
        <v>0.775108814811001</v>
      </c>
      <c r="F112" s="50">
        <f>Par_Rates!$E$9</f>
        <v>0.0359004710987383</v>
      </c>
      <c r="G112" s="49">
        <f t="shared" si="24"/>
        <v>0.991104718425089</v>
      </c>
      <c r="H112" s="59">
        <f>IF(B112=0,0,(Parameters!$C$5/Parameters!$C$4)*(1-EXP(-Parameters!$C$4*0.25))*SQRT((1-EXP(-2*Parameters!$C$4*B112))/(2*Parameters!$C$4)))</f>
        <v>0.00329705070555523</v>
      </c>
      <c r="I112" s="60">
        <f t="shared" si="25"/>
        <v>-0.0225278494245942</v>
      </c>
      <c r="J112" s="60">
        <f t="shared" si="26"/>
        <v>0.510301499480944</v>
      </c>
      <c r="K112" s="60">
        <f t="shared" si="27"/>
        <v>0.508986551497088</v>
      </c>
      <c r="L112" s="61">
        <f t="shared" si="28"/>
        <v>0.00106018842348266</v>
      </c>
      <c r="M112" s="41">
        <f t="shared" si="29"/>
        <v>10.6018842348266</v>
      </c>
    </row>
    <row r="113" ht="15.75" customHeight="1" spans="2:13">
      <c r="B113" s="12">
        <v>7.25</v>
      </c>
      <c r="C113" s="12">
        <v>7.5</v>
      </c>
      <c r="D113" s="44">
        <f>VLOOKUP(B113,OIS_Curve!$B$19:$D$58,3,FALSE())</f>
        <v>0.775108814811001</v>
      </c>
      <c r="E113" s="44">
        <f>VLOOKUP(C113,OIS_Curve!$B$19:$D$58,3,FALSE())</f>
        <v>0.768140138207388</v>
      </c>
      <c r="F113" s="45">
        <f>Par_Rates!$E$9</f>
        <v>0.0359004710987383</v>
      </c>
      <c r="G113" s="44">
        <f t="shared" si="24"/>
        <v>0.991104718425089</v>
      </c>
      <c r="H113" s="56">
        <f>IF(B113=0,0,(Parameters!$C$5/Parameters!$C$4)*(1-EXP(-Parameters!$C$4*0.25))*SQRT((1-EXP(-2*Parameters!$C$4*B113))/(2*Parameters!$C$4)))</f>
        <v>0.00331175430946765</v>
      </c>
      <c r="I113" s="57">
        <f t="shared" si="25"/>
        <v>-0.0273791252912668</v>
      </c>
      <c r="J113" s="57">
        <f t="shared" si="26"/>
        <v>0.512241967619001</v>
      </c>
      <c r="K113" s="57">
        <f t="shared" si="27"/>
        <v>0.510921326194328</v>
      </c>
      <c r="L113" s="58">
        <f t="shared" si="28"/>
        <v>0.00106171895625889</v>
      </c>
      <c r="M113" s="43">
        <f t="shared" si="29"/>
        <v>10.6171895625889</v>
      </c>
    </row>
    <row r="114" ht="15.75" customHeight="1" spans="2:13">
      <c r="B114" s="16">
        <v>7.5</v>
      </c>
      <c r="C114" s="16">
        <v>7.75</v>
      </c>
      <c r="D114" s="49">
        <f>VLOOKUP(B114,OIS_Curve!$B$19:$D$58,3,FALSE())</f>
        <v>0.768140138207388</v>
      </c>
      <c r="E114" s="49">
        <f>VLOOKUP(C114,OIS_Curve!$B$19:$D$58,3,FALSE())</f>
        <v>0.761221594837746</v>
      </c>
      <c r="F114" s="50">
        <f>Par_Rates!$E$9</f>
        <v>0.0359004710987383</v>
      </c>
      <c r="G114" s="49">
        <f t="shared" si="24"/>
        <v>0.991104718425089</v>
      </c>
      <c r="H114" s="59">
        <f>IF(B114=0,0,(Parameters!$C$5/Parameters!$C$4)*(1-EXP(-Parameters!$C$4*0.25))*SQRT((1-EXP(-2*Parameters!$C$4*B114))/(2*Parameters!$C$4)))</f>
        <v>0.00332525273799735</v>
      </c>
      <c r="I114" s="60">
        <f t="shared" si="25"/>
        <v>-0.0322003200915965</v>
      </c>
      <c r="J114" s="60">
        <f t="shared" si="26"/>
        <v>0.514169672463458</v>
      </c>
      <c r="K114" s="60">
        <f t="shared" si="27"/>
        <v>0.512843849541698</v>
      </c>
      <c r="L114" s="61">
        <f t="shared" si="28"/>
        <v>0.00106277361733396</v>
      </c>
      <c r="M114" s="41">
        <f t="shared" si="29"/>
        <v>10.6277361733396</v>
      </c>
    </row>
    <row r="115" ht="15.75" customHeight="1" spans="2:13">
      <c r="B115" s="12">
        <v>7.75</v>
      </c>
      <c r="C115" s="12">
        <v>8</v>
      </c>
      <c r="D115" s="44">
        <f>VLOOKUP(B115,OIS_Curve!$B$19:$D$58,3,FALSE())</f>
        <v>0.761221594837746</v>
      </c>
      <c r="E115" s="44">
        <f>VLOOKUP(C115,OIS_Curve!$B$19:$D$58,3,FALSE())</f>
        <v>0.754352959697108</v>
      </c>
      <c r="F115" s="45">
        <f>Par_Rates!$E$9</f>
        <v>0.0359004710987383</v>
      </c>
      <c r="G115" s="44">
        <f t="shared" si="24"/>
        <v>0.991104718425089</v>
      </c>
      <c r="H115" s="56">
        <f>IF(B115=0,0,(Parameters!$C$5/Parameters!$C$4)*(1-EXP(-Parameters!$C$4*0.25))*SQRT((1-EXP(-2*Parameters!$C$4*B115))/(2*Parameters!$C$4)))</f>
        <v>0.00333764928750994</v>
      </c>
      <c r="I115" s="57">
        <f t="shared" si="25"/>
        <v>-0.0369957878659968</v>
      </c>
      <c r="J115" s="57">
        <f t="shared" si="26"/>
        <v>0.516086351767194</v>
      </c>
      <c r="K115" s="57">
        <f t="shared" si="27"/>
        <v>0.514755817880488</v>
      </c>
      <c r="L115" s="58">
        <f t="shared" si="28"/>
        <v>0.00106339481067674</v>
      </c>
      <c r="M115" s="43">
        <f t="shared" si="29"/>
        <v>10.6339481067674</v>
      </c>
    </row>
    <row r="116" ht="15.75" customHeight="1" spans="2:13">
      <c r="B116" s="16">
        <v>8</v>
      </c>
      <c r="C116" s="16">
        <v>8.25</v>
      </c>
      <c r="D116" s="49">
        <f>VLOOKUP(B116,OIS_Curve!$B$19:$D$58,3,FALSE())</f>
        <v>0.754352959697108</v>
      </c>
      <c r="E116" s="49">
        <f>VLOOKUP(C116,OIS_Curve!$B$19:$D$58,3,FALSE())</f>
        <v>0.747534007357686</v>
      </c>
      <c r="F116" s="50">
        <f>Par_Rates!$E$9</f>
        <v>0.0359004710987383</v>
      </c>
      <c r="G116" s="49">
        <f t="shared" si="24"/>
        <v>0.991104718425089</v>
      </c>
      <c r="H116" s="59">
        <f>IF(B116=0,0,(Parameters!$C$5/Parameters!$C$4)*(1-EXP(-Parameters!$C$4*0.25))*SQRT((1-EXP(-2*Parameters!$C$4*B116))/(2*Parameters!$C$4)))</f>
        <v>0.00334903766911494</v>
      </c>
      <c r="I116" s="60">
        <f t="shared" si="25"/>
        <v>-0.0417692974872887</v>
      </c>
      <c r="J116" s="60">
        <f t="shared" si="26"/>
        <v>0.51799350651879</v>
      </c>
      <c r="K116" s="60">
        <f t="shared" si="27"/>
        <v>0.516658694650394</v>
      </c>
      <c r="L116" s="61">
        <f t="shared" si="28"/>
        <v>0.00106362080977757</v>
      </c>
      <c r="M116" s="41">
        <f t="shared" si="29"/>
        <v>10.6362080977757</v>
      </c>
    </row>
    <row r="117" ht="15.75" customHeight="1" spans="2:13">
      <c r="B117" s="12">
        <v>8.25</v>
      </c>
      <c r="C117" s="12">
        <v>8.5</v>
      </c>
      <c r="D117" s="44">
        <f>VLOOKUP(B117,OIS_Curve!$B$19:$D$58,3,FALSE())</f>
        <v>0.747534007357686</v>
      </c>
      <c r="E117" s="44">
        <f>VLOOKUP(C117,OIS_Curve!$B$19:$D$58,3,FALSE())</f>
        <v>0.74076451198744</v>
      </c>
      <c r="F117" s="45">
        <f>Par_Rates!$E$9</f>
        <v>0.0359004710987383</v>
      </c>
      <c r="G117" s="44">
        <f t="shared" si="24"/>
        <v>0.991104718425089</v>
      </c>
      <c r="H117" s="56">
        <f>IF(B117=0,0,(Parameters!$C$5/Parameters!$C$4)*(1-EXP(-Parameters!$C$4*0.25))*SQRT((1-EXP(-2*Parameters!$C$4*B117))/(2*Parameters!$C$4)))</f>
        <v>0.00335950301776344</v>
      </c>
      <c r="I117" s="57">
        <f t="shared" si="25"/>
        <v>-0.0465241159845136</v>
      </c>
      <c r="J117" s="57">
        <f t="shared" si="26"/>
        <v>0.519892434403299</v>
      </c>
      <c r="K117" s="57">
        <f t="shared" si="27"/>
        <v>0.518553743440763</v>
      </c>
      <c r="L117" s="58">
        <f t="shared" si="28"/>
        <v>0.00106348620391607</v>
      </c>
      <c r="M117" s="43">
        <f t="shared" si="29"/>
        <v>10.6348620391607</v>
      </c>
    </row>
    <row r="118" ht="15.75" customHeight="1" spans="2:13">
      <c r="B118" s="16">
        <v>8.5</v>
      </c>
      <c r="C118" s="16">
        <v>8.75</v>
      </c>
      <c r="D118" s="49">
        <f>VLOOKUP(B118,OIS_Curve!$B$19:$D$58,3,FALSE())</f>
        <v>0.74076451198744</v>
      </c>
      <c r="E118" s="49">
        <f>VLOOKUP(C118,OIS_Curve!$B$19:$D$58,3,FALSE())</f>
        <v>0.734044247368529</v>
      </c>
      <c r="F118" s="50">
        <f>Par_Rates!$E$9</f>
        <v>0.0359004710987383</v>
      </c>
      <c r="G118" s="49">
        <f t="shared" si="24"/>
        <v>0.991104718425089</v>
      </c>
      <c r="H118" s="59">
        <f>IF(B118=0,0,(Parameters!$C$5/Parameters!$C$4)*(1-EXP(-Parameters!$C$4*0.25))*SQRT((1-EXP(-2*Parameters!$C$4*B118))/(2*Parameters!$C$4)))</f>
        <v>0.00336912277560442</v>
      </c>
      <c r="I118" s="60">
        <f t="shared" si="25"/>
        <v>-0.0512630784435903</v>
      </c>
      <c r="J118" s="60">
        <f t="shared" si="26"/>
        <v>0.521784257902024</v>
      </c>
      <c r="K118" s="60">
        <f t="shared" si="27"/>
        <v>0.520442055732162</v>
      </c>
      <c r="L118" s="61">
        <f t="shared" si="28"/>
        <v>0.00106302228904567</v>
      </c>
      <c r="M118" s="41">
        <f t="shared" si="29"/>
        <v>10.6302228904567</v>
      </c>
    </row>
    <row r="119" ht="15.75" customHeight="1" spans="2:13">
      <c r="B119" s="12">
        <v>8.75</v>
      </c>
      <c r="C119" s="12">
        <v>9</v>
      </c>
      <c r="D119" s="44">
        <f>VLOOKUP(B119,OIS_Curve!$B$19:$D$58,3,FALSE())</f>
        <v>0.734044247368529</v>
      </c>
      <c r="E119" s="44">
        <f>VLOOKUP(C119,OIS_Curve!$B$19:$D$58,3,FALSE())</f>
        <v>0.727372986915615</v>
      </c>
      <c r="F119" s="45">
        <f>Par_Rates!$E$9</f>
        <v>0.0359004710987383</v>
      </c>
      <c r="G119" s="44">
        <f t="shared" si="24"/>
        <v>0.991104718425089</v>
      </c>
      <c r="H119" s="56">
        <f>IF(B119=0,0,(Parameters!$C$5/Parameters!$C$4)*(1-EXP(-Parameters!$C$4*0.25))*SQRT((1-EXP(-2*Parameters!$C$4*B119))/(2*Parameters!$C$4)))</f>
        <v>0.00337796746840041</v>
      </c>
      <c r="I119" s="57">
        <f t="shared" si="25"/>
        <v>-0.0559886469864716</v>
      </c>
      <c r="J119" s="57">
        <f t="shared" si="26"/>
        <v>0.523669948026992</v>
      </c>
      <c r="K119" s="57">
        <f t="shared" si="27"/>
        <v>0.522324574316271</v>
      </c>
      <c r="L119" s="58">
        <f t="shared" si="28"/>
        <v>0.0010622574114201</v>
      </c>
      <c r="M119" s="43">
        <f t="shared" si="29"/>
        <v>10.622574114201</v>
      </c>
    </row>
    <row r="120" ht="15.75" customHeight="1" spans="2:13">
      <c r="B120" s="16">
        <v>9</v>
      </c>
      <c r="C120" s="16">
        <v>9.25</v>
      </c>
      <c r="D120" s="49">
        <f>VLOOKUP(B120,OIS_Curve!$B$19:$D$58,3,FALSE())</f>
        <v>0.727372986915615</v>
      </c>
      <c r="E120" s="49">
        <f>VLOOKUP(C120,OIS_Curve!$B$19:$D$58,3,FALSE())</f>
        <v>0.721960841436222</v>
      </c>
      <c r="F120" s="50">
        <f>Par_Rates!$E$9</f>
        <v>0.0359004710987383</v>
      </c>
      <c r="G120" s="49">
        <f t="shared" si="24"/>
        <v>0.991104718425089</v>
      </c>
      <c r="H120" s="59">
        <f>IF(B120=0,0,(Parameters!$C$5/Parameters!$C$4)*(1-EXP(-Parameters!$C$4*0.25))*SQRT((1-EXP(-2*Parameters!$C$4*B120))/(2*Parameters!$C$4)))</f>
        <v>0.00338610139049247</v>
      </c>
      <c r="I120" s="60">
        <f t="shared" si="25"/>
        <v>0.434812567331607</v>
      </c>
      <c r="J120" s="60">
        <f t="shared" si="26"/>
        <v>0.333079154794097</v>
      </c>
      <c r="K120" s="60">
        <f t="shared" si="27"/>
        <v>0.331849241040219</v>
      </c>
      <c r="L120" s="61">
        <f t="shared" si="28"/>
        <v>0.000540344332139521</v>
      </c>
      <c r="M120" s="41">
        <f t="shared" si="29"/>
        <v>5.40344332139521</v>
      </c>
    </row>
    <row r="121" ht="15.75" customHeight="1" spans="2:13">
      <c r="B121" s="12">
        <v>9.25</v>
      </c>
      <c r="C121" s="12">
        <v>9.5</v>
      </c>
      <c r="D121" s="44">
        <f>VLOOKUP(B121,OIS_Curve!$B$19:$D$58,3,FALSE())</f>
        <v>0.721960841436222</v>
      </c>
      <c r="E121" s="44">
        <f>VLOOKUP(C121,OIS_Curve!$B$19:$D$58,3,FALSE())</f>
        <v>0.716642174236515</v>
      </c>
      <c r="F121" s="45">
        <f>Par_Rates!$E$9</f>
        <v>0.0359004710987383</v>
      </c>
      <c r="G121" s="44">
        <f t="shared" si="24"/>
        <v>0.991104718425089</v>
      </c>
      <c r="H121" s="56">
        <f>IF(B121=0,0,(Parameters!$C$5/Parameters!$C$4)*(1-EXP(-Parameters!$C$4*0.25))*SQRT((1-EXP(-2*Parameters!$C$4*B121))/(2*Parameters!$C$4)))</f>
        <v>0.00339358321116018</v>
      </c>
      <c r="I121" s="57">
        <f t="shared" si="25"/>
        <v>0.455740759399613</v>
      </c>
      <c r="J121" s="57">
        <f t="shared" si="26"/>
        <v>0.325509447506753</v>
      </c>
      <c r="K121" s="57">
        <f t="shared" si="27"/>
        <v>0.324288204154294</v>
      </c>
      <c r="L121" s="58">
        <f t="shared" si="28"/>
        <v>0.000520666074108305</v>
      </c>
      <c r="M121" s="43">
        <f t="shared" si="29"/>
        <v>5.20666074108305</v>
      </c>
    </row>
    <row r="122" ht="15.75" customHeight="1" spans="2:13">
      <c r="B122" s="16">
        <v>9.5</v>
      </c>
      <c r="C122" s="16">
        <v>9.75</v>
      </c>
      <c r="D122" s="49">
        <f>VLOOKUP(B122,OIS_Curve!$B$19:$D$58,3,FALSE())</f>
        <v>0.716642174236515</v>
      </c>
      <c r="E122" s="49">
        <f>VLOOKUP(C122,OIS_Curve!$B$19:$D$58,3,FALSE())</f>
        <v>0.711415509728863</v>
      </c>
      <c r="F122" s="50">
        <f>Par_Rates!$E$9</f>
        <v>0.0359004710987383</v>
      </c>
      <c r="G122" s="49">
        <f t="shared" si="24"/>
        <v>0.991104718425089</v>
      </c>
      <c r="H122" s="59">
        <f>IF(B122=0,0,(Parameters!$C$5/Parameters!$C$4)*(1-EXP(-Parameters!$C$4*0.25))*SQRT((1-EXP(-2*Parameters!$C$4*B122))/(2*Parameters!$C$4)))</f>
        <v>0.00340046651309389</v>
      </c>
      <c r="I122" s="60">
        <f t="shared" si="25"/>
        <v>0.476660174404715</v>
      </c>
      <c r="J122" s="60">
        <f t="shared" si="26"/>
        <v>0.318013952180653</v>
      </c>
      <c r="K122" s="60">
        <f t="shared" si="27"/>
        <v>0.316802063237024</v>
      </c>
      <c r="L122" s="61">
        <f t="shared" si="28"/>
        <v>0.0005015156193802</v>
      </c>
      <c r="M122" s="41">
        <f t="shared" si="29"/>
        <v>5.015156193802</v>
      </c>
    </row>
    <row r="123" ht="15.75" customHeight="1" spans="2:13">
      <c r="B123" s="12">
        <v>9.75</v>
      </c>
      <c r="C123" s="12">
        <v>10</v>
      </c>
      <c r="D123" s="44">
        <f>VLOOKUP(B123,OIS_Curve!$B$19:$D$58,3,FALSE())</f>
        <v>0.711415509728863</v>
      </c>
      <c r="E123" s="44">
        <f>VLOOKUP(C123,OIS_Curve!$B$19:$D$58,3,FALSE())</f>
        <v>0.706279403561188</v>
      </c>
      <c r="F123" s="45">
        <f>Par_Rates!$E$9</f>
        <v>0.0359004710987383</v>
      </c>
      <c r="G123" s="44">
        <f t="shared" si="24"/>
        <v>0.991104718425089</v>
      </c>
      <c r="H123" s="56">
        <f>IF(B123=0,0,(Parameters!$C$5/Parameters!$C$4)*(1-EXP(-Parameters!$C$4*0.25))*SQRT((1-EXP(-2*Parameters!$C$4*B123))/(2*Parameters!$C$4)))</f>
        <v>0.0034068002719729</v>
      </c>
      <c r="I123" s="57">
        <f t="shared" si="25"/>
        <v>0.497574783479439</v>
      </c>
      <c r="J123" s="57">
        <f t="shared" si="26"/>
        <v>0.310593774519367</v>
      </c>
      <c r="K123" s="57">
        <f t="shared" si="27"/>
        <v>0.3093918904278</v>
      </c>
      <c r="L123" s="58">
        <f t="shared" si="28"/>
        <v>0.000482891693960551</v>
      </c>
      <c r="M123" s="43">
        <f t="shared" si="29"/>
        <v>4.82891693960551</v>
      </c>
    </row>
    <row r="124" ht="19.5" customHeight="1" spans="2:13">
      <c r="B124" s="51" t="s">
        <v>138</v>
      </c>
      <c r="C124" s="51"/>
      <c r="D124" s="51"/>
      <c r="E124" s="51"/>
      <c r="F124" s="51"/>
      <c r="G124" s="51"/>
      <c r="H124" s="51"/>
      <c r="I124" s="51"/>
      <c r="J124" s="51"/>
      <c r="K124" s="51"/>
      <c r="L124" s="54">
        <f>SUM(L85:L123)</f>
        <v>0.0333643252127322</v>
      </c>
      <c r="M124" s="55">
        <f>SUM(M85:M123)</f>
        <v>333.643252127322</v>
      </c>
    </row>
  </sheetData>
  <mergeCells count="12">
    <mergeCell ref="B1:M1"/>
    <mergeCell ref="B2:M2"/>
    <mergeCell ref="B3:M3"/>
    <mergeCell ref="B12:K12"/>
    <mergeCell ref="B14:M14"/>
    <mergeCell ref="B27:K27"/>
    <mergeCell ref="B29:M29"/>
    <mergeCell ref="B50:K50"/>
    <mergeCell ref="B52:M52"/>
    <mergeCell ref="B81:K81"/>
    <mergeCell ref="B83:M83"/>
    <mergeCell ref="B124:K12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124"/>
  <sheetViews>
    <sheetView showGridLines="0" zoomScale="150" zoomScaleNormal="150" workbookViewId="0">
      <selection activeCell="B19" sqref="B19"/>
    </sheetView>
  </sheetViews>
  <sheetFormatPr defaultColWidth="8.6328125" defaultRowHeight="16.8"/>
  <cols>
    <col min="1" max="1" width="3" customWidth="1"/>
    <col min="2" max="3" width="10" customWidth="1"/>
    <col min="4" max="5" width="13" customWidth="1"/>
    <col min="6" max="6" width="11" customWidth="1"/>
    <col min="7" max="8" width="12" customWidth="1"/>
    <col min="9" max="11" width="10" customWidth="1"/>
    <col min="12" max="12" width="14" customWidth="1"/>
    <col min="13" max="13" width="12" customWidth="1"/>
    <col min="15" max="15" width="10" customWidth="1"/>
  </cols>
  <sheetData>
    <row r="1" ht="27.75" customHeight="1" spans="2:15">
      <c r="B1" s="1" t="s">
        <v>139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.75" customHeight="1" spans="2:15">
      <c r="B2" s="2" t="s">
        <v>118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9.5" customHeight="1" spans="2:15">
      <c r="B3" s="10" t="s">
        <v>119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O3" s="3" t="s">
        <v>140</v>
      </c>
    </row>
    <row r="4" ht="19.5" customHeight="1" spans="2:15">
      <c r="B4" s="4" t="s">
        <v>18</v>
      </c>
      <c r="C4" s="4" t="s">
        <v>19</v>
      </c>
      <c r="D4" s="4" t="s">
        <v>120</v>
      </c>
      <c r="E4" s="4" t="s">
        <v>121</v>
      </c>
      <c r="F4" s="4" t="s">
        <v>122</v>
      </c>
      <c r="G4" s="4" t="s">
        <v>123</v>
      </c>
      <c r="H4" s="4" t="s">
        <v>124</v>
      </c>
      <c r="I4" s="4" t="s">
        <v>125</v>
      </c>
      <c r="J4" s="4" t="s">
        <v>126</v>
      </c>
      <c r="K4" s="4" t="s">
        <v>127</v>
      </c>
      <c r="L4" s="4" t="s">
        <v>128</v>
      </c>
      <c r="M4" s="4" t="s">
        <v>129</v>
      </c>
    </row>
    <row r="5" ht="15.75" customHeight="1" spans="2:15">
      <c r="B5" s="12">
        <v>0.25</v>
      </c>
      <c r="C5" s="12">
        <v>0.5</v>
      </c>
      <c r="D5" s="44">
        <f>VLOOKUP(B5,OIS_Curve!$B$19:$D$58,3,FALSE())</f>
        <v>0.989731535321044</v>
      </c>
      <c r="E5" s="44">
        <f>VLOOKUP(C5,OIS_Curve!$B$19:$D$58,3,FALSE())</f>
        <v>0.980392156862745</v>
      </c>
      <c r="F5" s="45">
        <f>Par_Rates!$E$5</f>
        <v>0.0396104442875325</v>
      </c>
      <c r="G5" s="6">
        <f>1/(1+F5*0.25)</f>
        <v>0.990194489089029</v>
      </c>
      <c r="H5" s="46">
        <f>(Parameters!$C$5/Parameters!$C$4)*(1-EXP(-Parameters!$C$4*0.25))*SQRT((1-EXP(-2*Parameters!$C$4*B5))/(2*Parameters!$C$4))</f>
        <v>0.000972413048041604</v>
      </c>
      <c r="I5" s="47">
        <f>(1/H5)*LN(E5/(D5*G5))+H5/2</f>
        <v>0.383886346154691</v>
      </c>
      <c r="J5" s="47">
        <f>NORMSDIST(-I5+H5)</f>
        <v>0.350891790086695</v>
      </c>
      <c r="K5" s="47">
        <f>NORMSDIST(-I5)</f>
        <v>0.350531343327291</v>
      </c>
      <c r="L5" s="48">
        <f>(1+F5*0.25)*(G5*D5*J5-E5*K5)</f>
        <v>0.000227377105852642</v>
      </c>
      <c r="M5" s="36">
        <f>L5*10000</f>
        <v>2.27377105852642</v>
      </c>
      <c r="O5" s="9" t="str">
        <f>IF(M5="","?",IF(ABS(M5-HW_Caplets!M5)&lt;0.0000001,"OK","CHECK"))</f>
        <v>OK</v>
      </c>
    </row>
    <row r="6" ht="15.75" customHeight="1" spans="2:15">
      <c r="B6" s="16">
        <v>0.5</v>
      </c>
      <c r="C6" s="16">
        <v>0.75</v>
      </c>
      <c r="D6" s="49">
        <f>VLOOKUP(B6,OIS_Curve!$B$19:$D$58,3,FALSE())</f>
        <v>0.980392156862745</v>
      </c>
      <c r="E6" s="49">
        <f>VLOOKUP(C6,OIS_Curve!$B$19:$D$58,3,FALSE())</f>
        <v>0.971573953796494</v>
      </c>
      <c r="F6" s="50">
        <f>Par_Rates!$E$5</f>
        <v>0.0396104442875325</v>
      </c>
      <c r="G6" s="6">
        <f t="shared" ref="G6:G11" si="0">1/(1+F6*0.25)</f>
        <v>0.990194489089029</v>
      </c>
      <c r="H6" s="46">
        <f>(Parameters!$C$5/Parameters!$C$4)*(1-EXP(-Parameters!$C$4*0.25))*SQRT((1-EXP(-2*Parameters!$C$4*B6))/(2*Parameters!$C$4))</f>
        <v>0.00134810013785897</v>
      </c>
      <c r="I6" s="47">
        <f t="shared" ref="I6:I11" si="1">(1/H6)*LN(E6/(D6*G6))+H6/2</f>
        <v>0.607927951225759</v>
      </c>
      <c r="J6" s="47">
        <f t="shared" ref="J6:J11" si="2">NORMSDIST(-I6+H6)</f>
        <v>0.272064887600213</v>
      </c>
      <c r="K6" s="47">
        <f t="shared" ref="K6:K11" si="3">NORMSDIST(-I6)</f>
        <v>0.271617630166261</v>
      </c>
      <c r="L6" s="48">
        <f t="shared" ref="L6:L11" si="4">(1+F6*0.25)*(G6*D6*J6-E6*K6)</f>
        <v>0.00022040155936492</v>
      </c>
      <c r="M6" s="36">
        <f t="shared" ref="M6:M11" si="5">L6*10000</f>
        <v>2.2040155936492</v>
      </c>
      <c r="O6" s="9" t="str">
        <f>IF(M6="","?",IF(ABS(M6-HW_Caplets!M6)&lt;0.0000001,"OK","CHECK"))</f>
        <v>OK</v>
      </c>
    </row>
    <row r="7" ht="15.75" customHeight="1" spans="2:15">
      <c r="B7" s="12">
        <v>0.75</v>
      </c>
      <c r="C7" s="12">
        <v>1</v>
      </c>
      <c r="D7" s="44">
        <f>VLOOKUP(B7,OIS_Curve!$B$19:$D$58,3,FALSE())</f>
        <v>0.971573953796494</v>
      </c>
      <c r="E7" s="44">
        <f>VLOOKUP(C7,OIS_Curve!$B$19:$D$58,3,FALSE())</f>
        <v>0.963391136801541</v>
      </c>
      <c r="F7" s="45">
        <f>Par_Rates!$E$5</f>
        <v>0.0396104442875325</v>
      </c>
      <c r="G7" s="6">
        <f t="shared" si="0"/>
        <v>0.990194489089029</v>
      </c>
      <c r="H7" s="46">
        <f>(Parameters!$C$5/Parameters!$C$4)*(1-EXP(-Parameters!$C$4*0.25))*SQRT((1-EXP(-2*Parameters!$C$4*B7))/(2*Parameters!$C$4))</f>
        <v>0.00161898747133126</v>
      </c>
      <c r="I7" s="47">
        <f t="shared" si="1"/>
        <v>0.863080854539986</v>
      </c>
      <c r="J7" s="47">
        <f t="shared" si="2"/>
        <v>0.194491857324963</v>
      </c>
      <c r="K7" s="47">
        <f t="shared" si="3"/>
        <v>0.194046506784219</v>
      </c>
      <c r="L7" s="48">
        <f t="shared" si="4"/>
        <v>0.000169317339277047</v>
      </c>
      <c r="M7" s="36">
        <f t="shared" si="5"/>
        <v>1.69317339277047</v>
      </c>
      <c r="O7" s="9" t="str">
        <f>IF(M7="","?",IF(ABS(M7-HW_Caplets!M7)&lt;0.0000001,"OK","CHECK"))</f>
        <v>OK</v>
      </c>
    </row>
    <row r="8" ht="15.75" customHeight="1" spans="2:15">
      <c r="B8" s="16">
        <v>1</v>
      </c>
      <c r="C8" s="16">
        <v>1.25</v>
      </c>
      <c r="D8" s="49">
        <f>VLOOKUP(B8,OIS_Curve!$B$19:$D$58,3,FALSE())</f>
        <v>0.963391136801541</v>
      </c>
      <c r="E8" s="49">
        <f>VLOOKUP(C8,OIS_Curve!$B$19:$D$58,3,FALSE())</f>
        <v>0.954743122287646</v>
      </c>
      <c r="F8" s="50">
        <f>Par_Rates!$E$5</f>
        <v>0.0396104442875325</v>
      </c>
      <c r="G8" s="6">
        <f t="shared" si="0"/>
        <v>0.990194489089029</v>
      </c>
      <c r="H8" s="46">
        <f>(Parameters!$C$5/Parameters!$C$4)*(1-EXP(-Parameters!$C$4*0.25))*SQRT((1-EXP(-2*Parameters!$C$4*B8))/(2*Parameters!$C$4))</f>
        <v>0.00183361305631501</v>
      </c>
      <c r="I8" s="47">
        <f t="shared" si="1"/>
        <v>0.457245191758194</v>
      </c>
      <c r="J8" s="47">
        <f t="shared" si="2"/>
        <v>0.324406583406641</v>
      </c>
      <c r="K8" s="47">
        <f t="shared" si="3"/>
        <v>0.323747409624623</v>
      </c>
      <c r="L8" s="48">
        <f t="shared" si="4"/>
        <v>0.000373960839908405</v>
      </c>
      <c r="M8" s="36">
        <f t="shared" si="5"/>
        <v>3.73960839908405</v>
      </c>
      <c r="O8" s="9" t="str">
        <f>IF(M8="","?",IF(ABS(M8-HW_Caplets!M8)&lt;0.0000001,"OK","CHECK"))</f>
        <v>OK</v>
      </c>
    </row>
    <row r="9" ht="15.75" customHeight="1" spans="2:15">
      <c r="B9" s="12">
        <v>1.25</v>
      </c>
      <c r="C9" s="12">
        <v>1.5</v>
      </c>
      <c r="D9" s="44">
        <f>VLOOKUP(B9,OIS_Curve!$B$19:$D$58,3,FALSE())</f>
        <v>0.954743122287646</v>
      </c>
      <c r="E9" s="44">
        <f>VLOOKUP(C9,OIS_Curve!$B$19:$D$58,3,FALSE())</f>
        <v>0.946288849612581</v>
      </c>
      <c r="F9" s="45">
        <f>Par_Rates!$E$5</f>
        <v>0.0396104442875325</v>
      </c>
      <c r="G9" s="6">
        <f t="shared" si="0"/>
        <v>0.990194489089029</v>
      </c>
      <c r="H9" s="46">
        <f>(Parameters!$C$5/Parameters!$C$4)*(1-EXP(-Parameters!$C$4*0.25))*SQRT((1-EXP(-2*Parameters!$C$4*B9))/(2*Parameters!$C$4))</f>
        <v>0.00201129786471566</v>
      </c>
      <c r="I9" s="47">
        <f t="shared" si="1"/>
        <v>0.478030679034518</v>
      </c>
      <c r="J9" s="47">
        <f t="shared" si="2"/>
        <v>0.31703028515957</v>
      </c>
      <c r="K9" s="47">
        <f t="shared" si="3"/>
        <v>0.316314184750372</v>
      </c>
      <c r="L9" s="48">
        <f t="shared" si="4"/>
        <v>0.000393803349973703</v>
      </c>
      <c r="M9" s="36">
        <f t="shared" si="5"/>
        <v>3.93803349973703</v>
      </c>
      <c r="O9" s="9" t="str">
        <f>IF(M9="","?",IF(ABS(M9-HW_Caplets!M9)&lt;0.0000001,"OK","CHECK"))</f>
        <v>OK</v>
      </c>
    </row>
    <row r="10" ht="15.75" customHeight="1" spans="2:15">
      <c r="B10" s="16">
        <v>1.5</v>
      </c>
      <c r="C10" s="16">
        <v>1.75</v>
      </c>
      <c r="D10" s="49">
        <f>VLOOKUP(B10,OIS_Curve!$B$19:$D$58,3,FALSE())</f>
        <v>0.946288849612581</v>
      </c>
      <c r="E10" s="49">
        <f>VLOOKUP(C10,OIS_Curve!$B$19:$D$58,3,FALSE())</f>
        <v>0.938024537404291</v>
      </c>
      <c r="F10" s="50">
        <f>Par_Rates!$E$5</f>
        <v>0.0396104442875325</v>
      </c>
      <c r="G10" s="6">
        <f t="shared" si="0"/>
        <v>0.990194489089029</v>
      </c>
      <c r="H10" s="46">
        <f>(Parameters!$C$5/Parameters!$C$4)*(1-EXP(-Parameters!$C$4*0.25))*SQRT((1-EXP(-2*Parameters!$C$4*B10))/(2*Parameters!$C$4))</f>
        <v>0.00216221668621274</v>
      </c>
      <c r="I10" s="47">
        <f t="shared" si="1"/>
        <v>0.501562475774285</v>
      </c>
      <c r="J10" s="47">
        <f t="shared" si="2"/>
        <v>0.308748718355143</v>
      </c>
      <c r="K10" s="47">
        <f t="shared" si="3"/>
        <v>0.307987660226661</v>
      </c>
      <c r="L10" s="48">
        <f t="shared" si="4"/>
        <v>0.000404622835829851</v>
      </c>
      <c r="M10" s="36">
        <f t="shared" si="5"/>
        <v>4.04622835829851</v>
      </c>
      <c r="O10" s="9" t="str">
        <f>IF(M10="","?",IF(ABS(M10-HW_Caplets!M10)&lt;0.0000001,"OK","CHECK"))</f>
        <v>OK</v>
      </c>
    </row>
    <row r="11" ht="15.75" customHeight="1" spans="2:15">
      <c r="B11" s="12">
        <v>1.75</v>
      </c>
      <c r="C11" s="12">
        <v>2</v>
      </c>
      <c r="D11" s="44">
        <f>VLOOKUP(B11,OIS_Curve!$B$19:$D$58,3,FALSE())</f>
        <v>0.938024537404291</v>
      </c>
      <c r="E11" s="44">
        <f>VLOOKUP(C11,OIS_Curve!$B$19:$D$58,3,FALSE())</f>
        <v>0.929946507172944</v>
      </c>
      <c r="F11" s="45">
        <f>Par_Rates!$E$5</f>
        <v>0.0396104442875325</v>
      </c>
      <c r="G11" s="6">
        <f t="shared" si="0"/>
        <v>0.990194489089029</v>
      </c>
      <c r="H11" s="46">
        <f>(Parameters!$C$5/Parameters!$C$4)*(1-EXP(-Parameters!$C$4*0.25))*SQRT((1-EXP(-2*Parameters!$C$4*B11))/(2*Parameters!$C$4))</f>
        <v>0.00229257148854877</v>
      </c>
      <c r="I11" s="47">
        <f t="shared" si="1"/>
        <v>0.526695394748381</v>
      </c>
      <c r="J11" s="47">
        <f t="shared" si="2"/>
        <v>0.299999196638694</v>
      </c>
      <c r="K11" s="47">
        <f t="shared" si="3"/>
        <v>0.29920256709077</v>
      </c>
      <c r="L11" s="48">
        <f t="shared" si="4"/>
        <v>0.000408899350756567</v>
      </c>
      <c r="M11" s="36">
        <f t="shared" si="5"/>
        <v>4.08899350756567</v>
      </c>
      <c r="O11" s="9" t="str">
        <f>IF(M11="","?",IF(ABS(M11-HW_Caplets!M11)&lt;0.0000001,"OK","CHECK"))</f>
        <v>OK</v>
      </c>
    </row>
    <row r="12" ht="19.5" customHeight="1" spans="2:15">
      <c r="B12" s="51" t="s">
        <v>130</v>
      </c>
      <c r="C12" s="51"/>
      <c r="D12" s="51"/>
      <c r="E12" s="51"/>
      <c r="F12" s="51"/>
      <c r="G12" s="51"/>
      <c r="H12" s="51"/>
      <c r="I12" s="51"/>
      <c r="J12" s="51"/>
      <c r="K12" s="51"/>
      <c r="L12" s="48">
        <f>SUM(L5:L11)</f>
        <v>0.00219838238096313</v>
      </c>
      <c r="M12" s="36">
        <f>SUM(M5:M11)</f>
        <v>21.9838238096313</v>
      </c>
    </row>
    <row r="13" spans="2:15">
      <c r="G13" s="52"/>
      <c r="H13" s="52"/>
      <c r="I13" s="52"/>
      <c r="J13" s="52"/>
      <c r="K13" s="52"/>
      <c r="L13" s="52"/>
      <c r="M13" s="52"/>
    </row>
    <row r="14" ht="19.5" customHeight="1" spans="2:15">
      <c r="B14" s="10" t="s">
        <v>131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ht="19.5" customHeight="1" spans="2:15">
      <c r="B15" s="4" t="s">
        <v>18</v>
      </c>
      <c r="C15" s="4" t="s">
        <v>19</v>
      </c>
      <c r="D15" s="4" t="s">
        <v>120</v>
      </c>
      <c r="E15" s="4" t="s">
        <v>121</v>
      </c>
      <c r="F15" s="4" t="s">
        <v>122</v>
      </c>
      <c r="G15" s="53"/>
      <c r="H15" s="53"/>
      <c r="I15" s="53"/>
      <c r="J15" s="53"/>
      <c r="K15" s="53"/>
      <c r="L15" s="53"/>
      <c r="M15" s="53"/>
    </row>
    <row r="16" ht="15.75" customHeight="1" spans="2:15">
      <c r="B16" s="16">
        <v>0.25</v>
      </c>
      <c r="C16" s="16">
        <v>0.5</v>
      </c>
      <c r="D16" s="49">
        <f>VLOOKUP(B16,OIS_Curve!$B$19:$D$58,3,FALSE())</f>
        <v>0.989731535321044</v>
      </c>
      <c r="E16" s="49">
        <f>VLOOKUP(C16,OIS_Curve!$B$19:$D$58,3,FALSE())</f>
        <v>0.980392156862745</v>
      </c>
      <c r="F16" s="50">
        <f>Par_Rates!$E$6</f>
        <v>0.0367</v>
      </c>
      <c r="G16" s="6">
        <f>1/(1+F16*0.25)</f>
        <v>0.990908415289717</v>
      </c>
      <c r="H16" s="46">
        <f>(Parameters!$C$5/Parameters!$C$4)*(1-EXP(-Parameters!$C$4*0.25))*SQRT((1-EXP(-2*Parameters!$C$4*B16))/(2*Parameters!$C$4))</f>
        <v>0.000972413048041604</v>
      </c>
      <c r="I16" s="47">
        <f>(1/H16)*LN(E16/(D16*G16))+H16/2</f>
        <v>-0.357296778584111</v>
      </c>
      <c r="J16" s="47">
        <f>NORMSDIST(-I16+H16)</f>
        <v>0.639929064272613</v>
      </c>
      <c r="K16" s="47">
        <f>NORMSDIST(-I16)</f>
        <v>0.639565179317258</v>
      </c>
      <c r="L16" s="48">
        <f>(1+F16*0.25)*(G16*D16*J16-E16*K16)</f>
        <v>0.000580338183510542</v>
      </c>
      <c r="M16" s="36">
        <f>L16*10000</f>
        <v>5.80338183510542</v>
      </c>
      <c r="O16" s="9" t="str">
        <f>IF(M16="","?",IF(ABS(M16-HW_Caplets!M16)&lt;0.0000001,"OK","CHECK"))</f>
        <v>OK</v>
      </c>
    </row>
    <row r="17" ht="15.75" customHeight="1" spans="2:15">
      <c r="B17" s="12">
        <v>0.5</v>
      </c>
      <c r="C17" s="12">
        <v>0.75</v>
      </c>
      <c r="D17" s="44">
        <f>VLOOKUP(B17,OIS_Curve!$B$19:$D$58,3,FALSE())</f>
        <v>0.980392156862745</v>
      </c>
      <c r="E17" s="44">
        <f>VLOOKUP(C17,OIS_Curve!$B$19:$D$58,3,FALSE())</f>
        <v>0.971573953796494</v>
      </c>
      <c r="F17" s="45">
        <f>Par_Rates!$E$6</f>
        <v>0.0367</v>
      </c>
      <c r="G17" s="6">
        <f t="shared" ref="G17:G26" si="6">1/(1+F17*0.25)</f>
        <v>0.990908415289717</v>
      </c>
      <c r="H17" s="46">
        <f>(Parameters!$C$5/Parameters!$C$4)*(1-EXP(-Parameters!$C$4*0.25))*SQRT((1-EXP(-2*Parameters!$C$4*B17))/(2*Parameters!$C$4))</f>
        <v>0.00134810013785897</v>
      </c>
      <c r="I17" s="47">
        <f t="shared" ref="I17:I26" si="7">(1/H17)*LN(E17/(D17*G17))+H17/2</f>
        <v>0.073296938852242</v>
      </c>
      <c r="J17" s="47">
        <f t="shared" ref="J17:J26" si="8">NORMSDIST(-I17+H17)</f>
        <v>0.471321311528554</v>
      </c>
      <c r="K17" s="47">
        <f t="shared" ref="K17:K26" si="9">NORMSDIST(-I17)</f>
        <v>0.470784913795893</v>
      </c>
      <c r="L17" s="48">
        <f t="shared" ref="L17:L26" si="10">(1+F17*0.25)*(G17*D17*J17-E17*K17)</f>
        <v>0.000480690446664377</v>
      </c>
      <c r="M17" s="36">
        <f t="shared" ref="M17:M26" si="11">L17*10000</f>
        <v>4.80690446664377</v>
      </c>
      <c r="O17" s="9" t="str">
        <f>IF(M17="","?",IF(ABS(M17-HW_Caplets!M17)&lt;0.0000001,"OK","CHECK"))</f>
        <v>OK</v>
      </c>
    </row>
    <row r="18" ht="15.75" customHeight="1" spans="2:15">
      <c r="B18" s="16">
        <v>0.75</v>
      </c>
      <c r="C18" s="16">
        <v>1</v>
      </c>
      <c r="D18" s="49">
        <f>VLOOKUP(B18,OIS_Curve!$B$19:$D$58,3,FALSE())</f>
        <v>0.971573953796494</v>
      </c>
      <c r="E18" s="49">
        <f>VLOOKUP(C18,OIS_Curve!$B$19:$D$58,3,FALSE())</f>
        <v>0.963391136801541</v>
      </c>
      <c r="F18" s="50">
        <f>Par_Rates!$E$6</f>
        <v>0.0367</v>
      </c>
      <c r="G18" s="6">
        <f t="shared" si="6"/>
        <v>0.990908415289717</v>
      </c>
      <c r="H18" s="46">
        <f>(Parameters!$C$5/Parameters!$C$4)*(1-EXP(-Parameters!$C$4*0.25))*SQRT((1-EXP(-2*Parameters!$C$4*B18))/(2*Parameters!$C$4))</f>
        <v>0.00161898747133126</v>
      </c>
      <c r="I18" s="47">
        <f t="shared" si="7"/>
        <v>0.417903758208412</v>
      </c>
      <c r="J18" s="47">
        <f t="shared" si="8"/>
        <v>0.338600817599499</v>
      </c>
      <c r="K18" s="47">
        <f t="shared" si="9"/>
        <v>0.33800874232541</v>
      </c>
      <c r="L18" s="48">
        <f t="shared" si="10"/>
        <v>0.000353410897834702</v>
      </c>
      <c r="M18" s="36">
        <f t="shared" si="11"/>
        <v>3.53410897834702</v>
      </c>
      <c r="O18" s="9" t="str">
        <f>IF(M18="","?",IF(ABS(M18-HW_Caplets!M18)&lt;0.0000001,"OK","CHECK"))</f>
        <v>OK</v>
      </c>
    </row>
    <row r="19" ht="15.75" customHeight="1" spans="2:15">
      <c r="B19" s="12">
        <v>1</v>
      </c>
      <c r="C19" s="12">
        <v>1.25</v>
      </c>
      <c r="D19" s="44">
        <f>VLOOKUP(B19,OIS_Curve!$B$19:$D$58,3,FALSE())</f>
        <v>0.963391136801541</v>
      </c>
      <c r="E19" s="44">
        <f>VLOOKUP(C19,OIS_Curve!$B$19:$D$58,3,FALSE())</f>
        <v>0.954743122287646</v>
      </c>
      <c r="F19" s="45">
        <f>Par_Rates!$E$6</f>
        <v>0.0367</v>
      </c>
      <c r="G19" s="6">
        <f t="shared" si="6"/>
        <v>0.990908415289717</v>
      </c>
      <c r="H19" s="46">
        <f>(Parameters!$C$5/Parameters!$C$4)*(1-EXP(-Parameters!$C$4*0.25))*SQRT((1-EXP(-2*Parameters!$C$4*B19))/(2*Parameters!$C$4))</f>
        <v>0.00183361305631501</v>
      </c>
      <c r="I19" s="47">
        <f t="shared" si="7"/>
        <v>0.0641763602496307</v>
      </c>
      <c r="J19" s="47">
        <f t="shared" si="8"/>
        <v>0.475144943662167</v>
      </c>
      <c r="K19" s="47">
        <f t="shared" si="9"/>
        <v>0.474414900185984</v>
      </c>
      <c r="L19" s="48">
        <f t="shared" si="10"/>
        <v>0.000650299825744745</v>
      </c>
      <c r="M19" s="36">
        <f t="shared" si="11"/>
        <v>6.50299825744745</v>
      </c>
      <c r="O19" s="9" t="str">
        <f>IF(M19="","?",IF(ABS(M19-HW_Caplets!M19)&lt;0.0000001,"OK","CHECK"))</f>
        <v>OK</v>
      </c>
    </row>
    <row r="20" ht="15.75" customHeight="1" spans="2:15">
      <c r="B20" s="16">
        <v>1.25</v>
      </c>
      <c r="C20" s="16">
        <v>1.5</v>
      </c>
      <c r="D20" s="49">
        <f>VLOOKUP(B20,OIS_Curve!$B$19:$D$58,3,FALSE())</f>
        <v>0.954743122287646</v>
      </c>
      <c r="E20" s="49">
        <f>VLOOKUP(C20,OIS_Curve!$B$19:$D$58,3,FALSE())</f>
        <v>0.946288849612581</v>
      </c>
      <c r="F20" s="50">
        <f>Par_Rates!$E$6</f>
        <v>0.0367</v>
      </c>
      <c r="G20" s="6">
        <f t="shared" si="6"/>
        <v>0.990908415289717</v>
      </c>
      <c r="H20" s="46">
        <f>(Parameters!$C$5/Parameters!$C$4)*(1-EXP(-Parameters!$C$4*0.25))*SQRT((1-EXP(-2*Parameters!$C$4*B20))/(2*Parameters!$C$4))</f>
        <v>0.00201129786471566</v>
      </c>
      <c r="I20" s="47">
        <f t="shared" si="7"/>
        <v>0.119686868240405</v>
      </c>
      <c r="J20" s="47">
        <f t="shared" si="8"/>
        <v>0.453162362140671</v>
      </c>
      <c r="K20" s="47">
        <f t="shared" si="9"/>
        <v>0.452365601601253</v>
      </c>
      <c r="L20" s="48">
        <f t="shared" si="10"/>
        <v>0.000657595075354215</v>
      </c>
      <c r="M20" s="36">
        <f t="shared" si="11"/>
        <v>6.57595075354215</v>
      </c>
      <c r="O20" s="9" t="str">
        <f>IF(M20="","?",IF(ABS(M20-HW_Caplets!M20)&lt;0.0000001,"OK","CHECK"))</f>
        <v>OK</v>
      </c>
    </row>
    <row r="21" ht="15.75" customHeight="1" spans="2:15">
      <c r="B21" s="12">
        <v>1.5</v>
      </c>
      <c r="C21" s="12">
        <v>1.75</v>
      </c>
      <c r="D21" s="44">
        <f>VLOOKUP(B21,OIS_Curve!$B$19:$D$58,3,FALSE())</f>
        <v>0.946288849612581</v>
      </c>
      <c r="E21" s="44">
        <f>VLOOKUP(C21,OIS_Curve!$B$19:$D$58,3,FALSE())</f>
        <v>0.938024537404291</v>
      </c>
      <c r="F21" s="45">
        <f>Par_Rates!$E$6</f>
        <v>0.0367</v>
      </c>
      <c r="G21" s="6">
        <f t="shared" si="6"/>
        <v>0.990908415289717</v>
      </c>
      <c r="H21" s="46">
        <f>(Parameters!$C$5/Parameters!$C$4)*(1-EXP(-Parameters!$C$4*0.25))*SQRT((1-EXP(-2*Parameters!$C$4*B21))/(2*Parameters!$C$4))</f>
        <v>0.00216221668621274</v>
      </c>
      <c r="I21" s="47">
        <f t="shared" si="7"/>
        <v>0.168230416096778</v>
      </c>
      <c r="J21" s="47">
        <f t="shared" si="8"/>
        <v>0.434051639905731</v>
      </c>
      <c r="K21" s="47">
        <f t="shared" si="9"/>
        <v>0.433201006674569</v>
      </c>
      <c r="L21" s="48">
        <f t="shared" si="10"/>
        <v>0.000656762739431865</v>
      </c>
      <c r="M21" s="36">
        <f t="shared" si="11"/>
        <v>6.56762739431865</v>
      </c>
      <c r="O21" s="9" t="str">
        <f>IF(M21="","?",IF(ABS(M21-HW_Caplets!M21)&lt;0.0000001,"OK","CHECK"))</f>
        <v>OK</v>
      </c>
    </row>
    <row r="22" ht="15.75" customHeight="1" spans="2:15">
      <c r="B22" s="16">
        <v>1.75</v>
      </c>
      <c r="C22" s="16">
        <v>2</v>
      </c>
      <c r="D22" s="49">
        <f>VLOOKUP(B22,OIS_Curve!$B$19:$D$58,3,FALSE())</f>
        <v>0.938024537404291</v>
      </c>
      <c r="E22" s="49">
        <f>VLOOKUP(C22,OIS_Curve!$B$19:$D$58,3,FALSE())</f>
        <v>0.929946507172944</v>
      </c>
      <c r="F22" s="50">
        <f>Par_Rates!$E$6</f>
        <v>0.0367</v>
      </c>
      <c r="G22" s="6">
        <f t="shared" si="6"/>
        <v>0.990908415289717</v>
      </c>
      <c r="H22" s="46">
        <f>(Parameters!$C$5/Parameters!$C$4)*(1-EXP(-Parameters!$C$4*0.25))*SQRT((1-EXP(-2*Parameters!$C$4*B22))/(2*Parameters!$C$4))</f>
        <v>0.00229257148854877</v>
      </c>
      <c r="I22" s="47">
        <f t="shared" si="7"/>
        <v>0.212316477848965</v>
      </c>
      <c r="J22" s="47">
        <f t="shared" si="8"/>
        <v>0.416824507278002</v>
      </c>
      <c r="K22" s="47">
        <f t="shared" si="9"/>
        <v>0.415930070501793</v>
      </c>
      <c r="L22" s="48">
        <f t="shared" si="10"/>
        <v>0.000650076154907491</v>
      </c>
      <c r="M22" s="36">
        <f t="shared" si="11"/>
        <v>6.50076154907491</v>
      </c>
      <c r="O22" s="9" t="str">
        <f>IF(M22="","?",IF(ABS(M22-HW_Caplets!M22)&lt;0.0000001,"OK","CHECK"))</f>
        <v>OK</v>
      </c>
    </row>
    <row r="23" ht="15.75" customHeight="1" spans="2:15">
      <c r="B23" s="12">
        <v>2</v>
      </c>
      <c r="C23" s="12">
        <v>2.25</v>
      </c>
      <c r="D23" s="44">
        <f>VLOOKUP(B23,OIS_Curve!$B$19:$D$58,3,FALSE())</f>
        <v>0.929946507172944</v>
      </c>
      <c r="E23" s="44">
        <f>VLOOKUP(C23,OIS_Curve!$B$19:$D$58,3,FALSE())</f>
        <v>0.92179826516081</v>
      </c>
      <c r="F23" s="45">
        <f>Par_Rates!$E$6</f>
        <v>0.0367</v>
      </c>
      <c r="G23" s="6">
        <f t="shared" si="6"/>
        <v>0.990908415289717</v>
      </c>
      <c r="H23" s="46">
        <f>(Parameters!$C$5/Parameters!$C$4)*(1-EXP(-Parameters!$C$4*0.25))*SQRT((1-EXP(-2*Parameters!$C$4*B23))/(2*Parameters!$C$4))</f>
        <v>0.00240650470624022</v>
      </c>
      <c r="I23" s="47">
        <f t="shared" si="7"/>
        <v>0.13936975096414</v>
      </c>
      <c r="J23" s="47">
        <f t="shared" si="8"/>
        <v>0.445529923256276</v>
      </c>
      <c r="K23" s="47">
        <f t="shared" si="9"/>
        <v>0.44457898714111</v>
      </c>
      <c r="L23" s="48">
        <f t="shared" si="10"/>
        <v>0.00074683052357857</v>
      </c>
      <c r="M23" s="36">
        <f t="shared" si="11"/>
        <v>7.4683052357857</v>
      </c>
      <c r="O23" s="9" t="str">
        <f>IF(M23="","?",IF(ABS(M23-HW_Caplets!M23)&lt;0.0000001,"OK","CHECK"))</f>
        <v>OK</v>
      </c>
    </row>
    <row r="24" ht="15.75" customHeight="1" spans="2:15">
      <c r="B24" s="16">
        <v>2.25</v>
      </c>
      <c r="C24" s="16">
        <v>2.5</v>
      </c>
      <c r="D24" s="49">
        <f>VLOOKUP(B24,OIS_Curve!$B$19:$D$58,3,FALSE())</f>
        <v>0.92179826516081</v>
      </c>
      <c r="E24" s="49">
        <f>VLOOKUP(C24,OIS_Curve!$B$19:$D$58,3,FALSE())</f>
        <v>0.913777839413286</v>
      </c>
      <c r="F24" s="50">
        <f>Par_Rates!$E$6</f>
        <v>0.0367</v>
      </c>
      <c r="G24" s="6">
        <f t="shared" si="6"/>
        <v>0.990908415289717</v>
      </c>
      <c r="H24" s="46">
        <f>(Parameters!$C$5/Parameters!$C$4)*(1-EXP(-Parameters!$C$4*0.25))*SQRT((1-EXP(-2*Parameters!$C$4*B24))/(2*Parameters!$C$4))</f>
        <v>0.00250696247926221</v>
      </c>
      <c r="I24" s="47">
        <f t="shared" si="7"/>
        <v>0.158513481121607</v>
      </c>
      <c r="J24" s="47">
        <f t="shared" si="8"/>
        <v>0.438013941501806</v>
      </c>
      <c r="K24" s="47">
        <f t="shared" si="9"/>
        <v>0.437026099281174</v>
      </c>
      <c r="L24" s="48">
        <f t="shared" si="10"/>
        <v>0.000751738407495603</v>
      </c>
      <c r="M24" s="36">
        <f t="shared" si="11"/>
        <v>7.51738407495603</v>
      </c>
      <c r="O24" s="9" t="str">
        <f>IF(M24="","?",IF(ABS(M24-HW_Caplets!M24)&lt;0.0000001,"OK","CHECK"))</f>
        <v>OK</v>
      </c>
    </row>
    <row r="25" ht="15.75" customHeight="1" spans="2:15">
      <c r="B25" s="12">
        <v>2.5</v>
      </c>
      <c r="C25" s="12">
        <v>2.75</v>
      </c>
      <c r="D25" s="44">
        <f>VLOOKUP(B25,OIS_Curve!$B$19:$D$58,3,FALSE())</f>
        <v>0.913777839413286</v>
      </c>
      <c r="E25" s="44">
        <f>VLOOKUP(C25,OIS_Curve!$B$19:$D$58,3,FALSE())</f>
        <v>0.905883131631225</v>
      </c>
      <c r="F25" s="45">
        <f>Par_Rates!$E$6</f>
        <v>0.0367</v>
      </c>
      <c r="G25" s="6">
        <f t="shared" si="6"/>
        <v>0.990908415289717</v>
      </c>
      <c r="H25" s="46">
        <f>(Parameters!$C$5/Parameters!$C$4)*(1-EXP(-Parameters!$C$4*0.25))*SQRT((1-EXP(-2*Parameters!$C$4*B25))/(2*Parameters!$C$4))</f>
        <v>0.00259613811887088</v>
      </c>
      <c r="I25" s="47">
        <f t="shared" si="7"/>
        <v>0.176940307012111</v>
      </c>
      <c r="J25" s="47">
        <f t="shared" si="8"/>
        <v>0.430797494491884</v>
      </c>
      <c r="K25" s="47">
        <f t="shared" si="9"/>
        <v>0.429777638840863</v>
      </c>
      <c r="L25" s="48">
        <f t="shared" si="10"/>
        <v>0.000752803087970517</v>
      </c>
      <c r="M25" s="36">
        <f t="shared" si="11"/>
        <v>7.52803087970517</v>
      </c>
      <c r="O25" s="9" t="str">
        <f>IF(M25="","?",IF(ABS(M25-HW_Caplets!M25)&lt;0.0000001,"OK","CHECK"))</f>
        <v>OK</v>
      </c>
    </row>
    <row r="26" ht="15.75" customHeight="1" spans="2:15">
      <c r="B26" s="16">
        <v>2.75</v>
      </c>
      <c r="C26" s="16">
        <v>3</v>
      </c>
      <c r="D26" s="49">
        <f>VLOOKUP(B26,OIS_Curve!$B$19:$D$58,3,FALSE())</f>
        <v>0.905883131631225</v>
      </c>
      <c r="E26" s="49">
        <f>VLOOKUP(C26,OIS_Curve!$B$19:$D$58,3,FALSE())</f>
        <v>0.898112084896219</v>
      </c>
      <c r="F26" s="50">
        <f>Par_Rates!$E$6</f>
        <v>0.0367</v>
      </c>
      <c r="G26" s="6">
        <f t="shared" si="6"/>
        <v>0.990908415289717</v>
      </c>
      <c r="H26" s="46">
        <f>(Parameters!$C$5/Parameters!$C$4)*(1-EXP(-Parameters!$C$4*0.25))*SQRT((1-EXP(-2*Parameters!$C$4*B26))/(2*Parameters!$C$4))</f>
        <v>0.0026757220227115</v>
      </c>
      <c r="I26" s="47">
        <f t="shared" si="7"/>
        <v>0.194832586874947</v>
      </c>
      <c r="J26" s="47">
        <f t="shared" si="8"/>
        <v>0.423809666525622</v>
      </c>
      <c r="K26" s="47">
        <f t="shared" si="9"/>
        <v>0.422762005238714</v>
      </c>
      <c r="L26" s="48">
        <f t="shared" si="10"/>
        <v>0.000750727652969963</v>
      </c>
      <c r="M26" s="36">
        <f t="shared" si="11"/>
        <v>7.50727652969963</v>
      </c>
      <c r="O26" s="9" t="str">
        <f>IF(M26="","?",IF(ABS(M26-HW_Caplets!M26)&lt;0.0000001,"OK","CHECK"))</f>
        <v>OK</v>
      </c>
    </row>
    <row r="27" ht="19.5" customHeight="1" spans="2:15">
      <c r="B27" s="51" t="s">
        <v>132</v>
      </c>
      <c r="C27" s="51"/>
      <c r="D27" s="51"/>
      <c r="E27" s="51"/>
      <c r="F27" s="51"/>
      <c r="G27" s="51"/>
      <c r="H27" s="51"/>
      <c r="I27" s="51"/>
      <c r="J27" s="51"/>
      <c r="K27" s="51"/>
      <c r="L27" s="48">
        <f>SUM(L16:L26)</f>
        <v>0.00703127299546259</v>
      </c>
      <c r="M27" s="36">
        <f>SUM(M16:M26)</f>
        <v>70.3127299546259</v>
      </c>
    </row>
    <row r="28" spans="2:15">
      <c r="G28" s="52"/>
      <c r="H28" s="52"/>
      <c r="I28" s="52"/>
      <c r="J28" s="52"/>
      <c r="K28" s="52"/>
      <c r="L28" s="52"/>
      <c r="M28" s="52"/>
    </row>
    <row r="29" ht="19.5" customHeight="1" spans="2:15">
      <c r="B29" s="10" t="s">
        <v>133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ht="19.5" customHeight="1" spans="2:15">
      <c r="B30" s="4" t="s">
        <v>18</v>
      </c>
      <c r="C30" s="4" t="s">
        <v>19</v>
      </c>
      <c r="D30" s="4" t="s">
        <v>120</v>
      </c>
      <c r="E30" s="4" t="s">
        <v>121</v>
      </c>
      <c r="F30" s="4" t="s">
        <v>122</v>
      </c>
      <c r="G30" s="53"/>
      <c r="H30" s="53"/>
      <c r="I30" s="53"/>
      <c r="J30" s="53"/>
      <c r="K30" s="53"/>
      <c r="L30" s="53"/>
      <c r="M30" s="53"/>
    </row>
    <row r="31" ht="15.75" customHeight="1" spans="2:15">
      <c r="B31" s="12">
        <v>0.25</v>
      </c>
      <c r="C31" s="12">
        <v>0.5</v>
      </c>
      <c r="D31" s="44">
        <f>VLOOKUP(B31,OIS_Curve!$B$19:$D$58,3,FALSE())</f>
        <v>0.989731535321044</v>
      </c>
      <c r="E31" s="44">
        <f>VLOOKUP(C31,OIS_Curve!$B$19:$D$58,3,FALSE())</f>
        <v>0.980392156862745</v>
      </c>
      <c r="F31" s="45">
        <f>Par_Rates!$E$7</f>
        <v>0.036400127403092</v>
      </c>
      <c r="G31" s="6">
        <f>1/(1+F31*0.25)</f>
        <v>0.99098203194575</v>
      </c>
      <c r="H31" s="46">
        <f>(Parameters!$C$5/Parameters!$C$4)*(1-EXP(-Parameters!$C$4*0.25))*SQRT((1-EXP(-2*Parameters!$C$4*B31))/(2*Parameters!$C$4))</f>
        <v>0.000972413048041604</v>
      </c>
      <c r="I31" s="47">
        <f>(1/H31)*LN(E31/(D31*G31))+H31/2</f>
        <v>-0.43369366515531</v>
      </c>
      <c r="J31" s="47">
        <f>NORMSDIST(-I31+H31)</f>
        <v>0.668097587938109</v>
      </c>
      <c r="K31" s="47">
        <f>NORMSDIST(-I31)</f>
        <v>0.667744546296428</v>
      </c>
      <c r="L31" s="48">
        <f>(1+F31*0.25)*(G31*D31*J31-E31*K31)</f>
        <v>0.000628385830834441</v>
      </c>
      <c r="M31" s="36">
        <f>L31*10000</f>
        <v>6.28385830834441</v>
      </c>
      <c r="O31" s="9" t="str">
        <f>IF(M31="","?",IF(ABS(M31-HW_Caplets!M31)&lt;0.0000001,"OK","CHECK"))</f>
        <v>OK</v>
      </c>
    </row>
    <row r="32" ht="15.75" customHeight="1" spans="2:15">
      <c r="B32" s="16">
        <v>0.5</v>
      </c>
      <c r="C32" s="16">
        <v>0.75</v>
      </c>
      <c r="D32" s="49">
        <f>VLOOKUP(B32,OIS_Curve!$B$19:$D$58,3,FALSE())</f>
        <v>0.980392156862745</v>
      </c>
      <c r="E32" s="49">
        <f>VLOOKUP(C32,OIS_Curve!$B$19:$D$58,3,FALSE())</f>
        <v>0.971573953796494</v>
      </c>
      <c r="F32" s="50">
        <f>Par_Rates!$E$7</f>
        <v>0.036400127403092</v>
      </c>
      <c r="G32" s="6">
        <f t="shared" ref="G32:G49" si="12">1/(1+F32*0.25)</f>
        <v>0.99098203194575</v>
      </c>
      <c r="H32" s="46">
        <f>(Parameters!$C$5/Parameters!$C$4)*(1-EXP(-Parameters!$C$4*0.25))*SQRT((1-EXP(-2*Parameters!$C$4*B32))/(2*Parameters!$C$4))</f>
        <v>0.00134810013785897</v>
      </c>
      <c r="I32" s="47">
        <f t="shared" ref="I32:I49" si="13">(1/H32)*LN(E32/(D32*G32))+H32/2</f>
        <v>0.0181902540850205</v>
      </c>
      <c r="J32" s="47">
        <f t="shared" ref="J32:J49" si="14">NORMSDIST(-I32+H32)</f>
        <v>0.49328127033602</v>
      </c>
      <c r="K32" s="47">
        <f t="shared" ref="K32:K49" si="15">NORMSDIST(-I32)</f>
        <v>0.49274353873256</v>
      </c>
      <c r="L32" s="48">
        <f t="shared" ref="L32:L49" si="16">(1+F32*0.25)*(G32*D32*J32-E32*K32)</f>
        <v>0.000515780410498618</v>
      </c>
      <c r="M32" s="36">
        <f t="shared" ref="M32:M49" si="17">L32*10000</f>
        <v>5.15780410498618</v>
      </c>
      <c r="O32" s="9" t="str">
        <f>IF(M32="","?",IF(ABS(M32-HW_Caplets!M32)&lt;0.0000001,"OK","CHECK"))</f>
        <v>OK</v>
      </c>
    </row>
    <row r="33" ht="15.75" customHeight="1" spans="2:15">
      <c r="B33" s="12">
        <v>0.75</v>
      </c>
      <c r="C33" s="12">
        <v>1</v>
      </c>
      <c r="D33" s="44">
        <f>VLOOKUP(B33,OIS_Curve!$B$19:$D$58,3,FALSE())</f>
        <v>0.971573953796494</v>
      </c>
      <c r="E33" s="44">
        <f>VLOOKUP(C33,OIS_Curve!$B$19:$D$58,3,FALSE())</f>
        <v>0.963391136801541</v>
      </c>
      <c r="F33" s="45">
        <f>Par_Rates!$E$7</f>
        <v>0.036400127403092</v>
      </c>
      <c r="G33" s="6">
        <f t="shared" si="12"/>
        <v>0.99098203194575</v>
      </c>
      <c r="H33" s="46">
        <f>(Parameters!$C$5/Parameters!$C$4)*(1-EXP(-Parameters!$C$4*0.25))*SQRT((1-EXP(-2*Parameters!$C$4*B33))/(2*Parameters!$C$4))</f>
        <v>0.00161898747133126</v>
      </c>
      <c r="I33" s="47">
        <f t="shared" si="13"/>
        <v>0.372017467766451</v>
      </c>
      <c r="J33" s="47">
        <f t="shared" si="14"/>
        <v>0.355542802982401</v>
      </c>
      <c r="K33" s="47">
        <f t="shared" si="15"/>
        <v>0.354939921935911</v>
      </c>
      <c r="L33" s="48">
        <f t="shared" si="16"/>
        <v>0.000378432684667876</v>
      </c>
      <c r="M33" s="36">
        <f t="shared" si="17"/>
        <v>3.78432684667876</v>
      </c>
      <c r="O33" s="9" t="str">
        <f>IF(M33="","?",IF(ABS(M33-HW_Caplets!M33)&lt;0.0000001,"OK","CHECK"))</f>
        <v>OK</v>
      </c>
    </row>
    <row r="34" ht="15.75" customHeight="1" spans="2:15">
      <c r="B34" s="16">
        <v>1</v>
      </c>
      <c r="C34" s="16">
        <v>1.25</v>
      </c>
      <c r="D34" s="49">
        <f>VLOOKUP(B34,OIS_Curve!$B$19:$D$58,3,FALSE())</f>
        <v>0.963391136801541</v>
      </c>
      <c r="E34" s="49">
        <f>VLOOKUP(C34,OIS_Curve!$B$19:$D$58,3,FALSE())</f>
        <v>0.954743122287646</v>
      </c>
      <c r="F34" s="50">
        <f>Par_Rates!$E$7</f>
        <v>0.036400127403092</v>
      </c>
      <c r="G34" s="6">
        <f t="shared" si="12"/>
        <v>0.99098203194575</v>
      </c>
      <c r="H34" s="46">
        <f>(Parameters!$C$5/Parameters!$C$4)*(1-EXP(-Parameters!$C$4*0.25))*SQRT((1-EXP(-2*Parameters!$C$4*B34))/(2*Parameters!$C$4))</f>
        <v>0.00183361305631501</v>
      </c>
      <c r="I34" s="47">
        <f t="shared" si="13"/>
        <v>0.0236610895518682</v>
      </c>
      <c r="J34" s="47">
        <f t="shared" si="14"/>
        <v>0.49129278816577</v>
      </c>
      <c r="K34" s="47">
        <f t="shared" si="15"/>
        <v>0.490561471674489</v>
      </c>
      <c r="L34" s="48">
        <f t="shared" si="16"/>
        <v>0.00068483389588238</v>
      </c>
      <c r="M34" s="36">
        <f t="shared" si="17"/>
        <v>6.8483389588238</v>
      </c>
      <c r="O34" s="9" t="str">
        <f>IF(M34="","?",IF(ABS(M34-HW_Caplets!M34)&lt;0.0000001,"OK","CHECK"))</f>
        <v>OK</v>
      </c>
    </row>
    <row r="35" ht="15.75" customHeight="1" spans="2:15">
      <c r="B35" s="12">
        <v>1.25</v>
      </c>
      <c r="C35" s="12">
        <v>1.5</v>
      </c>
      <c r="D35" s="44">
        <f>VLOOKUP(B35,OIS_Curve!$B$19:$D$58,3,FALSE())</f>
        <v>0.954743122287646</v>
      </c>
      <c r="E35" s="44">
        <f>VLOOKUP(C35,OIS_Curve!$B$19:$D$58,3,FALSE())</f>
        <v>0.946288849612581</v>
      </c>
      <c r="F35" s="45">
        <f>Par_Rates!$E$7</f>
        <v>0.036400127403092</v>
      </c>
      <c r="G35" s="6">
        <f t="shared" si="12"/>
        <v>0.99098203194575</v>
      </c>
      <c r="H35" s="46">
        <f>(Parameters!$C$5/Parameters!$C$4)*(1-EXP(-Parameters!$C$4*0.25))*SQRT((1-EXP(-2*Parameters!$C$4*B35))/(2*Parameters!$C$4))</f>
        <v>0.00201129786471566</v>
      </c>
      <c r="I35" s="47">
        <f t="shared" si="13"/>
        <v>0.082750852628372</v>
      </c>
      <c r="J35" s="47">
        <f t="shared" si="14"/>
        <v>0.46782453966672</v>
      </c>
      <c r="K35" s="47">
        <f t="shared" si="15"/>
        <v>0.467024824472772</v>
      </c>
      <c r="L35" s="48">
        <f t="shared" si="16"/>
        <v>0.000690206223778859</v>
      </c>
      <c r="M35" s="36">
        <f t="shared" si="17"/>
        <v>6.90206223778859</v>
      </c>
      <c r="O35" s="9" t="str">
        <f>IF(M35="","?",IF(ABS(M35-HW_Caplets!M35)&lt;0.0000001,"OK","CHECK"))</f>
        <v>OK</v>
      </c>
    </row>
    <row r="36" ht="15.75" customHeight="1" spans="2:15">
      <c r="B36" s="16">
        <v>1.5</v>
      </c>
      <c r="C36" s="16">
        <v>1.75</v>
      </c>
      <c r="D36" s="49">
        <f>VLOOKUP(B36,OIS_Curve!$B$19:$D$58,3,FALSE())</f>
        <v>0.946288849612581</v>
      </c>
      <c r="E36" s="49">
        <f>VLOOKUP(C36,OIS_Curve!$B$19:$D$58,3,FALSE())</f>
        <v>0.938024537404291</v>
      </c>
      <c r="F36" s="50">
        <f>Par_Rates!$E$7</f>
        <v>0.036400127403092</v>
      </c>
      <c r="G36" s="6">
        <f t="shared" si="12"/>
        <v>0.99098203194575</v>
      </c>
      <c r="H36" s="46">
        <f>(Parameters!$C$5/Parameters!$C$4)*(1-EXP(-Parameters!$C$4*0.25))*SQRT((1-EXP(-2*Parameters!$C$4*B36))/(2*Parameters!$C$4))</f>
        <v>0.00216221668621274</v>
      </c>
      <c r="I36" s="47">
        <f t="shared" si="13"/>
        <v>0.133872467698103</v>
      </c>
      <c r="J36" s="47">
        <f t="shared" si="14"/>
        <v>0.447606738512959</v>
      </c>
      <c r="K36" s="47">
        <f t="shared" si="15"/>
        <v>0.446751710937053</v>
      </c>
      <c r="L36" s="48">
        <f t="shared" si="16"/>
        <v>0.0006877023228731</v>
      </c>
      <c r="M36" s="36">
        <f t="shared" si="17"/>
        <v>6.877023228731</v>
      </c>
      <c r="O36" s="9" t="str">
        <f>IF(M36="","?",IF(ABS(M36-HW_Caplets!M36)&lt;0.0000001,"OK","CHECK"))</f>
        <v>OK</v>
      </c>
    </row>
    <row r="37" ht="15.75" customHeight="1" spans="2:15">
      <c r="B37" s="12">
        <v>1.75</v>
      </c>
      <c r="C37" s="12">
        <v>2</v>
      </c>
      <c r="D37" s="44">
        <f>VLOOKUP(B37,OIS_Curve!$B$19:$D$58,3,FALSE())</f>
        <v>0.938024537404291</v>
      </c>
      <c r="E37" s="44">
        <f>VLOOKUP(C37,OIS_Curve!$B$19:$D$58,3,FALSE())</f>
        <v>0.929946507172944</v>
      </c>
      <c r="F37" s="45">
        <f>Par_Rates!$E$7</f>
        <v>0.036400127403092</v>
      </c>
      <c r="G37" s="6">
        <f t="shared" si="12"/>
        <v>0.99098203194575</v>
      </c>
      <c r="H37" s="46">
        <f>(Parameters!$C$5/Parameters!$C$4)*(1-EXP(-Parameters!$C$4*0.25))*SQRT((1-EXP(-2*Parameters!$C$4*B37))/(2*Parameters!$C$4))</f>
        <v>0.00229257148854877</v>
      </c>
      <c r="I37" s="47">
        <f t="shared" si="13"/>
        <v>0.179912110219567</v>
      </c>
      <c r="J37" s="47">
        <f t="shared" si="14"/>
        <v>0.429510889425907</v>
      </c>
      <c r="K37" s="47">
        <f t="shared" si="15"/>
        <v>0.428610783877815</v>
      </c>
      <c r="L37" s="48">
        <f t="shared" si="16"/>
        <v>0.000679514841992474</v>
      </c>
      <c r="M37" s="36">
        <f t="shared" si="17"/>
        <v>6.79514841992474</v>
      </c>
      <c r="O37" s="9" t="str">
        <f>IF(M37="","?",IF(ABS(M37-HW_Caplets!M37)&lt;0.0000001,"OK","CHECK"))</f>
        <v>OK</v>
      </c>
    </row>
    <row r="38" ht="15.75" customHeight="1" spans="2:15">
      <c r="B38" s="16">
        <v>2</v>
      </c>
      <c r="C38" s="16">
        <v>2.25</v>
      </c>
      <c r="D38" s="49">
        <f>VLOOKUP(B38,OIS_Curve!$B$19:$D$58,3,FALSE())</f>
        <v>0.929946507172944</v>
      </c>
      <c r="E38" s="49">
        <f>VLOOKUP(C38,OIS_Curve!$B$19:$D$58,3,FALSE())</f>
        <v>0.92179826516081</v>
      </c>
      <c r="F38" s="50">
        <f>Par_Rates!$E$7</f>
        <v>0.036400127403092</v>
      </c>
      <c r="G38" s="6">
        <f t="shared" si="12"/>
        <v>0.99098203194575</v>
      </c>
      <c r="H38" s="46">
        <f>(Parameters!$C$5/Parameters!$C$4)*(1-EXP(-Parameters!$C$4*0.25))*SQRT((1-EXP(-2*Parameters!$C$4*B38))/(2*Parameters!$C$4))</f>
        <v>0.00240650470624022</v>
      </c>
      <c r="I38" s="47">
        <f t="shared" si="13"/>
        <v>0.10849953112247</v>
      </c>
      <c r="J38" s="47">
        <f t="shared" si="14"/>
        <v>0.45775427201658</v>
      </c>
      <c r="K38" s="47">
        <f t="shared" si="15"/>
        <v>0.456799726214978</v>
      </c>
      <c r="L38" s="48">
        <f t="shared" si="16"/>
        <v>0.000777975366905</v>
      </c>
      <c r="M38" s="36">
        <f t="shared" si="17"/>
        <v>7.77975366905001</v>
      </c>
      <c r="O38" s="9" t="str">
        <f>IF(M38="","?",IF(ABS(M38-HW_Caplets!M38)&lt;0.0000001,"OK","CHECK"))</f>
        <v>OK</v>
      </c>
    </row>
    <row r="39" ht="15.75" customHeight="1" spans="2:15">
      <c r="B39" s="12">
        <v>2.25</v>
      </c>
      <c r="C39" s="12">
        <v>2.5</v>
      </c>
      <c r="D39" s="44">
        <f>VLOOKUP(B39,OIS_Curve!$B$19:$D$58,3,FALSE())</f>
        <v>0.92179826516081</v>
      </c>
      <c r="E39" s="44">
        <f>VLOOKUP(C39,OIS_Curve!$B$19:$D$58,3,FALSE())</f>
        <v>0.913777839413286</v>
      </c>
      <c r="F39" s="45">
        <f>Par_Rates!$E$7</f>
        <v>0.036400127403092</v>
      </c>
      <c r="G39" s="6">
        <f t="shared" si="12"/>
        <v>0.99098203194575</v>
      </c>
      <c r="H39" s="46">
        <f>(Parameters!$C$5/Parameters!$C$4)*(1-EXP(-Parameters!$C$4*0.25))*SQRT((1-EXP(-2*Parameters!$C$4*B39))/(2*Parameters!$C$4))</f>
        <v>0.00250696247926221</v>
      </c>
      <c r="I39" s="47">
        <f t="shared" si="13"/>
        <v>0.128880277614974</v>
      </c>
      <c r="J39" s="47">
        <f t="shared" si="14"/>
        <v>0.449718212110534</v>
      </c>
      <c r="K39" s="47">
        <f t="shared" si="15"/>
        <v>0.448726191343801</v>
      </c>
      <c r="L39" s="48">
        <f t="shared" si="16"/>
        <v>0.000782077008964835</v>
      </c>
      <c r="M39" s="36">
        <f t="shared" si="17"/>
        <v>7.82077008964835</v>
      </c>
      <c r="O39" s="9" t="str">
        <f>IF(M39="","?",IF(ABS(M39-HW_Caplets!M39)&lt;0.0000001,"OK","CHECK"))</f>
        <v>OK</v>
      </c>
    </row>
    <row r="40" ht="15.75" customHeight="1" spans="2:15">
      <c r="B40" s="16">
        <v>2.5</v>
      </c>
      <c r="C40" s="16">
        <v>2.75</v>
      </c>
      <c r="D40" s="49">
        <f>VLOOKUP(B40,OIS_Curve!$B$19:$D$58,3,FALSE())</f>
        <v>0.913777839413286</v>
      </c>
      <c r="E40" s="49">
        <f>VLOOKUP(C40,OIS_Curve!$B$19:$D$58,3,FALSE())</f>
        <v>0.905883131631225</v>
      </c>
      <c r="F40" s="50">
        <f>Par_Rates!$E$7</f>
        <v>0.036400127403092</v>
      </c>
      <c r="G40" s="6">
        <f t="shared" si="12"/>
        <v>0.99098203194575</v>
      </c>
      <c r="H40" s="46">
        <f>(Parameters!$C$5/Parameters!$C$4)*(1-EXP(-Parameters!$C$4*0.25))*SQRT((1-EXP(-2*Parameters!$C$4*B40))/(2*Parameters!$C$4))</f>
        <v>0.00259613811887088</v>
      </c>
      <c r="I40" s="47">
        <f t="shared" si="13"/>
        <v>0.148324984587041</v>
      </c>
      <c r="J40" s="47">
        <f t="shared" si="14"/>
        <v>0.442067724136379</v>
      </c>
      <c r="K40" s="47">
        <f t="shared" si="15"/>
        <v>0.441043149295645</v>
      </c>
      <c r="L40" s="48">
        <f t="shared" si="16"/>
        <v>0.000782372543456416</v>
      </c>
      <c r="M40" s="36">
        <f t="shared" si="17"/>
        <v>7.82372543456416</v>
      </c>
      <c r="O40" s="9" t="str">
        <f>IF(M40="","?",IF(ABS(M40-HW_Caplets!M40)&lt;0.0000001,"OK","CHECK"))</f>
        <v>OK</v>
      </c>
    </row>
    <row r="41" ht="15.75" customHeight="1" spans="2:15">
      <c r="B41" s="12">
        <v>2.75</v>
      </c>
      <c r="C41" s="12">
        <v>3</v>
      </c>
      <c r="D41" s="44">
        <f>VLOOKUP(B41,OIS_Curve!$B$19:$D$58,3,FALSE())</f>
        <v>0.905883131631225</v>
      </c>
      <c r="E41" s="44">
        <f>VLOOKUP(C41,OIS_Curve!$B$19:$D$58,3,FALSE())</f>
        <v>0.898112084896219</v>
      </c>
      <c r="F41" s="45">
        <f>Par_Rates!$E$7</f>
        <v>0.036400127403092</v>
      </c>
      <c r="G41" s="6">
        <f t="shared" si="12"/>
        <v>0.99098203194575</v>
      </c>
      <c r="H41" s="46">
        <f>(Parameters!$C$5/Parameters!$C$4)*(1-EXP(-Parameters!$C$4*0.25))*SQRT((1-EXP(-2*Parameters!$C$4*B41))/(2*Parameters!$C$4))</f>
        <v>0.0026757220227115</v>
      </c>
      <c r="I41" s="47">
        <f t="shared" si="13"/>
        <v>0.167068368955094</v>
      </c>
      <c r="J41" s="47">
        <f t="shared" si="14"/>
        <v>0.434711025863033</v>
      </c>
      <c r="K41" s="47">
        <f t="shared" si="15"/>
        <v>0.43365812704952</v>
      </c>
      <c r="L41" s="48">
        <f t="shared" si="16"/>
        <v>0.000779558639746714</v>
      </c>
      <c r="M41" s="36">
        <f t="shared" si="17"/>
        <v>7.79558639746714</v>
      </c>
      <c r="O41" s="9" t="str">
        <f>IF(M41="","?",IF(ABS(M41-HW_Caplets!M41)&lt;0.0000001,"OK","CHECK"))</f>
        <v>OK</v>
      </c>
    </row>
    <row r="42" ht="15.75" customHeight="1" spans="2:15">
      <c r="B42" s="16">
        <v>3</v>
      </c>
      <c r="C42" s="16">
        <v>3.25</v>
      </c>
      <c r="D42" s="49">
        <f>VLOOKUP(B42,OIS_Curve!$B$19:$D$58,3,FALSE())</f>
        <v>0.898112084896219</v>
      </c>
      <c r="E42" s="49">
        <f>VLOOKUP(C42,OIS_Curve!$B$19:$D$58,3,FALSE())</f>
        <v>0.890040326710701</v>
      </c>
      <c r="F42" s="50">
        <f>Par_Rates!$E$7</f>
        <v>0.036400127403092</v>
      </c>
      <c r="G42" s="6">
        <f t="shared" si="12"/>
        <v>0.99098203194575</v>
      </c>
      <c r="H42" s="46">
        <f>(Parameters!$C$5/Parameters!$C$4)*(1-EXP(-Parameters!$C$4*0.25))*SQRT((1-EXP(-2*Parameters!$C$4*B42))/(2*Parameters!$C$4))</f>
        <v>0.00274705269428857</v>
      </c>
      <c r="I42" s="47">
        <f t="shared" si="13"/>
        <v>0.0125753523753357</v>
      </c>
      <c r="J42" s="47">
        <f t="shared" si="14"/>
        <v>0.496079138835783</v>
      </c>
      <c r="K42" s="47">
        <f t="shared" si="15"/>
        <v>0.49498329247014</v>
      </c>
      <c r="L42" s="48">
        <f t="shared" si="16"/>
        <v>0.000970512943591556</v>
      </c>
      <c r="M42" s="36">
        <f t="shared" si="17"/>
        <v>9.70512943591556</v>
      </c>
      <c r="O42" s="9" t="str">
        <f>IF(M42="","?",IF(ABS(M42-HW_Caplets!M42)&lt;0.0000001,"OK","CHECK"))</f>
        <v>OK</v>
      </c>
    </row>
    <row r="43" ht="15.75" customHeight="1" spans="2:15">
      <c r="B43" s="12">
        <v>3.25</v>
      </c>
      <c r="C43" s="12">
        <v>3.5</v>
      </c>
      <c r="D43" s="44">
        <f>VLOOKUP(B43,OIS_Curve!$B$19:$D$58,3,FALSE())</f>
        <v>0.890040326710701</v>
      </c>
      <c r="E43" s="44">
        <f>VLOOKUP(C43,OIS_Curve!$B$19:$D$58,3,FALSE())</f>
        <v>0.882031197720876</v>
      </c>
      <c r="F43" s="45">
        <f>Par_Rates!$E$7</f>
        <v>0.036400127403092</v>
      </c>
      <c r="G43" s="6">
        <f t="shared" si="12"/>
        <v>0.99098203194575</v>
      </c>
      <c r="H43" s="46">
        <f>(Parameters!$C$5/Parameters!$C$4)*(1-EXP(-Parameters!$C$4*0.25))*SQRT((1-EXP(-2*Parameters!$C$4*B43))/(2*Parameters!$C$4))</f>
        <v>0.00281121313207036</v>
      </c>
      <c r="I43" s="47">
        <f t="shared" si="13"/>
        <v>0.00835292334590186</v>
      </c>
      <c r="J43" s="47">
        <f t="shared" si="14"/>
        <v>0.497789188805848</v>
      </c>
      <c r="K43" s="47">
        <f t="shared" si="15"/>
        <v>0.496667704462194</v>
      </c>
      <c r="L43" s="48">
        <f t="shared" si="16"/>
        <v>0.000989532715524549</v>
      </c>
      <c r="M43" s="36">
        <f t="shared" si="17"/>
        <v>9.89532715524549</v>
      </c>
      <c r="O43" s="9" t="str">
        <f>IF(M43="","?",IF(ABS(M43-HW_Caplets!M43)&lt;0.0000001,"OK","CHECK"))</f>
        <v>OK</v>
      </c>
    </row>
    <row r="44" ht="15.75" customHeight="1" spans="2:15">
      <c r="B44" s="16">
        <v>3.5</v>
      </c>
      <c r="C44" s="16">
        <v>3.75</v>
      </c>
      <c r="D44" s="49">
        <f>VLOOKUP(B44,OIS_Curve!$B$19:$D$58,3,FALSE())</f>
        <v>0.882031197720876</v>
      </c>
      <c r="E44" s="49">
        <f>VLOOKUP(C44,OIS_Curve!$B$19:$D$58,3,FALSE())</f>
        <v>0.874084313610749</v>
      </c>
      <c r="F44" s="50">
        <f>Par_Rates!$E$7</f>
        <v>0.036400127403092</v>
      </c>
      <c r="G44" s="6">
        <f t="shared" si="12"/>
        <v>0.99098203194575</v>
      </c>
      <c r="H44" s="46">
        <f>(Parameters!$C$5/Parameters!$C$4)*(1-EXP(-Parameters!$C$4*0.25))*SQRT((1-EXP(-2*Parameters!$C$4*B44))/(2*Parameters!$C$4))</f>
        <v>0.0028690951260356</v>
      </c>
      <c r="I44" s="47">
        <f t="shared" si="13"/>
        <v>0.00432353157798164</v>
      </c>
      <c r="J44" s="47">
        <f t="shared" si="14"/>
        <v>0.499419764009732</v>
      </c>
      <c r="K44" s="47">
        <f t="shared" si="15"/>
        <v>0.498275165826593</v>
      </c>
      <c r="L44" s="48">
        <f t="shared" si="16"/>
        <v>0.00100592842462208</v>
      </c>
      <c r="M44" s="36">
        <f t="shared" si="17"/>
        <v>10.0592842462208</v>
      </c>
      <c r="O44" s="9" t="str">
        <f>IF(M44="","?",IF(ABS(M44-HW_Caplets!M44)&lt;0.0000001,"OK","CHECK"))</f>
        <v>OK</v>
      </c>
    </row>
    <row r="45" ht="15.75" customHeight="1" spans="2:15">
      <c r="B45" s="12">
        <v>3.75</v>
      </c>
      <c r="C45" s="12">
        <v>4</v>
      </c>
      <c r="D45" s="44">
        <f>VLOOKUP(B45,OIS_Curve!$B$19:$D$58,3,FALSE())</f>
        <v>0.874084313610749</v>
      </c>
      <c r="E45" s="44">
        <f>VLOOKUP(C45,OIS_Curve!$B$19:$D$58,3,FALSE())</f>
        <v>0.866199291435047</v>
      </c>
      <c r="F45" s="45">
        <f>Par_Rates!$E$7</f>
        <v>0.036400127403092</v>
      </c>
      <c r="G45" s="6">
        <f t="shared" si="12"/>
        <v>0.99098203194575</v>
      </c>
      <c r="H45" s="46">
        <f>(Parameters!$C$5/Parameters!$C$4)*(1-EXP(-Parameters!$C$4*0.25))*SQRT((1-EXP(-2*Parameters!$C$4*B45))/(2*Parameters!$C$4))</f>
        <v>0.00292144373716899</v>
      </c>
      <c r="I45" s="47">
        <f t="shared" si="13"/>
        <v>0.000449972212995959</v>
      </c>
      <c r="J45" s="47">
        <f t="shared" si="14"/>
        <v>0.500985973482051</v>
      </c>
      <c r="K45" s="47">
        <f t="shared" si="15"/>
        <v>0.499820487065288</v>
      </c>
      <c r="L45" s="48">
        <f t="shared" si="16"/>
        <v>0.00102002344855338</v>
      </c>
      <c r="M45" s="36">
        <f t="shared" si="17"/>
        <v>10.2002344855338</v>
      </c>
      <c r="O45" s="9" t="str">
        <f>IF(M45="","?",IF(ABS(M45-HW_Caplets!M45)&lt;0.0000001,"OK","CHECK"))</f>
        <v>OK</v>
      </c>
    </row>
    <row r="46" ht="15.75" customHeight="1" spans="2:15">
      <c r="B46" s="16">
        <v>4</v>
      </c>
      <c r="C46" s="16">
        <v>4.25</v>
      </c>
      <c r="D46" s="49">
        <f>VLOOKUP(B46,OIS_Curve!$B$19:$D$58,3,FALSE())</f>
        <v>0.866199291435047</v>
      </c>
      <c r="E46" s="49">
        <f>VLOOKUP(C46,OIS_Curve!$B$19:$D$58,3,FALSE())</f>
        <v>0.859004040505197</v>
      </c>
      <c r="F46" s="50">
        <f>Par_Rates!$E$7</f>
        <v>0.036400127403092</v>
      </c>
      <c r="G46" s="6">
        <f t="shared" si="12"/>
        <v>0.99098203194575</v>
      </c>
      <c r="H46" s="46">
        <f>(Parameters!$C$5/Parameters!$C$4)*(1-EXP(-Parameters!$C$4*0.25))*SQRT((1-EXP(-2*Parameters!$C$4*B46))/(2*Parameters!$C$4))</f>
        <v>0.00296888902340066</v>
      </c>
      <c r="I46" s="47">
        <f t="shared" si="13"/>
        <v>0.24315430349389</v>
      </c>
      <c r="J46" s="47">
        <f t="shared" si="14"/>
        <v>0.405093260172229</v>
      </c>
      <c r="K46" s="47">
        <f t="shared" si="15"/>
        <v>0.403942932565466</v>
      </c>
      <c r="L46" s="48">
        <f t="shared" si="16"/>
        <v>0.000745276305202527</v>
      </c>
      <c r="M46" s="36">
        <f t="shared" si="17"/>
        <v>7.45276305202527</v>
      </c>
      <c r="O46" s="9" t="str">
        <f>IF(M46="","?",IF(ABS(M46-HW_Caplets!M46)&lt;0.0000001,"OK","CHECK"))</f>
        <v>OK</v>
      </c>
    </row>
    <row r="47" ht="15.75" customHeight="1" spans="2:15">
      <c r="B47" s="12">
        <v>4.25</v>
      </c>
      <c r="C47" s="12">
        <v>4.5</v>
      </c>
      <c r="D47" s="44">
        <f>VLOOKUP(B47,OIS_Curve!$B$19:$D$58,3,FALSE())</f>
        <v>0.859004040505197</v>
      </c>
      <c r="E47" s="44">
        <f>VLOOKUP(C47,OIS_Curve!$B$19:$D$58,3,FALSE())</f>
        <v>0.851932313707466</v>
      </c>
      <c r="F47" s="45">
        <f>Par_Rates!$E$7</f>
        <v>0.036400127403092</v>
      </c>
      <c r="G47" s="6">
        <f t="shared" si="12"/>
        <v>0.99098203194575</v>
      </c>
      <c r="H47" s="46">
        <f>(Parameters!$C$5/Parameters!$C$4)*(1-EXP(-Parameters!$C$4*0.25))*SQRT((1-EXP(-2*Parameters!$C$4*B47))/(2*Parameters!$C$4))</f>
        <v>0.00301196926646191</v>
      </c>
      <c r="I47" s="47">
        <f t="shared" si="13"/>
        <v>0.264566442905506</v>
      </c>
      <c r="J47" s="47">
        <f t="shared" si="14"/>
        <v>0.396832473547772</v>
      </c>
      <c r="K47" s="47">
        <f t="shared" si="15"/>
        <v>0.395671736930131</v>
      </c>
      <c r="L47" s="48">
        <f t="shared" si="16"/>
        <v>0.000727670734599737</v>
      </c>
      <c r="M47" s="36">
        <f t="shared" si="17"/>
        <v>7.27670734599737</v>
      </c>
      <c r="O47" s="9" t="str">
        <f>IF(M47="","?",IF(ABS(M47-HW_Caplets!M47)&lt;0.0000001,"OK","CHECK"))</f>
        <v>OK</v>
      </c>
    </row>
    <row r="48" ht="15.75" customHeight="1" spans="2:15">
      <c r="B48" s="16">
        <v>4.5</v>
      </c>
      <c r="C48" s="16">
        <v>4.75</v>
      </c>
      <c r="D48" s="49">
        <f>VLOOKUP(B48,OIS_Curve!$B$19:$D$58,3,FALSE())</f>
        <v>0.851932313707466</v>
      </c>
      <c r="E48" s="49">
        <f>VLOOKUP(C48,OIS_Curve!$B$19:$D$58,3,FALSE())</f>
        <v>0.844982039968139</v>
      </c>
      <c r="F48" s="50">
        <f>Par_Rates!$E$7</f>
        <v>0.036400127403092</v>
      </c>
      <c r="G48" s="6">
        <f t="shared" si="12"/>
        <v>0.99098203194575</v>
      </c>
      <c r="H48" s="46">
        <f>(Parameters!$C$5/Parameters!$C$4)*(1-EXP(-Parameters!$C$4*0.25))*SQRT((1-EXP(-2*Parameters!$C$4*B48))/(2*Parameters!$C$4))</f>
        <v>0.00305114836324089</v>
      </c>
      <c r="I48" s="47">
        <f t="shared" si="13"/>
        <v>0.285736283141139</v>
      </c>
      <c r="J48" s="47">
        <f t="shared" si="14"/>
        <v>0.38870910619759</v>
      </c>
      <c r="K48" s="47">
        <f t="shared" si="15"/>
        <v>0.38754005640123</v>
      </c>
      <c r="L48" s="48">
        <f t="shared" si="16"/>
        <v>0.000709524419213191</v>
      </c>
      <c r="M48" s="36">
        <f t="shared" si="17"/>
        <v>7.09524419213191</v>
      </c>
      <c r="O48" s="9" t="str">
        <f>IF(M48="","?",IF(ABS(M48-HW_Caplets!M48)&lt;0.0000001,"OK","CHECK"))</f>
        <v>OK</v>
      </c>
    </row>
    <row r="49" ht="15.75" customHeight="1" spans="2:15">
      <c r="B49" s="12">
        <v>4.75</v>
      </c>
      <c r="C49" s="12">
        <v>5</v>
      </c>
      <c r="D49" s="44">
        <f>VLOOKUP(B49,OIS_Curve!$B$19:$D$58,3,FALSE())</f>
        <v>0.844982039968139</v>
      </c>
      <c r="E49" s="44">
        <f>VLOOKUP(C49,OIS_Curve!$B$19:$D$58,3,FALSE())</f>
        <v>0.838151192344588</v>
      </c>
      <c r="F49" s="45">
        <f>Par_Rates!$E$7</f>
        <v>0.036400127403092</v>
      </c>
      <c r="G49" s="6">
        <f t="shared" si="12"/>
        <v>0.99098203194575</v>
      </c>
      <c r="H49" s="46">
        <f>(Parameters!$C$5/Parameters!$C$4)*(1-EXP(-Parameters!$C$4*0.25))*SQRT((1-EXP(-2*Parameters!$C$4*B49))/(2*Parameters!$C$4))</f>
        <v>0.00308682910548797</v>
      </c>
      <c r="I49" s="47">
        <f t="shared" si="13"/>
        <v>0.3067135523169</v>
      </c>
      <c r="J49" s="47">
        <f t="shared" si="14"/>
        <v>0.380706144991097</v>
      </c>
      <c r="K49" s="47">
        <f t="shared" si="15"/>
        <v>0.379530706708126</v>
      </c>
      <c r="L49" s="48">
        <f t="shared" si="16"/>
        <v>0.000690983091655954</v>
      </c>
      <c r="M49" s="36">
        <f t="shared" si="17"/>
        <v>6.90983091655954</v>
      </c>
      <c r="O49" s="9" t="str">
        <f>IF(M49="","?",IF(ABS(M49-HW_Caplets!M49)&lt;0.0000001,"OK","CHECK"))</f>
        <v>OK</v>
      </c>
    </row>
    <row r="50" ht="19.5" customHeight="1" spans="2:15">
      <c r="B50" s="51" t="s">
        <v>134</v>
      </c>
      <c r="C50" s="51"/>
      <c r="D50" s="51"/>
      <c r="E50" s="51"/>
      <c r="F50" s="51"/>
      <c r="G50" s="51"/>
      <c r="H50" s="51"/>
      <c r="I50" s="51"/>
      <c r="J50" s="51"/>
      <c r="K50" s="51"/>
      <c r="L50" s="48">
        <f>SUM(L31:L49)</f>
        <v>0.0142462918525637</v>
      </c>
      <c r="M50" s="36">
        <f>SUM(M31:M49)</f>
        <v>142.462918525637</v>
      </c>
    </row>
    <row r="51" spans="2:15">
      <c r="G51" s="52"/>
      <c r="H51" s="52"/>
      <c r="I51" s="52"/>
      <c r="J51" s="52"/>
      <c r="K51" s="52"/>
      <c r="L51" s="52"/>
      <c r="M51" s="52"/>
    </row>
    <row r="52" ht="19.5" customHeight="1" spans="2:15">
      <c r="B52" s="10" t="s">
        <v>135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ht="19.5" customHeight="1" spans="2:15">
      <c r="B53" s="4" t="s">
        <v>18</v>
      </c>
      <c r="C53" s="4" t="s">
        <v>19</v>
      </c>
      <c r="D53" s="4" t="s">
        <v>120</v>
      </c>
      <c r="E53" s="4" t="s">
        <v>121</v>
      </c>
      <c r="F53" s="4" t="s">
        <v>122</v>
      </c>
      <c r="G53" s="53"/>
      <c r="H53" s="53"/>
      <c r="I53" s="53"/>
      <c r="J53" s="53"/>
      <c r="K53" s="53"/>
      <c r="L53" s="53"/>
      <c r="M53" s="53"/>
    </row>
    <row r="54" ht="15.75" customHeight="1" spans="2:15">
      <c r="B54" s="16">
        <v>0.25</v>
      </c>
      <c r="C54" s="16">
        <v>0.5</v>
      </c>
      <c r="D54" s="49">
        <f>VLOOKUP(B54,OIS_Curve!$B$19:$D$58,3,FALSE())</f>
        <v>0.989731535321044</v>
      </c>
      <c r="E54" s="49">
        <f>VLOOKUP(C54,OIS_Curve!$B$19:$D$58,3,FALSE())</f>
        <v>0.980392156862745</v>
      </c>
      <c r="F54" s="50">
        <f>Par_Rates!$E$8</f>
        <v>0.0362002014003943</v>
      </c>
      <c r="G54" s="6">
        <f>1/(1+F54*0.25)</f>
        <v>0.991031118479248</v>
      </c>
      <c r="H54" s="46">
        <f>(Parameters!$C$5/Parameters!$C$4)*(1-EXP(-Parameters!$C$4*0.25))*SQRT((1-EXP(-2*Parameters!$C$4*B54))/(2*Parameters!$C$4))</f>
        <v>0.000972413048041604</v>
      </c>
      <c r="I54" s="47">
        <f>(1/H54)*LN(E54/(D54*G54))+H54/2</f>
        <v>-0.484630862971098</v>
      </c>
      <c r="J54" s="47">
        <f>NORMSDIST(-I54+H54)</f>
        <v>0.686375763359808</v>
      </c>
      <c r="K54" s="47">
        <f>NORMSDIST(-I54)</f>
        <v>0.686030891539778</v>
      </c>
      <c r="L54" s="48">
        <f>(1+F54*0.25)*(G54*D54*J54-E54*K54)</f>
        <v>0.000661556067515558</v>
      </c>
      <c r="M54" s="36">
        <f>L54*10000</f>
        <v>6.61556067515558</v>
      </c>
      <c r="O54" s="9" t="str">
        <f>IF(M54="","?",IF(ABS(M54-HW_Caplets!M54)&lt;0.0000001,"OK","CHECK"))</f>
        <v>OK</v>
      </c>
    </row>
    <row r="55" ht="15.75" customHeight="1" spans="2:15">
      <c r="B55" s="12">
        <v>0.5</v>
      </c>
      <c r="C55" s="12">
        <v>0.75</v>
      </c>
      <c r="D55" s="44">
        <f>VLOOKUP(B55,OIS_Curve!$B$19:$D$58,3,FALSE())</f>
        <v>0.980392156862745</v>
      </c>
      <c r="E55" s="44">
        <f>VLOOKUP(C55,OIS_Curve!$B$19:$D$58,3,FALSE())</f>
        <v>0.971573953796494</v>
      </c>
      <c r="F55" s="45">
        <f>Par_Rates!$E$8</f>
        <v>0.0362002014003943</v>
      </c>
      <c r="G55" s="6">
        <f t="shared" ref="G55:G80" si="18">1/(1+F55*0.25)</f>
        <v>0.991031118479248</v>
      </c>
      <c r="H55" s="46">
        <f>(Parameters!$C$5/Parameters!$C$4)*(1-EXP(-Parameters!$C$4*0.25))*SQRT((1-EXP(-2*Parameters!$C$4*B55))/(2*Parameters!$C$4))</f>
        <v>0.00134810013785897</v>
      </c>
      <c r="I55" s="47">
        <f t="shared" ref="I55:I80" si="19">(1/H55)*LN(E55/(D55*G55))+H55/2</f>
        <v>-0.0185518204801652</v>
      </c>
      <c r="J55" s="47">
        <f t="shared" ref="J55:J80" si="20">NORMSDIST(-I55+H55)</f>
        <v>0.507938395764533</v>
      </c>
      <c r="K55" s="47">
        <f t="shared" ref="K55:K80" si="21">NORMSDIST(-I55)</f>
        <v>0.507400681050068</v>
      </c>
      <c r="L55" s="48">
        <f t="shared" ref="L55:L80" si="22">(1+F55*0.25)*(G55*D55*J55-E55*K55)</f>
        <v>0.000540064271776305</v>
      </c>
      <c r="M55" s="36">
        <f t="shared" ref="M55:M80" si="23">L55*10000</f>
        <v>5.40064271776305</v>
      </c>
      <c r="O55" s="9" t="str">
        <f>IF(M55="","?",IF(ABS(M55-HW_Caplets!M55)&lt;0.0000001,"OK","CHECK"))</f>
        <v>OK</v>
      </c>
    </row>
    <row r="56" ht="15.75" customHeight="1" spans="2:15">
      <c r="B56" s="16">
        <v>0.75</v>
      </c>
      <c r="C56" s="16">
        <v>1</v>
      </c>
      <c r="D56" s="49">
        <f>VLOOKUP(B56,OIS_Curve!$B$19:$D$58,3,FALSE())</f>
        <v>0.971573953796494</v>
      </c>
      <c r="E56" s="49">
        <f>VLOOKUP(C56,OIS_Curve!$B$19:$D$58,3,FALSE())</f>
        <v>0.963391136801541</v>
      </c>
      <c r="F56" s="50">
        <f>Par_Rates!$E$8</f>
        <v>0.0362002014003943</v>
      </c>
      <c r="G56" s="6">
        <f t="shared" si="18"/>
        <v>0.991031118479248</v>
      </c>
      <c r="H56" s="46">
        <f>(Parameters!$C$5/Parameters!$C$4)*(1-EXP(-Parameters!$C$4*0.25))*SQRT((1-EXP(-2*Parameters!$C$4*B56))/(2*Parameters!$C$4))</f>
        <v>0.00161898747133126</v>
      </c>
      <c r="I56" s="47">
        <f t="shared" si="19"/>
        <v>0.341423039666252</v>
      </c>
      <c r="J56" s="47">
        <f t="shared" si="20"/>
        <v>0.367002048051696</v>
      </c>
      <c r="K56" s="47">
        <f t="shared" si="21"/>
        <v>0.366392566432342</v>
      </c>
      <c r="L56" s="48">
        <f t="shared" si="22"/>
        <v>0.000395798886191565</v>
      </c>
      <c r="M56" s="36">
        <f t="shared" si="23"/>
        <v>3.95798886191565</v>
      </c>
      <c r="O56" s="9" t="str">
        <f>IF(M56="","?",IF(ABS(M56-HW_Caplets!M56)&lt;0.0000001,"OK","CHECK"))</f>
        <v>OK</v>
      </c>
    </row>
    <row r="57" ht="15.75" customHeight="1" spans="2:15">
      <c r="B57" s="12">
        <v>1</v>
      </c>
      <c r="C57" s="12">
        <v>1.25</v>
      </c>
      <c r="D57" s="44">
        <f>VLOOKUP(B57,OIS_Curve!$B$19:$D$58,3,FALSE())</f>
        <v>0.963391136801541</v>
      </c>
      <c r="E57" s="44">
        <f>VLOOKUP(C57,OIS_Curve!$B$19:$D$58,3,FALSE())</f>
        <v>0.954743122287646</v>
      </c>
      <c r="F57" s="45">
        <f>Par_Rates!$E$8</f>
        <v>0.0362002014003943</v>
      </c>
      <c r="G57" s="6">
        <f t="shared" si="18"/>
        <v>0.991031118479248</v>
      </c>
      <c r="H57" s="46">
        <f>(Parameters!$C$5/Parameters!$C$4)*(1-EXP(-Parameters!$C$4*0.25))*SQRT((1-EXP(-2*Parameters!$C$4*B57))/(2*Parameters!$C$4))</f>
        <v>0.00183361305631501</v>
      </c>
      <c r="I57" s="47">
        <f t="shared" si="19"/>
        <v>-0.00335224110481618</v>
      </c>
      <c r="J57" s="47">
        <f t="shared" si="20"/>
        <v>0.50206884721192</v>
      </c>
      <c r="K57" s="47">
        <f t="shared" si="21"/>
        <v>0.501337348206064</v>
      </c>
      <c r="L57" s="48">
        <f t="shared" si="22"/>
        <v>0.000708500336902706</v>
      </c>
      <c r="M57" s="36">
        <f t="shared" si="23"/>
        <v>7.08500336902706</v>
      </c>
      <c r="O57" s="9" t="str">
        <f>IF(M57="","?",IF(ABS(M57-HW_Caplets!M57)&lt;0.0000001,"OK","CHECK"))</f>
        <v>OK</v>
      </c>
    </row>
    <row r="58" ht="15.75" customHeight="1" spans="2:15">
      <c r="B58" s="16">
        <v>1.25</v>
      </c>
      <c r="C58" s="16">
        <v>1.5</v>
      </c>
      <c r="D58" s="49">
        <f>VLOOKUP(B58,OIS_Curve!$B$19:$D$58,3,FALSE())</f>
        <v>0.954743122287646</v>
      </c>
      <c r="E58" s="49">
        <f>VLOOKUP(C58,OIS_Curve!$B$19:$D$58,3,FALSE())</f>
        <v>0.946288849612581</v>
      </c>
      <c r="F58" s="50">
        <f>Par_Rates!$E$8</f>
        <v>0.0362002014003943</v>
      </c>
      <c r="G58" s="6">
        <f t="shared" si="18"/>
        <v>0.991031118479248</v>
      </c>
      <c r="H58" s="46">
        <f>(Parameters!$C$5/Parameters!$C$4)*(1-EXP(-Parameters!$C$4*0.25))*SQRT((1-EXP(-2*Parameters!$C$4*B58))/(2*Parameters!$C$4))</f>
        <v>0.00201129786471566</v>
      </c>
      <c r="I58" s="47">
        <f t="shared" si="19"/>
        <v>0.0581239703272708</v>
      </c>
      <c r="J58" s="47">
        <f t="shared" si="20"/>
        <v>0.477626024340004</v>
      </c>
      <c r="K58" s="47">
        <f t="shared" si="21"/>
        <v>0.476824940553492</v>
      </c>
      <c r="L58" s="48">
        <f t="shared" si="22"/>
        <v>0.000712526756194257</v>
      </c>
      <c r="M58" s="36">
        <f t="shared" si="23"/>
        <v>7.12526756194257</v>
      </c>
      <c r="O58" s="9" t="str">
        <f>IF(M58="","?",IF(ABS(M58-HW_Caplets!M58)&lt;0.0000001,"OK","CHECK"))</f>
        <v>OK</v>
      </c>
    </row>
    <row r="59" ht="15.75" customHeight="1" spans="2:15">
      <c r="B59" s="12">
        <v>1.5</v>
      </c>
      <c r="C59" s="12">
        <v>1.75</v>
      </c>
      <c r="D59" s="44">
        <f>VLOOKUP(B59,OIS_Curve!$B$19:$D$58,3,FALSE())</f>
        <v>0.946288849612581</v>
      </c>
      <c r="E59" s="44">
        <f>VLOOKUP(C59,OIS_Curve!$B$19:$D$58,3,FALSE())</f>
        <v>0.938024537404291</v>
      </c>
      <c r="F59" s="45">
        <f>Par_Rates!$E$8</f>
        <v>0.0362002014003943</v>
      </c>
      <c r="G59" s="6">
        <f t="shared" si="18"/>
        <v>0.991031118479248</v>
      </c>
      <c r="H59" s="46">
        <f>(Parameters!$C$5/Parameters!$C$4)*(1-EXP(-Parameters!$C$4*0.25))*SQRT((1-EXP(-2*Parameters!$C$4*B59))/(2*Parameters!$C$4))</f>
        <v>0.00216221668621274</v>
      </c>
      <c r="I59" s="47">
        <f t="shared" si="19"/>
        <v>0.110964497325619</v>
      </c>
      <c r="J59" s="47">
        <f t="shared" si="20"/>
        <v>0.456679657435585</v>
      </c>
      <c r="K59" s="47">
        <f t="shared" si="21"/>
        <v>0.455822249925873</v>
      </c>
      <c r="L59" s="48">
        <f t="shared" si="22"/>
        <v>0.000708860303687618</v>
      </c>
      <c r="M59" s="36">
        <f t="shared" si="23"/>
        <v>7.08860303687618</v>
      </c>
      <c r="O59" s="9" t="str">
        <f>IF(M59="","?",IF(ABS(M59-HW_Caplets!M59)&lt;0.0000001,"OK","CHECK"))</f>
        <v>OK</v>
      </c>
    </row>
    <row r="60" ht="15.75" customHeight="1" spans="2:15">
      <c r="B60" s="16">
        <v>1.75</v>
      </c>
      <c r="C60" s="16">
        <v>2</v>
      </c>
      <c r="D60" s="49">
        <f>VLOOKUP(B60,OIS_Curve!$B$19:$D$58,3,FALSE())</f>
        <v>0.938024537404291</v>
      </c>
      <c r="E60" s="49">
        <f>VLOOKUP(C60,OIS_Curve!$B$19:$D$58,3,FALSE())</f>
        <v>0.929946507172944</v>
      </c>
      <c r="F60" s="50">
        <f>Par_Rates!$E$8</f>
        <v>0.0362002014003943</v>
      </c>
      <c r="G60" s="6">
        <f t="shared" si="18"/>
        <v>0.991031118479248</v>
      </c>
      <c r="H60" s="46">
        <f>(Parameters!$C$5/Parameters!$C$4)*(1-EXP(-Parameters!$C$4*0.25))*SQRT((1-EXP(-2*Parameters!$C$4*B60))/(2*Parameters!$C$4))</f>
        <v>0.00229257148854877</v>
      </c>
      <c r="I60" s="47">
        <f t="shared" si="19"/>
        <v>0.158306678923678</v>
      </c>
      <c r="J60" s="47">
        <f t="shared" si="20"/>
        <v>0.438010950631602</v>
      </c>
      <c r="K60" s="47">
        <f t="shared" si="21"/>
        <v>0.43710757274412</v>
      </c>
      <c r="L60" s="48">
        <f t="shared" si="22"/>
        <v>0.000699634067523881</v>
      </c>
      <c r="M60" s="36">
        <f t="shared" si="23"/>
        <v>6.99634067523881</v>
      </c>
      <c r="O60" s="9" t="str">
        <f>IF(M60="","?",IF(ABS(M60-HW_Caplets!M60)&lt;0.0000001,"OK","CHECK"))</f>
        <v>OK</v>
      </c>
    </row>
    <row r="61" ht="15.75" customHeight="1" spans="2:15">
      <c r="B61" s="12">
        <v>2</v>
      </c>
      <c r="C61" s="12">
        <v>2.25</v>
      </c>
      <c r="D61" s="44">
        <f>VLOOKUP(B61,OIS_Curve!$B$19:$D$58,3,FALSE())</f>
        <v>0.929946507172944</v>
      </c>
      <c r="E61" s="44">
        <f>VLOOKUP(C61,OIS_Curve!$B$19:$D$58,3,FALSE())</f>
        <v>0.92179826516081</v>
      </c>
      <c r="F61" s="45">
        <f>Par_Rates!$E$8</f>
        <v>0.0362002014003943</v>
      </c>
      <c r="G61" s="6">
        <f t="shared" si="18"/>
        <v>0.991031118479248</v>
      </c>
      <c r="H61" s="46">
        <f>(Parameters!$C$5/Parameters!$C$4)*(1-EXP(-Parameters!$C$4*0.25))*SQRT((1-EXP(-2*Parameters!$C$4*B61))/(2*Parameters!$C$4))</f>
        <v>0.00240650470624022</v>
      </c>
      <c r="I61" s="47">
        <f t="shared" si="19"/>
        <v>0.0879169843032791</v>
      </c>
      <c r="J61" s="47">
        <f t="shared" si="20"/>
        <v>0.465927782237176</v>
      </c>
      <c r="K61" s="47">
        <f t="shared" si="21"/>
        <v>0.464971328676849</v>
      </c>
      <c r="L61" s="48">
        <f t="shared" si="22"/>
        <v>0.000799209616596885</v>
      </c>
      <c r="M61" s="36">
        <f t="shared" si="23"/>
        <v>7.99209616596885</v>
      </c>
      <c r="O61" s="9" t="str">
        <f>IF(M61="","?",IF(ABS(M61-HW_Caplets!M61)&lt;0.0000001,"OK","CHECK"))</f>
        <v>OK</v>
      </c>
    </row>
    <row r="62" ht="15.75" customHeight="1" spans="2:15">
      <c r="B62" s="16">
        <v>2.25</v>
      </c>
      <c r="C62" s="16">
        <v>2.5</v>
      </c>
      <c r="D62" s="49">
        <f>VLOOKUP(B62,OIS_Curve!$B$19:$D$58,3,FALSE())</f>
        <v>0.92179826516081</v>
      </c>
      <c r="E62" s="49">
        <f>VLOOKUP(C62,OIS_Curve!$B$19:$D$58,3,FALSE())</f>
        <v>0.913777839413286</v>
      </c>
      <c r="F62" s="50">
        <f>Par_Rates!$E$8</f>
        <v>0.0362002014003943</v>
      </c>
      <c r="G62" s="6">
        <f t="shared" si="18"/>
        <v>0.991031118479248</v>
      </c>
      <c r="H62" s="46">
        <f>(Parameters!$C$5/Parameters!$C$4)*(1-EXP(-Parameters!$C$4*0.25))*SQRT((1-EXP(-2*Parameters!$C$4*B62))/(2*Parameters!$C$4))</f>
        <v>0.00250696247926221</v>
      </c>
      <c r="I62" s="47">
        <f t="shared" si="19"/>
        <v>0.109122504534362</v>
      </c>
      <c r="J62" s="47">
        <f t="shared" si="20"/>
        <v>0.457546994044463</v>
      </c>
      <c r="K62" s="47">
        <f t="shared" si="21"/>
        <v>0.456552662718994</v>
      </c>
      <c r="L62" s="48">
        <f t="shared" si="22"/>
        <v>0.000802749879796134</v>
      </c>
      <c r="M62" s="36">
        <f t="shared" si="23"/>
        <v>8.02749879796134</v>
      </c>
      <c r="O62" s="9" t="str">
        <f>IF(M62="","?",IF(ABS(M62-HW_Caplets!M62)&lt;0.0000001,"OK","CHECK"))</f>
        <v>OK</v>
      </c>
    </row>
    <row r="63" ht="15.75" customHeight="1" spans="2:15">
      <c r="B63" s="12">
        <v>2.5</v>
      </c>
      <c r="C63" s="12">
        <v>2.75</v>
      </c>
      <c r="D63" s="44">
        <f>VLOOKUP(B63,OIS_Curve!$B$19:$D$58,3,FALSE())</f>
        <v>0.913777839413286</v>
      </c>
      <c r="E63" s="44">
        <f>VLOOKUP(C63,OIS_Curve!$B$19:$D$58,3,FALSE())</f>
        <v>0.905883131631225</v>
      </c>
      <c r="F63" s="45">
        <f>Par_Rates!$E$8</f>
        <v>0.0362002014003943</v>
      </c>
      <c r="G63" s="6">
        <f t="shared" si="18"/>
        <v>0.991031118479248</v>
      </c>
      <c r="H63" s="46">
        <f>(Parameters!$C$5/Parameters!$C$4)*(1-EXP(-Parameters!$C$4*0.25))*SQRT((1-EXP(-2*Parameters!$C$4*B63))/(2*Parameters!$C$4))</f>
        <v>0.00259613811887088</v>
      </c>
      <c r="I63" s="47">
        <f t="shared" si="19"/>
        <v>0.129245878037685</v>
      </c>
      <c r="J63" s="47">
        <f t="shared" si="20"/>
        <v>0.449608813560933</v>
      </c>
      <c r="K63" s="47">
        <f t="shared" si="21"/>
        <v>0.448581547594476</v>
      </c>
      <c r="L63" s="48">
        <f t="shared" si="22"/>
        <v>0.000802512412626958</v>
      </c>
      <c r="M63" s="36">
        <f t="shared" si="23"/>
        <v>8.02512412626958</v>
      </c>
      <c r="O63" s="9" t="str">
        <f>IF(M63="","?",IF(ABS(M63-HW_Caplets!M63)&lt;0.0000001,"OK","CHECK"))</f>
        <v>OK</v>
      </c>
    </row>
    <row r="64" ht="15.75" customHeight="1" spans="2:15">
      <c r="B64" s="16">
        <v>2.75</v>
      </c>
      <c r="C64" s="16">
        <v>3</v>
      </c>
      <c r="D64" s="49">
        <f>VLOOKUP(B64,OIS_Curve!$B$19:$D$58,3,FALSE())</f>
        <v>0.905883131631225</v>
      </c>
      <c r="E64" s="49">
        <f>VLOOKUP(C64,OIS_Curve!$B$19:$D$58,3,FALSE())</f>
        <v>0.898112084896219</v>
      </c>
      <c r="F64" s="50">
        <f>Par_Rates!$E$8</f>
        <v>0.0362002014003943</v>
      </c>
      <c r="G64" s="6">
        <f t="shared" si="18"/>
        <v>0.991031118479248</v>
      </c>
      <c r="H64" s="46">
        <f>(Parameters!$C$5/Parameters!$C$4)*(1-EXP(-Parameters!$C$4*0.25))*SQRT((1-EXP(-2*Parameters!$C$4*B64))/(2*Parameters!$C$4))</f>
        <v>0.0026757220227115</v>
      </c>
      <c r="I64" s="47">
        <f t="shared" si="19"/>
        <v>0.148556731585408</v>
      </c>
      <c r="J64" s="47">
        <f t="shared" si="20"/>
        <v>0.442007661685839</v>
      </c>
      <c r="K64" s="47">
        <f t="shared" si="21"/>
        <v>0.440951708623259</v>
      </c>
      <c r="L64" s="48">
        <f t="shared" si="22"/>
        <v>0.000799188734677136</v>
      </c>
      <c r="M64" s="36">
        <f t="shared" si="23"/>
        <v>7.99188734677136</v>
      </c>
      <c r="O64" s="9" t="str">
        <f>IF(M64="","?",IF(ABS(M64-HW_Caplets!M64)&lt;0.0000001,"OK","CHECK"))</f>
        <v>OK</v>
      </c>
    </row>
    <row r="65" ht="15.75" customHeight="1" spans="2:15">
      <c r="B65" s="12">
        <v>3</v>
      </c>
      <c r="C65" s="12">
        <v>3.25</v>
      </c>
      <c r="D65" s="44">
        <f>VLOOKUP(B65,OIS_Curve!$B$19:$D$58,3,FALSE())</f>
        <v>0.898112084896219</v>
      </c>
      <c r="E65" s="44">
        <f>VLOOKUP(C65,OIS_Curve!$B$19:$D$58,3,FALSE())</f>
        <v>0.890040326710701</v>
      </c>
      <c r="F65" s="45">
        <f>Par_Rates!$E$8</f>
        <v>0.0362002014003943</v>
      </c>
      <c r="G65" s="6">
        <f t="shared" si="18"/>
        <v>0.991031118479248</v>
      </c>
      <c r="H65" s="46">
        <f>(Parameters!$C$5/Parameters!$C$4)*(1-EXP(-Parameters!$C$4*0.25))*SQRT((1-EXP(-2*Parameters!$C$4*B65))/(2*Parameters!$C$4))</f>
        <v>0.00274705269428857</v>
      </c>
      <c r="I65" s="47">
        <f t="shared" si="19"/>
        <v>-0.00545560709251325</v>
      </c>
      <c r="J65" s="47">
        <f t="shared" si="20"/>
        <v>0.503272351104721</v>
      </c>
      <c r="K65" s="47">
        <f t="shared" si="21"/>
        <v>0.502176461537883</v>
      </c>
      <c r="L65" s="48">
        <f t="shared" si="22"/>
        <v>0.000992692541199609</v>
      </c>
      <c r="M65" s="36">
        <f t="shared" si="23"/>
        <v>9.92692541199609</v>
      </c>
      <c r="O65" s="9" t="str">
        <f>IF(M65="","?",IF(ABS(M65-HW_Caplets!M65)&lt;0.0000001,"OK","CHECK"))</f>
        <v>OK</v>
      </c>
    </row>
    <row r="66" ht="15.75" customHeight="1" spans="2:15">
      <c r="B66" s="16">
        <v>3.25</v>
      </c>
      <c r="C66" s="16">
        <v>3.5</v>
      </c>
      <c r="D66" s="49">
        <f>VLOOKUP(B66,OIS_Curve!$B$19:$D$58,3,FALSE())</f>
        <v>0.890040326710701</v>
      </c>
      <c r="E66" s="49">
        <f>VLOOKUP(C66,OIS_Curve!$B$19:$D$58,3,FALSE())</f>
        <v>0.882031197720876</v>
      </c>
      <c r="F66" s="50">
        <f>Par_Rates!$E$8</f>
        <v>0.0362002014003943</v>
      </c>
      <c r="G66" s="6">
        <f t="shared" si="18"/>
        <v>0.991031118479248</v>
      </c>
      <c r="H66" s="46">
        <f>(Parameters!$C$5/Parameters!$C$4)*(1-EXP(-Parameters!$C$4*0.25))*SQRT((1-EXP(-2*Parameters!$C$4*B66))/(2*Parameters!$C$4))</f>
        <v>0.00281121313207036</v>
      </c>
      <c r="I66" s="47">
        <f t="shared" si="19"/>
        <v>-0.00926651476128238</v>
      </c>
      <c r="J66" s="47">
        <f t="shared" si="20"/>
        <v>0.504818199167892</v>
      </c>
      <c r="K66" s="47">
        <f t="shared" si="21"/>
        <v>0.503696751624537</v>
      </c>
      <c r="L66" s="48">
        <f t="shared" si="22"/>
        <v>0.00101158336947259</v>
      </c>
      <c r="M66" s="36">
        <f t="shared" si="23"/>
        <v>10.1158336947259</v>
      </c>
      <c r="O66" s="9" t="str">
        <f>IF(M66="","?",IF(ABS(M66-HW_Caplets!M66)&lt;0.0000001,"OK","CHECK"))</f>
        <v>OK</v>
      </c>
    </row>
    <row r="67" ht="15.75" customHeight="1" spans="2:15">
      <c r="B67" s="12">
        <v>3.5</v>
      </c>
      <c r="C67" s="12">
        <v>3.75</v>
      </c>
      <c r="D67" s="44">
        <f>VLOOKUP(B67,OIS_Curve!$B$19:$D$58,3,FALSE())</f>
        <v>0.882031197720876</v>
      </c>
      <c r="E67" s="44">
        <f>VLOOKUP(C67,OIS_Curve!$B$19:$D$58,3,FALSE())</f>
        <v>0.874084313610749</v>
      </c>
      <c r="F67" s="45">
        <f>Par_Rates!$E$8</f>
        <v>0.0362002014003943</v>
      </c>
      <c r="G67" s="6">
        <f t="shared" si="18"/>
        <v>0.991031118479248</v>
      </c>
      <c r="H67" s="46">
        <f>(Parameters!$C$5/Parameters!$C$4)*(1-EXP(-Parameters!$C$4*0.25))*SQRT((1-EXP(-2*Parameters!$C$4*B67))/(2*Parameters!$C$4))</f>
        <v>0.0028690951260356</v>
      </c>
      <c r="I67" s="47">
        <f t="shared" si="19"/>
        <v>-0.0129404466489111</v>
      </c>
      <c r="J67" s="47">
        <f t="shared" si="20"/>
        <v>0.506306831923416</v>
      </c>
      <c r="K67" s="47">
        <f t="shared" si="21"/>
        <v>0.505162347218181</v>
      </c>
      <c r="L67" s="48">
        <f t="shared" si="22"/>
        <v>0.00102784753721355</v>
      </c>
      <c r="M67" s="36">
        <f t="shared" si="23"/>
        <v>10.2784753721355</v>
      </c>
      <c r="O67" s="9" t="str">
        <f>IF(M67="","?",IF(ABS(M67-HW_Caplets!M67)&lt;0.0000001,"OK","CHECK"))</f>
        <v>OK</v>
      </c>
    </row>
    <row r="68" ht="15.75" customHeight="1" spans="2:15">
      <c r="B68" s="16">
        <v>3.75</v>
      </c>
      <c r="C68" s="16">
        <v>4</v>
      </c>
      <c r="D68" s="49">
        <f>VLOOKUP(B68,OIS_Curve!$B$19:$D$58,3,FALSE())</f>
        <v>0.874084313610749</v>
      </c>
      <c r="E68" s="49">
        <f>VLOOKUP(C68,OIS_Curve!$B$19:$D$58,3,FALSE())</f>
        <v>0.866199291435047</v>
      </c>
      <c r="F68" s="50">
        <f>Par_Rates!$E$8</f>
        <v>0.0362002014003943</v>
      </c>
      <c r="G68" s="6">
        <f t="shared" si="18"/>
        <v>0.991031118479248</v>
      </c>
      <c r="H68" s="46">
        <f>(Parameters!$C$5/Parameters!$C$4)*(1-EXP(-Parameters!$C$4*0.25))*SQRT((1-EXP(-2*Parameters!$C$4*B68))/(2*Parameters!$C$4))</f>
        <v>0.00292144373716899</v>
      </c>
      <c r="I68" s="47">
        <f t="shared" si="19"/>
        <v>-0.0165046571562329</v>
      </c>
      <c r="J68" s="47">
        <f t="shared" si="20"/>
        <v>0.507749405583407</v>
      </c>
      <c r="K68" s="47">
        <f t="shared" si="21"/>
        <v>0.506584106639284</v>
      </c>
      <c r="L68" s="48">
        <f t="shared" si="22"/>
        <v>0.00104180906094955</v>
      </c>
      <c r="M68" s="36">
        <f t="shared" si="23"/>
        <v>10.4180906094955</v>
      </c>
      <c r="O68" s="9" t="str">
        <f>IF(M68="","?",IF(ABS(M68-HW_Caplets!M68)&lt;0.0000001,"OK","CHECK"))</f>
        <v>OK</v>
      </c>
    </row>
    <row r="69" ht="15.75" customHeight="1" spans="2:15">
      <c r="B69" s="12">
        <v>4</v>
      </c>
      <c r="C69" s="12">
        <v>4.25</v>
      </c>
      <c r="D69" s="44">
        <f>VLOOKUP(B69,OIS_Curve!$B$19:$D$58,3,FALSE())</f>
        <v>0.866199291435047</v>
      </c>
      <c r="E69" s="44">
        <f>VLOOKUP(C69,OIS_Curve!$B$19:$D$58,3,FALSE())</f>
        <v>0.859004040505197</v>
      </c>
      <c r="F69" s="45">
        <f>Par_Rates!$E$8</f>
        <v>0.0362002014003943</v>
      </c>
      <c r="G69" s="6">
        <f t="shared" si="18"/>
        <v>0.991031118479248</v>
      </c>
      <c r="H69" s="46">
        <f>(Parameters!$C$5/Parameters!$C$4)*(1-EXP(-Parameters!$C$4*0.25))*SQRT((1-EXP(-2*Parameters!$C$4*B69))/(2*Parameters!$C$4))</f>
        <v>0.00296888902340066</v>
      </c>
      <c r="I69" s="47">
        <f t="shared" si="19"/>
        <v>0.226470623034192</v>
      </c>
      <c r="J69" s="47">
        <f t="shared" si="20"/>
        <v>0.411572516857453</v>
      </c>
      <c r="K69" s="47">
        <f t="shared" si="21"/>
        <v>0.410417702565914</v>
      </c>
      <c r="L69" s="48">
        <f t="shared" si="22"/>
        <v>0.000762758219702382</v>
      </c>
      <c r="M69" s="36">
        <f t="shared" si="23"/>
        <v>7.62758219702382</v>
      </c>
      <c r="O69" s="9" t="str">
        <f>IF(M69="","?",IF(ABS(M69-HW_Caplets!M69)&lt;0.0000001,"OK","CHECK"))</f>
        <v>OK</v>
      </c>
    </row>
    <row r="70" ht="15.75" customHeight="1" spans="2:15">
      <c r="B70" s="16">
        <v>4.25</v>
      </c>
      <c r="C70" s="16">
        <v>4.5</v>
      </c>
      <c r="D70" s="49">
        <f>VLOOKUP(B70,OIS_Curve!$B$19:$D$58,3,FALSE())</f>
        <v>0.859004040505197</v>
      </c>
      <c r="E70" s="49">
        <f>VLOOKUP(C70,OIS_Curve!$B$19:$D$58,3,FALSE())</f>
        <v>0.851932313707466</v>
      </c>
      <c r="F70" s="50">
        <f>Par_Rates!$E$8</f>
        <v>0.0362002014003943</v>
      </c>
      <c r="G70" s="6">
        <f t="shared" si="18"/>
        <v>0.991031118479248</v>
      </c>
      <c r="H70" s="46">
        <f>(Parameters!$C$5/Parameters!$C$4)*(1-EXP(-Parameters!$C$4*0.25))*SQRT((1-EXP(-2*Parameters!$C$4*B70))/(2*Parameters!$C$4))</f>
        <v>0.00301196926646191</v>
      </c>
      <c r="I70" s="47">
        <f t="shared" si="19"/>
        <v>0.248121389385814</v>
      </c>
      <c r="J70" s="47">
        <f t="shared" si="20"/>
        <v>0.403185854585746</v>
      </c>
      <c r="K70" s="47">
        <f t="shared" si="21"/>
        <v>0.40202024332233</v>
      </c>
      <c r="L70" s="48">
        <f t="shared" si="22"/>
        <v>0.000744653841996924</v>
      </c>
      <c r="M70" s="36">
        <f t="shared" si="23"/>
        <v>7.44653841996924</v>
      </c>
      <c r="O70" s="9" t="str">
        <f>IF(M70="","?",IF(ABS(M70-HW_Caplets!M70)&lt;0.0000001,"OK","CHECK"))</f>
        <v>OK</v>
      </c>
    </row>
    <row r="71" ht="15.75" customHeight="1" spans="2:15">
      <c r="B71" s="12">
        <v>4.5</v>
      </c>
      <c r="C71" s="12">
        <v>4.75</v>
      </c>
      <c r="D71" s="44">
        <f>VLOOKUP(B71,OIS_Curve!$B$19:$D$58,3,FALSE())</f>
        <v>0.851932313707466</v>
      </c>
      <c r="E71" s="44">
        <f>VLOOKUP(C71,OIS_Curve!$B$19:$D$58,3,FALSE())</f>
        <v>0.844982039968139</v>
      </c>
      <c r="F71" s="45">
        <f>Par_Rates!$E$8</f>
        <v>0.0362002014003943</v>
      </c>
      <c r="G71" s="6">
        <f t="shared" si="18"/>
        <v>0.991031118479248</v>
      </c>
      <c r="H71" s="46">
        <f>(Parameters!$C$5/Parameters!$C$4)*(1-EXP(-Parameters!$C$4*0.25))*SQRT((1-EXP(-2*Parameters!$C$4*B71))/(2*Parameters!$C$4))</f>
        <v>0.00305114836324089</v>
      </c>
      <c r="I71" s="47">
        <f t="shared" si="19"/>
        <v>0.269502396784307</v>
      </c>
      <c r="J71" s="47">
        <f t="shared" si="20"/>
        <v>0.394945850351066</v>
      </c>
      <c r="K71" s="47">
        <f t="shared" si="21"/>
        <v>0.393771549030055</v>
      </c>
      <c r="L71" s="48">
        <f t="shared" si="22"/>
        <v>0.000726023069566859</v>
      </c>
      <c r="M71" s="36">
        <f t="shared" si="23"/>
        <v>7.26023069566859</v>
      </c>
      <c r="O71" s="9" t="str">
        <f>IF(M71="","?",IF(ABS(M71-HW_Caplets!M71)&lt;0.0000001,"OK","CHECK"))</f>
        <v>OK</v>
      </c>
    </row>
    <row r="72" ht="15.75" customHeight="1" spans="2:15">
      <c r="B72" s="16">
        <v>4.75</v>
      </c>
      <c r="C72" s="16">
        <v>5</v>
      </c>
      <c r="D72" s="49">
        <f>VLOOKUP(B72,OIS_Curve!$B$19:$D$58,3,FALSE())</f>
        <v>0.844982039968139</v>
      </c>
      <c r="E72" s="49">
        <f>VLOOKUP(C72,OIS_Curve!$B$19:$D$58,3,FALSE())</f>
        <v>0.838151192344588</v>
      </c>
      <c r="F72" s="50">
        <f>Par_Rates!$E$8</f>
        <v>0.0362002014003943</v>
      </c>
      <c r="G72" s="6">
        <f t="shared" si="18"/>
        <v>0.991031118479248</v>
      </c>
      <c r="H72" s="46">
        <f>(Parameters!$C$5/Parameters!$C$4)*(1-EXP(-Parameters!$C$4*0.25))*SQRT((1-EXP(-2*Parameters!$C$4*B72))/(2*Parameters!$C$4))</f>
        <v>0.00308682910548797</v>
      </c>
      <c r="I72" s="47">
        <f t="shared" si="19"/>
        <v>0.290667313897488</v>
      </c>
      <c r="J72" s="47">
        <f t="shared" si="20"/>
        <v>0.386833942487445</v>
      </c>
      <c r="K72" s="47">
        <f t="shared" si="21"/>
        <v>0.385652886228303</v>
      </c>
      <c r="L72" s="48">
        <f t="shared" si="22"/>
        <v>0.000707010544507575</v>
      </c>
      <c r="M72" s="36">
        <f t="shared" si="23"/>
        <v>7.07010544507575</v>
      </c>
      <c r="O72" s="9" t="str">
        <f>IF(M72="","?",IF(ABS(M72-HW_Caplets!M72)&lt;0.0000001,"OK","CHECK"))</f>
        <v>OK</v>
      </c>
    </row>
    <row r="73" ht="15.75" customHeight="1" spans="2:15">
      <c r="B73" s="12">
        <v>5</v>
      </c>
      <c r="C73" s="12">
        <v>5.25</v>
      </c>
      <c r="D73" s="44">
        <f>VLOOKUP(B73,OIS_Curve!$B$19:$D$58,3,FALSE())</f>
        <v>0.838151192344588</v>
      </c>
      <c r="E73" s="44">
        <f>VLOOKUP(C73,OIS_Curve!$B$19:$D$58,3,FALSE())</f>
        <v>0.830518323961271</v>
      </c>
      <c r="F73" s="45">
        <f>Par_Rates!$E$8</f>
        <v>0.0362002014003943</v>
      </c>
      <c r="G73" s="6">
        <f t="shared" si="18"/>
        <v>0.991031118479248</v>
      </c>
      <c r="H73" s="46">
        <f>(Parameters!$C$5/Parameters!$C$4)*(1-EXP(-Parameters!$C$4*0.25))*SQRT((1-EXP(-2*Parameters!$C$4*B73))/(2*Parameters!$C$4))</f>
        <v>0.00311936349614793</v>
      </c>
      <c r="I73" s="47">
        <f t="shared" si="19"/>
        <v>-0.0430545579776555</v>
      </c>
      <c r="J73" s="47">
        <f t="shared" si="20"/>
        <v>0.518414186026142</v>
      </c>
      <c r="K73" s="47">
        <f t="shared" si="21"/>
        <v>0.517170978418099</v>
      </c>
      <c r="L73" s="48">
        <f t="shared" si="22"/>
        <v>0.00110231655609244</v>
      </c>
      <c r="M73" s="36">
        <f t="shared" si="23"/>
        <v>11.0231655609244</v>
      </c>
      <c r="O73" s="9" t="str">
        <f>IF(M73="","?",IF(ABS(M73-HW_Caplets!M73)&lt;0.0000001,"OK","CHECK"))</f>
        <v>OK</v>
      </c>
    </row>
    <row r="74" ht="15.75" customHeight="1" spans="2:15">
      <c r="B74" s="16">
        <v>5.25</v>
      </c>
      <c r="C74" s="16">
        <v>5.5</v>
      </c>
      <c r="D74" s="49">
        <f>VLOOKUP(B74,OIS_Curve!$B$19:$D$58,3,FALSE())</f>
        <v>0.830518323961271</v>
      </c>
      <c r="E74" s="49">
        <f>VLOOKUP(C74,OIS_Curve!$B$19:$D$58,3,FALSE())</f>
        <v>0.822929833595843</v>
      </c>
      <c r="F74" s="50">
        <f>Par_Rates!$E$8</f>
        <v>0.0362002014003943</v>
      </c>
      <c r="G74" s="6">
        <f t="shared" si="18"/>
        <v>0.991031118479248</v>
      </c>
      <c r="H74" s="46">
        <f>(Parameters!$C$5/Parameters!$C$4)*(1-EXP(-Parameters!$C$4*0.25))*SQRT((1-EXP(-2*Parameters!$C$4*B74))/(2*Parameters!$C$4))</f>
        <v>0.00314906088677719</v>
      </c>
      <c r="I74" s="47">
        <f t="shared" si="19"/>
        <v>-0.0523172036237121</v>
      </c>
      <c r="J74" s="47">
        <f t="shared" si="20"/>
        <v>0.52211649721026</v>
      </c>
      <c r="K74" s="47">
        <f t="shared" si="21"/>
        <v>0.520862027210409</v>
      </c>
      <c r="L74" s="48">
        <f t="shared" si="22"/>
        <v>0.0011152674577537</v>
      </c>
      <c r="M74" s="36">
        <f t="shared" si="23"/>
        <v>11.152674577537</v>
      </c>
      <c r="O74" s="9" t="str">
        <f>IF(M74="","?",IF(ABS(M74-HW_Caplets!M74)&lt;0.0000001,"OK","CHECK"))</f>
        <v>OK</v>
      </c>
    </row>
    <row r="75" ht="15.75" customHeight="1" spans="2:15">
      <c r="B75" s="12">
        <v>5.5</v>
      </c>
      <c r="C75" s="12">
        <v>5.75</v>
      </c>
      <c r="D75" s="44">
        <f>VLOOKUP(B75,OIS_Curve!$B$19:$D$58,3,FALSE())</f>
        <v>0.822929833595843</v>
      </c>
      <c r="E75" s="44">
        <f>VLOOKUP(C75,OIS_Curve!$B$19:$D$58,3,FALSE())</f>
        <v>0.815385777149241</v>
      </c>
      <c r="F75" s="45">
        <f>Par_Rates!$E$8</f>
        <v>0.0362002014003943</v>
      </c>
      <c r="G75" s="6">
        <f t="shared" si="18"/>
        <v>0.991031118479248</v>
      </c>
      <c r="H75" s="46">
        <f>(Parameters!$C$5/Parameters!$C$4)*(1-EXP(-Parameters!$C$4*0.25))*SQRT((1-EXP(-2*Parameters!$C$4*B75))/(2*Parameters!$C$4))</f>
        <v>0.00317619448407471</v>
      </c>
      <c r="I75" s="47">
        <f t="shared" si="19"/>
        <v>-0.0614586317723857</v>
      </c>
      <c r="J75" s="47">
        <f t="shared" si="20"/>
        <v>0.525767622334778</v>
      </c>
      <c r="K75" s="47">
        <f t="shared" si="21"/>
        <v>0.524503020420789</v>
      </c>
      <c r="L75" s="48">
        <f t="shared" si="22"/>
        <v>0.00112710316031612</v>
      </c>
      <c r="M75" s="36">
        <f t="shared" si="23"/>
        <v>11.2710316031612</v>
      </c>
      <c r="O75" s="9" t="str">
        <f>IF(M75="","?",IF(ABS(M75-HW_Caplets!M75)&lt;0.0000001,"OK","CHECK"))</f>
        <v>OK</v>
      </c>
    </row>
    <row r="76" ht="15.75" customHeight="1" spans="2:15">
      <c r="B76" s="16">
        <v>5.75</v>
      </c>
      <c r="C76" s="16">
        <v>6</v>
      </c>
      <c r="D76" s="49">
        <f>VLOOKUP(B76,OIS_Curve!$B$19:$D$58,3,FALSE())</f>
        <v>0.815385777149241</v>
      </c>
      <c r="E76" s="49">
        <f>VLOOKUP(C76,OIS_Curve!$B$19:$D$58,3,FALSE())</f>
        <v>0.807886205958442</v>
      </c>
      <c r="F76" s="50">
        <f>Par_Rates!$E$8</f>
        <v>0.0362002014003943</v>
      </c>
      <c r="G76" s="6">
        <f t="shared" si="18"/>
        <v>0.991031118479248</v>
      </c>
      <c r="H76" s="46">
        <f>(Parameters!$C$5/Parameters!$C$4)*(1-EXP(-Parameters!$C$4*0.25))*SQRT((1-EXP(-2*Parameters!$C$4*B76))/(2*Parameters!$C$4))</f>
        <v>0.00320100661609174</v>
      </c>
      <c r="I76" s="47">
        <f t="shared" si="19"/>
        <v>-0.0704983773497244</v>
      </c>
      <c r="J76" s="47">
        <f t="shared" si="20"/>
        <v>0.529375205509165</v>
      </c>
      <c r="K76" s="47">
        <f t="shared" si="21"/>
        <v>0.528101503987044</v>
      </c>
      <c r="L76" s="48">
        <f t="shared" si="22"/>
        <v>0.00113792586915133</v>
      </c>
      <c r="M76" s="36">
        <f t="shared" si="23"/>
        <v>11.3792586915133</v>
      </c>
      <c r="O76" s="9" t="str">
        <f>IF(M76="","?",IF(ABS(M76-HW_Caplets!M76)&lt;0.0000001,"OK","CHECK"))</f>
        <v>OK</v>
      </c>
    </row>
    <row r="77" ht="15.75" customHeight="1" spans="2:15">
      <c r="B77" s="12">
        <v>6</v>
      </c>
      <c r="C77" s="12">
        <v>6.25</v>
      </c>
      <c r="D77" s="44">
        <f>VLOOKUP(B77,OIS_Curve!$B$19:$D$58,3,FALSE())</f>
        <v>0.807886205958442</v>
      </c>
      <c r="E77" s="44">
        <f>VLOOKUP(C77,OIS_Curve!$B$19:$D$58,3,FALSE())</f>
        <v>0.801300488411683</v>
      </c>
      <c r="F77" s="45">
        <f>Par_Rates!$E$8</f>
        <v>0.0362002014003943</v>
      </c>
      <c r="G77" s="6">
        <f t="shared" si="18"/>
        <v>0.991031118479248</v>
      </c>
      <c r="H77" s="46">
        <f>(Parameters!$C$5/Parameters!$C$4)*(1-EXP(-Parameters!$C$4*0.25))*SQRT((1-EXP(-2*Parameters!$C$4*B77))/(2*Parameters!$C$4))</f>
        <v>0.0032237130414895</v>
      </c>
      <c r="I77" s="47">
        <f t="shared" si="19"/>
        <v>0.257263634543478</v>
      </c>
      <c r="J77" s="47">
        <f t="shared" si="20"/>
        <v>0.399732358307959</v>
      </c>
      <c r="K77" s="47">
        <f t="shared" si="21"/>
        <v>0.398487631642521</v>
      </c>
      <c r="L77" s="48">
        <f t="shared" si="22"/>
        <v>0.000740167992421207</v>
      </c>
      <c r="M77" s="36">
        <f t="shared" si="23"/>
        <v>7.40167992421207</v>
      </c>
      <c r="O77" s="9" t="str">
        <f>IF(M77="","?",IF(ABS(M77-HW_Caplets!M77)&lt;0.0000001,"OK","CHECK"))</f>
        <v>OK</v>
      </c>
    </row>
    <row r="78" ht="15.75" customHeight="1" spans="2:15">
      <c r="B78" s="16">
        <v>6.25</v>
      </c>
      <c r="C78" s="16">
        <v>6.5</v>
      </c>
      <c r="D78" s="49">
        <f>VLOOKUP(B78,OIS_Curve!$B$19:$D$58,3,FALSE())</f>
        <v>0.801300488411683</v>
      </c>
      <c r="E78" s="49">
        <f>VLOOKUP(C78,OIS_Curve!$B$19:$D$58,3,FALSE())</f>
        <v>0.794813201266242</v>
      </c>
      <c r="F78" s="50">
        <f>Par_Rates!$E$8</f>
        <v>0.0362002014003943</v>
      </c>
      <c r="G78" s="6">
        <f t="shared" si="18"/>
        <v>0.991031118479248</v>
      </c>
      <c r="H78" s="46">
        <f>(Parameters!$C$5/Parameters!$C$4)*(1-EXP(-Parameters!$C$4*0.25))*SQRT((1-EXP(-2*Parameters!$C$4*B78))/(2*Parameters!$C$4))</f>
        <v>0.00324450651078785</v>
      </c>
      <c r="I78" s="47">
        <f t="shared" si="19"/>
        <v>0.272987352933492</v>
      </c>
      <c r="J78" s="47">
        <f t="shared" si="20"/>
        <v>0.393679047614344</v>
      </c>
      <c r="K78" s="47">
        <f t="shared" si="21"/>
        <v>0.392431468688805</v>
      </c>
      <c r="L78" s="48">
        <f t="shared" si="22"/>
        <v>0.000722702627222798</v>
      </c>
      <c r="M78" s="36">
        <f t="shared" si="23"/>
        <v>7.22702627222798</v>
      </c>
      <c r="O78" s="9" t="str">
        <f>IF(M78="","?",IF(ABS(M78-HW_Caplets!M78)&lt;0.0000001,"OK","CHECK"))</f>
        <v>OK</v>
      </c>
    </row>
    <row r="79" ht="15.75" customHeight="1" spans="2:15">
      <c r="B79" s="12">
        <v>6.5</v>
      </c>
      <c r="C79" s="12">
        <v>6.75</v>
      </c>
      <c r="D79" s="44">
        <f>VLOOKUP(B79,OIS_Curve!$B$19:$D$58,3,FALSE())</f>
        <v>0.794813201266242</v>
      </c>
      <c r="E79" s="44">
        <f>VLOOKUP(C79,OIS_Curve!$B$19:$D$58,3,FALSE())</f>
        <v>0.788422820130236</v>
      </c>
      <c r="F79" s="45">
        <f>Par_Rates!$E$8</f>
        <v>0.0362002014003943</v>
      </c>
      <c r="G79" s="6">
        <f t="shared" si="18"/>
        <v>0.991031118479248</v>
      </c>
      <c r="H79" s="46">
        <f>(Parameters!$C$5/Parameters!$C$4)*(1-EXP(-Parameters!$C$4*0.25))*SQRT((1-EXP(-2*Parameters!$C$4*B79))/(2*Parameters!$C$4))</f>
        <v>0.00326355973594485</v>
      </c>
      <c r="I79" s="47">
        <f t="shared" si="19"/>
        <v>0.288663049496998</v>
      </c>
      <c r="J79" s="47">
        <f t="shared" si="20"/>
        <v>0.387669049200142</v>
      </c>
      <c r="K79" s="47">
        <f t="shared" si="21"/>
        <v>0.386419620848677</v>
      </c>
      <c r="L79" s="48">
        <f t="shared" si="22"/>
        <v>0.000705223936300758</v>
      </c>
      <c r="M79" s="36">
        <f t="shared" si="23"/>
        <v>7.05223936300758</v>
      </c>
      <c r="O79" s="9" t="str">
        <f>IF(M79="","?",IF(ABS(M79-HW_Caplets!M79)&lt;0.0000001,"OK","CHECK"))</f>
        <v>OK</v>
      </c>
    </row>
    <row r="80" ht="15.75" customHeight="1" spans="2:15">
      <c r="B80" s="16">
        <v>6.75</v>
      </c>
      <c r="C80" s="16">
        <v>7</v>
      </c>
      <c r="D80" s="49">
        <f>VLOOKUP(B80,OIS_Curve!$B$19:$D$58,3,FALSE())</f>
        <v>0.788422820130236</v>
      </c>
      <c r="E80" s="49">
        <f>VLOOKUP(C80,OIS_Curve!$B$19:$D$58,3,FALSE())</f>
        <v>0.782127849212015</v>
      </c>
      <c r="F80" s="50">
        <f>Par_Rates!$E$8</f>
        <v>0.0362002014003943</v>
      </c>
      <c r="G80" s="6">
        <f t="shared" si="18"/>
        <v>0.991031118479248</v>
      </c>
      <c r="H80" s="46">
        <f>(Parameters!$C$5/Parameters!$C$4)*(1-EXP(-Parameters!$C$4*0.25))*SQRT((1-EXP(-2*Parameters!$C$4*B80))/(2*Parameters!$C$4))</f>
        <v>0.00328102788682314</v>
      </c>
      <c r="I80" s="47">
        <f t="shared" si="19"/>
        <v>0.304302237825315</v>
      </c>
      <c r="J80" s="47">
        <f t="shared" si="20"/>
        <v>0.381699160505739</v>
      </c>
      <c r="K80" s="47">
        <f t="shared" si="21"/>
        <v>0.380448820207048</v>
      </c>
      <c r="L80" s="48">
        <f t="shared" si="22"/>
        <v>0.00068778156310689</v>
      </c>
      <c r="M80" s="36">
        <f t="shared" si="23"/>
        <v>6.8778156310689</v>
      </c>
      <c r="O80" s="9" t="str">
        <f>IF(M80="","?",IF(ABS(M80-HW_Caplets!M80)&lt;0.0000001,"OK","CHECK"))</f>
        <v>OK</v>
      </c>
    </row>
    <row r="81" ht="19.5" customHeight="1" spans="2:15">
      <c r="B81" s="51" t="s">
        <v>136</v>
      </c>
      <c r="C81" s="51"/>
      <c r="D81" s="51"/>
      <c r="E81" s="51"/>
      <c r="F81" s="51"/>
      <c r="G81" s="51"/>
      <c r="H81" s="51"/>
      <c r="I81" s="51"/>
      <c r="J81" s="51"/>
      <c r="K81" s="51"/>
      <c r="L81" s="48">
        <f>SUM(L54:L80)</f>
        <v>0.0219834686804633</v>
      </c>
      <c r="M81" s="36">
        <f>SUM(M54:M80)</f>
        <v>219.834686804633</v>
      </c>
    </row>
    <row r="82" spans="2:15">
      <c r="G82" s="52"/>
      <c r="H82" s="52"/>
      <c r="I82" s="52"/>
      <c r="J82" s="52"/>
      <c r="K82" s="52"/>
      <c r="L82" s="52"/>
      <c r="M82" s="52"/>
    </row>
    <row r="83" ht="19.5" customHeight="1" spans="2:15">
      <c r="B83" s="10" t="s">
        <v>137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</row>
    <row r="84" ht="19.5" customHeight="1" spans="2:15">
      <c r="B84" s="4" t="s">
        <v>18</v>
      </c>
      <c r="C84" s="4" t="s">
        <v>19</v>
      </c>
      <c r="D84" s="4" t="s">
        <v>120</v>
      </c>
      <c r="E84" s="4" t="s">
        <v>121</v>
      </c>
      <c r="F84" s="4" t="s">
        <v>122</v>
      </c>
      <c r="G84" s="53"/>
      <c r="H84" s="53"/>
      <c r="I84" s="53"/>
      <c r="J84" s="53"/>
      <c r="K84" s="53"/>
      <c r="L84" s="53"/>
      <c r="M84" s="53"/>
    </row>
    <row r="85" ht="15.75" customHeight="1" spans="2:15">
      <c r="B85" s="12">
        <v>0.25</v>
      </c>
      <c r="C85" s="12">
        <v>0.5</v>
      </c>
      <c r="D85" s="44">
        <f>VLOOKUP(B85,OIS_Curve!$B$19:$D$58,3,FALSE())</f>
        <v>0.989731535321044</v>
      </c>
      <c r="E85" s="44">
        <f>VLOOKUP(C85,OIS_Curve!$B$19:$D$58,3,FALSE())</f>
        <v>0.980392156862745</v>
      </c>
      <c r="F85" s="45">
        <f>Par_Rates!$E$9</f>
        <v>0.0359004710987383</v>
      </c>
      <c r="G85" s="6">
        <f>1/(1+F85*0.25)</f>
        <v>0.991104718425089</v>
      </c>
      <c r="H85" s="46">
        <f>(Parameters!$C$5/Parameters!$C$4)*(1-EXP(-Parameters!$C$4*0.25))*SQRT((1-EXP(-2*Parameters!$C$4*B85))/(2*Parameters!$C$4))</f>
        <v>0.000972413048041604</v>
      </c>
      <c r="I85" s="47">
        <f>(1/H85)*LN(E85/(D85*G85))+H85/2</f>
        <v>-0.561000952431721</v>
      </c>
      <c r="J85" s="47">
        <f>NORMSDIST(-I85+H85)</f>
        <v>0.712932916972375</v>
      </c>
      <c r="K85" s="47">
        <f>NORMSDIST(-I85)</f>
        <v>0.712601556048517</v>
      </c>
      <c r="L85" s="48">
        <f>(1+F85*0.25)*(G85*D85*J85-E85*K85)</f>
        <v>0.000712936632767237</v>
      </c>
      <c r="M85" s="36">
        <f>L85*10000</f>
        <v>7.12936632767237</v>
      </c>
      <c r="O85" s="9" t="str">
        <f>IF(M85="","?",IF(ABS(M85-HW_Caplets!M85)&lt;0.0000001,"OK","CHECK"))</f>
        <v>OK</v>
      </c>
    </row>
    <row r="86" ht="15.75" customHeight="1" spans="2:15">
      <c r="B86" s="16">
        <v>0.5</v>
      </c>
      <c r="C86" s="16">
        <v>0.75</v>
      </c>
      <c r="D86" s="49">
        <f>VLOOKUP(B86,OIS_Curve!$B$19:$D$58,3,FALSE())</f>
        <v>0.980392156862745</v>
      </c>
      <c r="E86" s="49">
        <f>VLOOKUP(C86,OIS_Curve!$B$19:$D$58,3,FALSE())</f>
        <v>0.971573953796494</v>
      </c>
      <c r="F86" s="50">
        <f>Par_Rates!$E$9</f>
        <v>0.0359004710987383</v>
      </c>
      <c r="G86" s="6">
        <f t="shared" ref="G86:G123" si="24">1/(1+F86*0.25)</f>
        <v>0.991104718425089</v>
      </c>
      <c r="H86" s="46">
        <f>(Parameters!$C$5/Parameters!$C$4)*(1-EXP(-Parameters!$C$4*0.25))*SQRT((1-EXP(-2*Parameters!$C$4*B86))/(2*Parameters!$C$4))</f>
        <v>0.00134810013785897</v>
      </c>
      <c r="I86" s="47">
        <f t="shared" ref="I86:I123" si="25">(1/H86)*LN(E86/(D86*G86))+H86/2</f>
        <v>-0.0736391759266373</v>
      </c>
      <c r="J86" s="47">
        <f t="shared" ref="J86:J123" si="26">NORMSDIST(-I86+H86)</f>
        <v>0.529887582191152</v>
      </c>
      <c r="K86" s="47">
        <f t="shared" ref="K86:K123" si="27">NORMSDIST(-I86)</f>
        <v>0.529351251067323</v>
      </c>
      <c r="L86" s="48">
        <f t="shared" ref="L86:L123" si="28">(1+F86*0.25)*(G86*D86*J86-E86*K86)</f>
        <v>0.000577803686270566</v>
      </c>
      <c r="M86" s="36">
        <f t="shared" ref="M86:M123" si="29">L86*10000</f>
        <v>5.77803686270566</v>
      </c>
      <c r="O86" s="9" t="str">
        <f>IF(M86="","?",IF(ABS(M86-HW_Caplets!M86)&lt;0.0000001,"OK","CHECK"))</f>
        <v>OK</v>
      </c>
    </row>
    <row r="87" ht="15.75" customHeight="1" spans="2:15">
      <c r="B87" s="12">
        <v>0.75</v>
      </c>
      <c r="C87" s="12">
        <v>1</v>
      </c>
      <c r="D87" s="44">
        <f>VLOOKUP(B87,OIS_Curve!$B$19:$D$58,3,FALSE())</f>
        <v>0.971573953796494</v>
      </c>
      <c r="E87" s="44">
        <f>VLOOKUP(C87,OIS_Curve!$B$19:$D$58,3,FALSE())</f>
        <v>0.963391136801541</v>
      </c>
      <c r="F87" s="45">
        <f>Par_Rates!$E$9</f>
        <v>0.0359004710987383</v>
      </c>
      <c r="G87" s="6">
        <f t="shared" si="24"/>
        <v>0.991104718425089</v>
      </c>
      <c r="H87" s="46">
        <f>(Parameters!$C$5/Parameters!$C$4)*(1-EXP(-Parameters!$C$4*0.25))*SQRT((1-EXP(-2*Parameters!$C$4*B87))/(2*Parameters!$C$4))</f>
        <v>0.00161898747133126</v>
      </c>
      <c r="I87" s="47">
        <f t="shared" si="25"/>
        <v>0.295552844382708</v>
      </c>
      <c r="J87" s="47">
        <f t="shared" si="26"/>
        <v>0.384404223092713</v>
      </c>
      <c r="K87" s="47">
        <f t="shared" si="27"/>
        <v>0.383785795101103</v>
      </c>
      <c r="L87" s="48">
        <f t="shared" si="28"/>
        <v>0.00042287480496</v>
      </c>
      <c r="M87" s="36">
        <f t="shared" si="29"/>
        <v>4.2287480496</v>
      </c>
      <c r="O87" s="9" t="str">
        <f>IF(M87="","?",IF(ABS(M87-HW_Caplets!M87)&lt;0.0000001,"OK","CHECK"))</f>
        <v>OK</v>
      </c>
    </row>
    <row r="88" ht="15.75" customHeight="1" spans="2:15">
      <c r="B88" s="16">
        <v>1</v>
      </c>
      <c r="C88" s="16">
        <v>1.25</v>
      </c>
      <c r="D88" s="49">
        <f>VLOOKUP(B88,OIS_Curve!$B$19:$D$58,3,FALSE())</f>
        <v>0.963391136801541</v>
      </c>
      <c r="E88" s="49">
        <f>VLOOKUP(C88,OIS_Curve!$B$19:$D$58,3,FALSE())</f>
        <v>0.954743122287646</v>
      </c>
      <c r="F88" s="50">
        <f>Par_Rates!$E$9</f>
        <v>0.0359004710987383</v>
      </c>
      <c r="G88" s="6">
        <f t="shared" si="24"/>
        <v>0.991104718425089</v>
      </c>
      <c r="H88" s="46">
        <f>(Parameters!$C$5/Parameters!$C$4)*(1-EXP(-Parameters!$C$4*0.25))*SQRT((1-EXP(-2*Parameters!$C$4*B88))/(2*Parameters!$C$4))</f>
        <v>0.00183361305631501</v>
      </c>
      <c r="I88" s="47">
        <f t="shared" si="25"/>
        <v>-0.0438533005927383</v>
      </c>
      <c r="J88" s="47">
        <f t="shared" si="26"/>
        <v>0.518220102843144</v>
      </c>
      <c r="K88" s="47">
        <f t="shared" si="27"/>
        <v>0.517489329905392</v>
      </c>
      <c r="L88" s="48">
        <f t="shared" si="28"/>
        <v>0.00074494454539146</v>
      </c>
      <c r="M88" s="36">
        <f t="shared" si="29"/>
        <v>7.4494454539146</v>
      </c>
      <c r="O88" s="9" t="str">
        <f>IF(M88="","?",IF(ABS(M88-HW_Caplets!M88)&lt;0.0000001,"OK","CHECK"))</f>
        <v>OK</v>
      </c>
    </row>
    <row r="89" ht="15.75" customHeight="1" spans="2:15">
      <c r="B89" s="12">
        <v>1.25</v>
      </c>
      <c r="C89" s="12">
        <v>1.5</v>
      </c>
      <c r="D89" s="44">
        <f>VLOOKUP(B89,OIS_Curve!$B$19:$D$58,3,FALSE())</f>
        <v>0.954743122287646</v>
      </c>
      <c r="E89" s="44">
        <f>VLOOKUP(C89,OIS_Curve!$B$19:$D$58,3,FALSE())</f>
        <v>0.946288849612581</v>
      </c>
      <c r="F89" s="45">
        <f>Par_Rates!$E$9</f>
        <v>0.0359004710987383</v>
      </c>
      <c r="G89" s="6">
        <f t="shared" si="24"/>
        <v>0.991104718425089</v>
      </c>
      <c r="H89" s="46">
        <f>(Parameters!$C$5/Parameters!$C$4)*(1-EXP(-Parameters!$C$4*0.25))*SQRT((1-EXP(-2*Parameters!$C$4*B89))/(2*Parameters!$C$4))</f>
        <v>0.00201129786471566</v>
      </c>
      <c r="I89" s="47">
        <f t="shared" si="25"/>
        <v>0.0212009104590634</v>
      </c>
      <c r="J89" s="47">
        <f t="shared" si="26"/>
        <v>0.492344922013698</v>
      </c>
      <c r="K89" s="47">
        <f t="shared" si="27"/>
        <v>0.491542694002636</v>
      </c>
      <c r="L89" s="48">
        <f t="shared" si="28"/>
        <v>0.000746859060995996</v>
      </c>
      <c r="M89" s="36">
        <f t="shared" si="29"/>
        <v>7.46859060995996</v>
      </c>
      <c r="O89" s="9" t="str">
        <f>IF(M89="","?",IF(ABS(M89-HW_Caplets!M89)&lt;0.0000001,"OK","CHECK"))</f>
        <v>OK</v>
      </c>
    </row>
    <row r="90" ht="15.75" customHeight="1" spans="2:15">
      <c r="B90" s="16">
        <v>1.5</v>
      </c>
      <c r="C90" s="16">
        <v>1.75</v>
      </c>
      <c r="D90" s="49">
        <f>VLOOKUP(B90,OIS_Curve!$B$19:$D$58,3,FALSE())</f>
        <v>0.946288849612581</v>
      </c>
      <c r="E90" s="49">
        <f>VLOOKUP(C90,OIS_Curve!$B$19:$D$58,3,FALSE())</f>
        <v>0.938024537404291</v>
      </c>
      <c r="F90" s="50">
        <f>Par_Rates!$E$9</f>
        <v>0.0359004710987383</v>
      </c>
      <c r="G90" s="6">
        <f t="shared" si="24"/>
        <v>0.991104718425089</v>
      </c>
      <c r="H90" s="46">
        <f>(Parameters!$C$5/Parameters!$C$4)*(1-EXP(-Parameters!$C$4*0.25))*SQRT((1-EXP(-2*Parameters!$C$4*B90))/(2*Parameters!$C$4))</f>
        <v>0.00216221668621274</v>
      </c>
      <c r="I90" s="47">
        <f t="shared" si="25"/>
        <v>0.0766186003832936</v>
      </c>
      <c r="J90" s="47">
        <f t="shared" si="26"/>
        <v>0.470323622778474</v>
      </c>
      <c r="K90" s="47">
        <f t="shared" si="27"/>
        <v>0.469463480741551</v>
      </c>
      <c r="L90" s="48">
        <f t="shared" si="28"/>
        <v>0.000741378557079949</v>
      </c>
      <c r="M90" s="36">
        <f t="shared" si="29"/>
        <v>7.41378557079949</v>
      </c>
      <c r="O90" s="9" t="str">
        <f>IF(M90="","?",IF(ABS(M90-HW_Caplets!M90)&lt;0.0000001,"OK","CHECK"))</f>
        <v>OK</v>
      </c>
    </row>
    <row r="91" ht="15.75" customHeight="1" spans="2:15">
      <c r="B91" s="12">
        <v>1.75</v>
      </c>
      <c r="C91" s="12">
        <v>2</v>
      </c>
      <c r="D91" s="44">
        <f>VLOOKUP(B91,OIS_Curve!$B$19:$D$58,3,FALSE())</f>
        <v>0.938024537404291</v>
      </c>
      <c r="E91" s="44">
        <f>VLOOKUP(C91,OIS_Curve!$B$19:$D$58,3,FALSE())</f>
        <v>0.929946507172944</v>
      </c>
      <c r="F91" s="45">
        <f>Par_Rates!$E$9</f>
        <v>0.0359004710987383</v>
      </c>
      <c r="G91" s="6">
        <f t="shared" si="24"/>
        <v>0.991104718425089</v>
      </c>
      <c r="H91" s="46">
        <f>(Parameters!$C$5/Parameters!$C$4)*(1-EXP(-Parameters!$C$4*0.25))*SQRT((1-EXP(-2*Parameters!$C$4*B91))/(2*Parameters!$C$4))</f>
        <v>0.00229257148854877</v>
      </c>
      <c r="I91" s="47">
        <f t="shared" si="25"/>
        <v>0.125913677509106</v>
      </c>
      <c r="J91" s="47">
        <f t="shared" si="26"/>
        <v>0.450807640242057</v>
      </c>
      <c r="K91" s="47">
        <f t="shared" si="27"/>
        <v>0.449900127880593</v>
      </c>
      <c r="L91" s="48">
        <f t="shared" si="28"/>
        <v>0.000730538526043966</v>
      </c>
      <c r="M91" s="36">
        <f t="shared" si="29"/>
        <v>7.30538526043966</v>
      </c>
      <c r="O91" s="9" t="str">
        <f>IF(M91="","?",IF(ABS(M91-HW_Caplets!M91)&lt;0.0000001,"OK","CHECK"))</f>
        <v>OK</v>
      </c>
    </row>
    <row r="92" ht="15.75" customHeight="1" spans="2:15">
      <c r="B92" s="16">
        <v>2</v>
      </c>
      <c r="C92" s="16">
        <v>2.25</v>
      </c>
      <c r="D92" s="49">
        <f>VLOOKUP(B92,OIS_Curve!$B$19:$D$58,3,FALSE())</f>
        <v>0.929946507172944</v>
      </c>
      <c r="E92" s="49">
        <f>VLOOKUP(C92,OIS_Curve!$B$19:$D$58,3,FALSE())</f>
        <v>0.92179826516081</v>
      </c>
      <c r="F92" s="50">
        <f>Par_Rates!$E$9</f>
        <v>0.0359004710987383</v>
      </c>
      <c r="G92" s="6">
        <f t="shared" si="24"/>
        <v>0.991104718425089</v>
      </c>
      <c r="H92" s="46">
        <f>(Parameters!$C$5/Parameters!$C$4)*(1-EXP(-Parameters!$C$4*0.25))*SQRT((1-EXP(-2*Parameters!$C$4*B92))/(2*Parameters!$C$4))</f>
        <v>0.00240650470624022</v>
      </c>
      <c r="I92" s="47">
        <f t="shared" si="25"/>
        <v>0.0570575925560418</v>
      </c>
      <c r="J92" s="47">
        <f t="shared" si="26"/>
        <v>0.478208218662277</v>
      </c>
      <c r="K92" s="47">
        <f t="shared" si="27"/>
        <v>0.47724965879779</v>
      </c>
      <c r="L92" s="48">
        <f t="shared" si="28"/>
        <v>0.000831750335550334</v>
      </c>
      <c r="M92" s="36">
        <f t="shared" si="29"/>
        <v>8.31750335550334</v>
      </c>
      <c r="O92" s="9" t="str">
        <f>IF(M92="","?",IF(ABS(M92-HW_Caplets!M92)&lt;0.0000001,"OK","CHECK"))</f>
        <v>OK</v>
      </c>
    </row>
    <row r="93" ht="15.75" customHeight="1" spans="2:15">
      <c r="B93" s="12">
        <v>2.25</v>
      </c>
      <c r="C93" s="12">
        <v>2.5</v>
      </c>
      <c r="D93" s="44">
        <f>VLOOKUP(B93,OIS_Curve!$B$19:$D$58,3,FALSE())</f>
        <v>0.92179826516081</v>
      </c>
      <c r="E93" s="44">
        <f>VLOOKUP(C93,OIS_Curve!$B$19:$D$58,3,FALSE())</f>
        <v>0.913777839413286</v>
      </c>
      <c r="F93" s="45">
        <f>Par_Rates!$E$9</f>
        <v>0.0359004710987383</v>
      </c>
      <c r="G93" s="6">
        <f t="shared" si="24"/>
        <v>0.991104718425089</v>
      </c>
      <c r="H93" s="46">
        <f>(Parameters!$C$5/Parameters!$C$4)*(1-EXP(-Parameters!$C$4*0.25))*SQRT((1-EXP(-2*Parameters!$C$4*B93))/(2*Parameters!$C$4))</f>
        <v>0.00250696247926221</v>
      </c>
      <c r="I93" s="47">
        <f t="shared" si="25"/>
        <v>0.079499695223969</v>
      </c>
      <c r="J93" s="47">
        <f t="shared" si="26"/>
        <v>0.469314663118761</v>
      </c>
      <c r="K93" s="47">
        <f t="shared" si="27"/>
        <v>0.468317587011633</v>
      </c>
      <c r="L93" s="48">
        <f t="shared" si="28"/>
        <v>0.000834413418831904</v>
      </c>
      <c r="M93" s="36">
        <f t="shared" si="29"/>
        <v>8.34413418831904</v>
      </c>
      <c r="O93" s="9" t="str">
        <f>IF(M93="","?",IF(ABS(M93-HW_Caplets!M93)&lt;0.0000001,"OK","CHECK"))</f>
        <v>OK</v>
      </c>
    </row>
    <row r="94" ht="15.75" customHeight="1" spans="2:15">
      <c r="B94" s="16">
        <v>2.5</v>
      </c>
      <c r="C94" s="16">
        <v>2.75</v>
      </c>
      <c r="D94" s="49">
        <f>VLOOKUP(B94,OIS_Curve!$B$19:$D$58,3,FALSE())</f>
        <v>0.913777839413286</v>
      </c>
      <c r="E94" s="49">
        <f>VLOOKUP(C94,OIS_Curve!$B$19:$D$58,3,FALSE())</f>
        <v>0.905883131631225</v>
      </c>
      <c r="F94" s="50">
        <f>Par_Rates!$E$9</f>
        <v>0.0359004710987383</v>
      </c>
      <c r="G94" s="6">
        <f t="shared" si="24"/>
        <v>0.991104718425089</v>
      </c>
      <c r="H94" s="46">
        <f>(Parameters!$C$5/Parameters!$C$4)*(1-EXP(-Parameters!$C$4*0.25))*SQRT((1-EXP(-2*Parameters!$C$4*B94))/(2*Parameters!$C$4))</f>
        <v>0.00259613811887088</v>
      </c>
      <c r="I94" s="47">
        <f t="shared" si="25"/>
        <v>0.100640592774983</v>
      </c>
      <c r="J94" s="47">
        <f t="shared" si="26"/>
        <v>0.460948496839509</v>
      </c>
      <c r="K94" s="47">
        <f t="shared" si="27"/>
        <v>0.459917885950917</v>
      </c>
      <c r="L94" s="48">
        <f t="shared" si="28"/>
        <v>0.000833346738697756</v>
      </c>
      <c r="M94" s="36">
        <f t="shared" si="29"/>
        <v>8.33346738697756</v>
      </c>
      <c r="O94" s="9" t="str">
        <f>IF(M94="","?",IF(ABS(M94-HW_Caplets!M94)&lt;0.0000001,"OK","CHECK"))</f>
        <v>OK</v>
      </c>
    </row>
    <row r="95" ht="15.75" customHeight="1" spans="2:15">
      <c r="B95" s="12">
        <v>2.75</v>
      </c>
      <c r="C95" s="12">
        <v>3</v>
      </c>
      <c r="D95" s="44">
        <f>VLOOKUP(B95,OIS_Curve!$B$19:$D$58,3,FALSE())</f>
        <v>0.905883131631225</v>
      </c>
      <c r="E95" s="44">
        <f>VLOOKUP(C95,OIS_Curve!$B$19:$D$58,3,FALSE())</f>
        <v>0.898112084896219</v>
      </c>
      <c r="F95" s="45">
        <f>Par_Rates!$E$9</f>
        <v>0.0359004710987383</v>
      </c>
      <c r="G95" s="6">
        <f t="shared" si="24"/>
        <v>0.991104718425089</v>
      </c>
      <c r="H95" s="46">
        <f>(Parameters!$C$5/Parameters!$C$4)*(1-EXP(-Parameters!$C$4*0.25))*SQRT((1-EXP(-2*Parameters!$C$4*B95))/(2*Parameters!$C$4))</f>
        <v>0.0026757220227115</v>
      </c>
      <c r="I95" s="47">
        <f t="shared" si="25"/>
        <v>0.120802252292943</v>
      </c>
      <c r="J95" s="47">
        <f t="shared" si="26"/>
        <v>0.452983701250718</v>
      </c>
      <c r="K95" s="47">
        <f t="shared" si="27"/>
        <v>0.451923833050148</v>
      </c>
      <c r="L95" s="48">
        <f t="shared" si="28"/>
        <v>0.00082923280292413</v>
      </c>
      <c r="M95" s="36">
        <f t="shared" si="29"/>
        <v>8.2923280292413</v>
      </c>
      <c r="O95" s="9" t="str">
        <f>IF(M95="","?",IF(ABS(M95-HW_Caplets!M95)&lt;0.0000001,"OK","CHECK"))</f>
        <v>OK</v>
      </c>
    </row>
    <row r="96" ht="15.75" customHeight="1" spans="2:15">
      <c r="B96" s="16">
        <v>3</v>
      </c>
      <c r="C96" s="16">
        <v>3.25</v>
      </c>
      <c r="D96" s="49">
        <f>VLOOKUP(B96,OIS_Curve!$B$19:$D$58,3,FALSE())</f>
        <v>0.898112084896219</v>
      </c>
      <c r="E96" s="49">
        <f>VLOOKUP(C96,OIS_Curve!$B$19:$D$58,3,FALSE())</f>
        <v>0.890040326710701</v>
      </c>
      <c r="F96" s="50">
        <f>Par_Rates!$E$9</f>
        <v>0.0359004710987383</v>
      </c>
      <c r="G96" s="6">
        <f t="shared" si="24"/>
        <v>0.991104718425089</v>
      </c>
      <c r="H96" s="46">
        <f>(Parameters!$C$5/Parameters!$C$4)*(1-EXP(-Parameters!$C$4*0.25))*SQRT((1-EXP(-2*Parameters!$C$4*B96))/(2*Parameters!$C$4))</f>
        <v>0.00274705269428857</v>
      </c>
      <c r="I96" s="47">
        <f t="shared" si="25"/>
        <v>-0.0324894064899635</v>
      </c>
      <c r="J96" s="47">
        <f t="shared" si="26"/>
        <v>0.514054404976334</v>
      </c>
      <c r="K96" s="47">
        <f t="shared" si="27"/>
        <v>0.512959118016149</v>
      </c>
      <c r="L96" s="48">
        <f t="shared" si="28"/>
        <v>0.00102654379314522</v>
      </c>
      <c r="M96" s="36">
        <f t="shared" si="29"/>
        <v>10.2654379314522</v>
      </c>
      <c r="O96" s="9" t="str">
        <f>IF(M96="","?",IF(ABS(M96-HW_Caplets!M96)&lt;0.0000001,"OK","CHECK"))</f>
        <v>OK</v>
      </c>
    </row>
    <row r="97" ht="15.75" customHeight="1" spans="2:15">
      <c r="B97" s="12">
        <v>3.25</v>
      </c>
      <c r="C97" s="12">
        <v>3.5</v>
      </c>
      <c r="D97" s="44">
        <f>VLOOKUP(B97,OIS_Curve!$B$19:$D$58,3,FALSE())</f>
        <v>0.890040326710701</v>
      </c>
      <c r="E97" s="44">
        <f>VLOOKUP(C97,OIS_Curve!$B$19:$D$58,3,FALSE())</f>
        <v>0.882031197720876</v>
      </c>
      <c r="F97" s="45">
        <f>Par_Rates!$E$9</f>
        <v>0.0359004710987383</v>
      </c>
      <c r="G97" s="6">
        <f t="shared" si="24"/>
        <v>0.991104718425089</v>
      </c>
      <c r="H97" s="46">
        <f>(Parameters!$C$5/Parameters!$C$4)*(1-EXP(-Parameters!$C$4*0.25))*SQRT((1-EXP(-2*Parameters!$C$4*B97))/(2*Parameters!$C$4))</f>
        <v>0.00281121313207036</v>
      </c>
      <c r="I97" s="47">
        <f t="shared" si="25"/>
        <v>-0.0356833205966006</v>
      </c>
      <c r="J97" s="47">
        <f t="shared" si="26"/>
        <v>0.515353305145968</v>
      </c>
      <c r="K97" s="47">
        <f t="shared" si="27"/>
        <v>0.514232564841056</v>
      </c>
      <c r="L97" s="48">
        <f t="shared" si="28"/>
        <v>0.00104522233421944</v>
      </c>
      <c r="M97" s="36">
        <f t="shared" si="29"/>
        <v>10.4522233421944</v>
      </c>
      <c r="O97" s="9" t="str">
        <f>IF(M97="","?",IF(ABS(M97-HW_Caplets!M97)&lt;0.0000001,"OK","CHECK"))</f>
        <v>OK</v>
      </c>
    </row>
    <row r="98" ht="15.75" customHeight="1" spans="2:15">
      <c r="B98" s="16">
        <v>3.5</v>
      </c>
      <c r="C98" s="16">
        <v>3.75</v>
      </c>
      <c r="D98" s="49">
        <f>VLOOKUP(B98,OIS_Curve!$B$19:$D$58,3,FALSE())</f>
        <v>0.882031197720876</v>
      </c>
      <c r="E98" s="49">
        <f>VLOOKUP(C98,OIS_Curve!$B$19:$D$58,3,FALSE())</f>
        <v>0.874084313610749</v>
      </c>
      <c r="F98" s="50">
        <f>Par_Rates!$E$9</f>
        <v>0.0359004710987383</v>
      </c>
      <c r="G98" s="6">
        <f t="shared" si="24"/>
        <v>0.991104718425089</v>
      </c>
      <c r="H98" s="46">
        <f>(Parameters!$C$5/Parameters!$C$4)*(1-EXP(-Parameters!$C$4*0.25))*SQRT((1-EXP(-2*Parameters!$C$4*B98))/(2*Parameters!$C$4))</f>
        <v>0.0028690951260356</v>
      </c>
      <c r="I98" s="47">
        <f t="shared" si="25"/>
        <v>-0.0388243118431068</v>
      </c>
      <c r="J98" s="47">
        <f t="shared" si="26"/>
        <v>0.516628445065415</v>
      </c>
      <c r="K98" s="47">
        <f t="shared" si="27"/>
        <v>0.515484769301716</v>
      </c>
      <c r="L98" s="48">
        <f t="shared" si="28"/>
        <v>0.00106127243125604</v>
      </c>
      <c r="M98" s="36">
        <f t="shared" si="29"/>
        <v>10.6127243125604</v>
      </c>
      <c r="O98" s="9" t="str">
        <f>IF(M98="","?",IF(ABS(M98-HW_Caplets!M98)&lt;0.0000001,"OK","CHECK"))</f>
        <v>OK</v>
      </c>
    </row>
    <row r="99" ht="15.75" customHeight="1" spans="2:15">
      <c r="B99" s="12">
        <v>3.75</v>
      </c>
      <c r="C99" s="12">
        <v>4</v>
      </c>
      <c r="D99" s="44">
        <f>VLOOKUP(B99,OIS_Curve!$B$19:$D$58,3,FALSE())</f>
        <v>0.874084313610749</v>
      </c>
      <c r="E99" s="44">
        <f>VLOOKUP(C99,OIS_Curve!$B$19:$D$58,3,FALSE())</f>
        <v>0.866199291435047</v>
      </c>
      <c r="F99" s="45">
        <f>Par_Rates!$E$9</f>
        <v>0.0359004710987383</v>
      </c>
      <c r="G99" s="6">
        <f t="shared" si="24"/>
        <v>0.991104718425089</v>
      </c>
      <c r="H99" s="46">
        <f>(Parameters!$C$5/Parameters!$C$4)*(1-EXP(-Parameters!$C$4*0.25))*SQRT((1-EXP(-2*Parameters!$C$4*B99))/(2*Parameters!$C$4))</f>
        <v>0.00292144373716899</v>
      </c>
      <c r="I99" s="47">
        <f t="shared" si="25"/>
        <v>-0.0419247159192214</v>
      </c>
      <c r="J99" s="47">
        <f t="shared" si="26"/>
        <v>0.517885034001797</v>
      </c>
      <c r="K99" s="47">
        <f t="shared" si="27"/>
        <v>0.5167206433688</v>
      </c>
      <c r="L99" s="48">
        <f t="shared" si="28"/>
        <v>0.00107501868484616</v>
      </c>
      <c r="M99" s="36">
        <f t="shared" si="29"/>
        <v>10.7501868484616</v>
      </c>
      <c r="O99" s="9" t="str">
        <f>IF(M99="","?",IF(ABS(M99-HW_Caplets!M99)&lt;0.0000001,"OK","CHECK"))</f>
        <v>OK</v>
      </c>
    </row>
    <row r="100" ht="15.75" customHeight="1" spans="2:15">
      <c r="B100" s="16">
        <v>4</v>
      </c>
      <c r="C100" s="16">
        <v>4.25</v>
      </c>
      <c r="D100" s="49">
        <f>VLOOKUP(B100,OIS_Curve!$B$19:$D$58,3,FALSE())</f>
        <v>0.866199291435047</v>
      </c>
      <c r="E100" s="49">
        <f>VLOOKUP(C100,OIS_Curve!$B$19:$D$58,3,FALSE())</f>
        <v>0.859004040505197</v>
      </c>
      <c r="F100" s="50">
        <f>Par_Rates!$E$9</f>
        <v>0.0359004710987383</v>
      </c>
      <c r="G100" s="6">
        <f t="shared" si="24"/>
        <v>0.991104718425089</v>
      </c>
      <c r="H100" s="46">
        <f>(Parameters!$C$5/Parameters!$C$4)*(1-EXP(-Parameters!$C$4*0.25))*SQRT((1-EXP(-2*Parameters!$C$4*B100))/(2*Parameters!$C$4))</f>
        <v>0.00296888902340066</v>
      </c>
      <c r="I100" s="47">
        <f t="shared" si="25"/>
        <v>0.201456797698748</v>
      </c>
      <c r="J100" s="47">
        <f t="shared" si="26"/>
        <v>0.421331672018455</v>
      </c>
      <c r="K100" s="47">
        <f t="shared" si="27"/>
        <v>0.420170703647004</v>
      </c>
      <c r="L100" s="48">
        <f t="shared" si="28"/>
        <v>0.000789489337711777</v>
      </c>
      <c r="M100" s="36">
        <f t="shared" si="29"/>
        <v>7.89489337711777</v>
      </c>
      <c r="O100" s="9" t="str">
        <f>IF(M100="","?",IF(ABS(M100-HW_Caplets!M100)&lt;0.0000001,"OK","CHECK"))</f>
        <v>OK</v>
      </c>
    </row>
    <row r="101" ht="15.75" customHeight="1" spans="2:15">
      <c r="B101" s="12">
        <v>4.25</v>
      </c>
      <c r="C101" s="12">
        <v>4.5</v>
      </c>
      <c r="D101" s="44">
        <f>VLOOKUP(B101,OIS_Curve!$B$19:$D$58,3,FALSE())</f>
        <v>0.859004040505197</v>
      </c>
      <c r="E101" s="44">
        <f>VLOOKUP(C101,OIS_Curve!$B$19:$D$58,3,FALSE())</f>
        <v>0.851932313707466</v>
      </c>
      <c r="F101" s="45">
        <f>Par_Rates!$E$9</f>
        <v>0.0359004710987383</v>
      </c>
      <c r="G101" s="6">
        <f t="shared" si="24"/>
        <v>0.991104718425089</v>
      </c>
      <c r="H101" s="46">
        <f>(Parameters!$C$5/Parameters!$C$4)*(1-EXP(-Parameters!$C$4*0.25))*SQRT((1-EXP(-2*Parameters!$C$4*B101))/(2*Parameters!$C$4))</f>
        <v>0.00301196926646191</v>
      </c>
      <c r="I101" s="47">
        <f t="shared" si="25"/>
        <v>0.223465337181446</v>
      </c>
      <c r="J101" s="47">
        <f t="shared" si="26"/>
        <v>0.412759042991601</v>
      </c>
      <c r="K101" s="47">
        <f t="shared" si="27"/>
        <v>0.41158667897592</v>
      </c>
      <c r="L101" s="48">
        <f t="shared" si="28"/>
        <v>0.000770622851123251</v>
      </c>
      <c r="M101" s="36">
        <f t="shared" si="29"/>
        <v>7.70622851123251</v>
      </c>
      <c r="O101" s="9" t="str">
        <f>IF(M101="","?",IF(ABS(M101-HW_Caplets!M101)&lt;0.0000001,"OK","CHECK"))</f>
        <v>OK</v>
      </c>
    </row>
    <row r="102" ht="15.75" customHeight="1" spans="2:15">
      <c r="B102" s="16">
        <v>4.5</v>
      </c>
      <c r="C102" s="16">
        <v>4.75</v>
      </c>
      <c r="D102" s="49">
        <f>VLOOKUP(B102,OIS_Curve!$B$19:$D$58,3,FALSE())</f>
        <v>0.851932313707466</v>
      </c>
      <c r="E102" s="49">
        <f>VLOOKUP(C102,OIS_Curve!$B$19:$D$58,3,FALSE())</f>
        <v>0.844982039968139</v>
      </c>
      <c r="F102" s="50">
        <f>Par_Rates!$E$9</f>
        <v>0.0359004710987383</v>
      </c>
      <c r="G102" s="6">
        <f t="shared" si="24"/>
        <v>0.991104718425089</v>
      </c>
      <c r="H102" s="46">
        <f>(Parameters!$C$5/Parameters!$C$4)*(1-EXP(-Parameters!$C$4*0.25))*SQRT((1-EXP(-2*Parameters!$C$4*B102))/(2*Parameters!$C$4))</f>
        <v>0.00305114836324089</v>
      </c>
      <c r="I102" s="47">
        <f t="shared" si="25"/>
        <v>0.24516294729494</v>
      </c>
      <c r="J102" s="47">
        <f t="shared" si="26"/>
        <v>0.404346767959842</v>
      </c>
      <c r="K102" s="47">
        <f t="shared" si="27"/>
        <v>0.403165132396461</v>
      </c>
      <c r="L102" s="48">
        <f t="shared" si="28"/>
        <v>0.000751252448046859</v>
      </c>
      <c r="M102" s="36">
        <f t="shared" si="29"/>
        <v>7.51252448046859</v>
      </c>
      <c r="O102" s="9" t="str">
        <f>IF(M102="","?",IF(ABS(M102-HW_Caplets!M102)&lt;0.0000001,"OK","CHECK"))</f>
        <v>OK</v>
      </c>
    </row>
    <row r="103" ht="15.75" customHeight="1" spans="2:15">
      <c r="B103" s="12">
        <v>4.75</v>
      </c>
      <c r="C103" s="12">
        <v>5</v>
      </c>
      <c r="D103" s="44">
        <f>VLOOKUP(B103,OIS_Curve!$B$19:$D$58,3,FALSE())</f>
        <v>0.844982039968139</v>
      </c>
      <c r="E103" s="44">
        <f>VLOOKUP(C103,OIS_Curve!$B$19:$D$58,3,FALSE())</f>
        <v>0.838151192344588</v>
      </c>
      <c r="F103" s="45">
        <f>Par_Rates!$E$9</f>
        <v>0.0359004710987383</v>
      </c>
      <c r="G103" s="6">
        <f t="shared" si="24"/>
        <v>0.991104718425089</v>
      </c>
      <c r="H103" s="46">
        <f>(Parameters!$C$5/Parameters!$C$4)*(1-EXP(-Parameters!$C$4*0.25))*SQRT((1-EXP(-2*Parameters!$C$4*B103))/(2*Parameters!$C$4))</f>
        <v>0.00308682910548797</v>
      </c>
      <c r="I103" s="47">
        <f t="shared" si="25"/>
        <v>0.266609204771927</v>
      </c>
      <c r="J103" s="47">
        <f t="shared" si="26"/>
        <v>0.396073989780178</v>
      </c>
      <c r="K103" s="47">
        <f t="shared" si="27"/>
        <v>0.394885033858015</v>
      </c>
      <c r="L103" s="48">
        <f t="shared" si="28"/>
        <v>0.000731520991707786</v>
      </c>
      <c r="M103" s="36">
        <f t="shared" si="29"/>
        <v>7.31520991707786</v>
      </c>
      <c r="O103" s="9" t="str">
        <f>IF(M103="","?",IF(ABS(M103-HW_Caplets!M103)&lt;0.0000001,"OK","CHECK"))</f>
        <v>OK</v>
      </c>
    </row>
    <row r="104" ht="15.75" customHeight="1" spans="2:15">
      <c r="B104" s="16">
        <v>5</v>
      </c>
      <c r="C104" s="16">
        <v>5.25</v>
      </c>
      <c r="D104" s="49">
        <f>VLOOKUP(B104,OIS_Curve!$B$19:$D$58,3,FALSE())</f>
        <v>0.838151192344588</v>
      </c>
      <c r="E104" s="49">
        <f>VLOOKUP(C104,OIS_Curve!$B$19:$D$58,3,FALSE())</f>
        <v>0.830518323961271</v>
      </c>
      <c r="F104" s="50">
        <f>Par_Rates!$E$9</f>
        <v>0.0359004710987383</v>
      </c>
      <c r="G104" s="6">
        <f t="shared" si="24"/>
        <v>0.991104718425089</v>
      </c>
      <c r="H104" s="46">
        <f>(Parameters!$C$5/Parameters!$C$4)*(1-EXP(-Parameters!$C$4*0.25))*SQRT((1-EXP(-2*Parameters!$C$4*B104))/(2*Parameters!$C$4))</f>
        <v>0.00311936349614793</v>
      </c>
      <c r="I104" s="47">
        <f t="shared" si="25"/>
        <v>-0.0668617454258012</v>
      </c>
      <c r="J104" s="47">
        <f t="shared" si="26"/>
        <v>0.527895652167496</v>
      </c>
      <c r="K104" s="47">
        <f t="shared" si="27"/>
        <v>0.526654116207165</v>
      </c>
      <c r="L104" s="48">
        <f t="shared" si="28"/>
        <v>0.00113479673611821</v>
      </c>
      <c r="M104" s="36">
        <f t="shared" si="29"/>
        <v>11.3479673611821</v>
      </c>
      <c r="O104" s="9" t="str">
        <f>IF(M104="","?",IF(ABS(M104-HW_Caplets!M104)&lt;0.0000001,"OK","CHECK"))</f>
        <v>OK</v>
      </c>
    </row>
    <row r="105" ht="15.75" customHeight="1" spans="2:15">
      <c r="B105" s="12">
        <v>5.25</v>
      </c>
      <c r="C105" s="12">
        <v>5.5</v>
      </c>
      <c r="D105" s="44">
        <f>VLOOKUP(B105,OIS_Curve!$B$19:$D$58,3,FALSE())</f>
        <v>0.830518323961271</v>
      </c>
      <c r="E105" s="44">
        <f>VLOOKUP(C105,OIS_Curve!$B$19:$D$58,3,FALSE())</f>
        <v>0.822929833595843</v>
      </c>
      <c r="F105" s="45">
        <f>Par_Rates!$E$9</f>
        <v>0.0359004710987383</v>
      </c>
      <c r="G105" s="6">
        <f t="shared" si="24"/>
        <v>0.991104718425089</v>
      </c>
      <c r="H105" s="46">
        <f>(Parameters!$C$5/Parameters!$C$4)*(1-EXP(-Parameters!$C$4*0.25))*SQRT((1-EXP(-2*Parameters!$C$4*B105))/(2*Parameters!$C$4))</f>
        <v>0.00314906088677719</v>
      </c>
      <c r="I105" s="47">
        <f t="shared" si="25"/>
        <v>-0.0758998760907497</v>
      </c>
      <c r="J105" s="47">
        <f t="shared" si="26"/>
        <v>0.531503150632748</v>
      </c>
      <c r="K105" s="47">
        <f t="shared" si="27"/>
        <v>0.530250622278984</v>
      </c>
      <c r="L105" s="48">
        <f t="shared" si="28"/>
        <v>0.00114767556466151</v>
      </c>
      <c r="M105" s="36">
        <f t="shared" si="29"/>
        <v>11.4767556466151</v>
      </c>
      <c r="O105" s="9" t="str">
        <f>IF(M105="","?",IF(ABS(M105-HW_Caplets!M105)&lt;0.0000001,"OK","CHECK"))</f>
        <v>OK</v>
      </c>
    </row>
    <row r="106" ht="15.75" customHeight="1" spans="2:15">
      <c r="B106" s="16">
        <v>5.5</v>
      </c>
      <c r="C106" s="16">
        <v>5.75</v>
      </c>
      <c r="D106" s="49">
        <f>VLOOKUP(B106,OIS_Curve!$B$19:$D$58,3,FALSE())</f>
        <v>0.822929833595843</v>
      </c>
      <c r="E106" s="49">
        <f>VLOOKUP(C106,OIS_Curve!$B$19:$D$58,3,FALSE())</f>
        <v>0.815385777149241</v>
      </c>
      <c r="F106" s="50">
        <f>Par_Rates!$E$9</f>
        <v>0.0359004710987383</v>
      </c>
      <c r="G106" s="6">
        <f t="shared" si="24"/>
        <v>0.991104718425089</v>
      </c>
      <c r="H106" s="46">
        <f>(Parameters!$C$5/Parameters!$C$4)*(1-EXP(-Parameters!$C$4*0.25))*SQRT((1-EXP(-2*Parameters!$C$4*B106))/(2*Parameters!$C$4))</f>
        <v>0.00317619448407471</v>
      </c>
      <c r="I106" s="47">
        <f t="shared" si="25"/>
        <v>-0.0848398421623453</v>
      </c>
      <c r="J106" s="47">
        <f t="shared" si="26"/>
        <v>0.53506803489601</v>
      </c>
      <c r="K106" s="47">
        <f t="shared" si="27"/>
        <v>0.533805640878284</v>
      </c>
      <c r="L106" s="48">
        <f t="shared" si="28"/>
        <v>0.00115943401509775</v>
      </c>
      <c r="M106" s="36">
        <f t="shared" si="29"/>
        <v>11.5943401509775</v>
      </c>
      <c r="O106" s="9" t="str">
        <f>IF(M106="","?",IF(ABS(M106-HW_Caplets!M106)&lt;0.0000001,"OK","CHECK"))</f>
        <v>OK</v>
      </c>
    </row>
    <row r="107" ht="15.75" customHeight="1" spans="2:15">
      <c r="B107" s="12">
        <v>5.75</v>
      </c>
      <c r="C107" s="12">
        <v>6</v>
      </c>
      <c r="D107" s="44">
        <f>VLOOKUP(B107,OIS_Curve!$B$19:$D$58,3,FALSE())</f>
        <v>0.815385777149241</v>
      </c>
      <c r="E107" s="44">
        <f>VLOOKUP(C107,OIS_Curve!$B$19:$D$58,3,FALSE())</f>
        <v>0.807886205958442</v>
      </c>
      <c r="F107" s="45">
        <f>Par_Rates!$E$9</f>
        <v>0.0359004710987383</v>
      </c>
      <c r="G107" s="6">
        <f t="shared" si="24"/>
        <v>0.991104718425089</v>
      </c>
      <c r="H107" s="46">
        <f>(Parameters!$C$5/Parameters!$C$4)*(1-EXP(-Parameters!$C$4*0.25))*SQRT((1-EXP(-2*Parameters!$C$4*B107))/(2*Parameters!$C$4))</f>
        <v>0.00320100661609174</v>
      </c>
      <c r="I107" s="47">
        <f t="shared" si="25"/>
        <v>-0.0936983517260177</v>
      </c>
      <c r="J107" s="47">
        <f t="shared" si="26"/>
        <v>0.538596840810342</v>
      </c>
      <c r="K107" s="47">
        <f t="shared" si="27"/>
        <v>0.537325610174713</v>
      </c>
      <c r="L107" s="48">
        <f t="shared" si="28"/>
        <v>0.00117017483176251</v>
      </c>
      <c r="M107" s="36">
        <f t="shared" si="29"/>
        <v>11.7017483176251</v>
      </c>
      <c r="O107" s="9" t="str">
        <f>IF(M107="","?",IF(ABS(M107-HW_Caplets!M107)&lt;0.0000001,"OK","CHECK"))</f>
        <v>OK</v>
      </c>
    </row>
    <row r="108" ht="15.75" customHeight="1" spans="2:15">
      <c r="B108" s="16">
        <v>6</v>
      </c>
      <c r="C108" s="16">
        <v>6.25</v>
      </c>
      <c r="D108" s="49">
        <f>VLOOKUP(B108,OIS_Curve!$B$19:$D$58,3,FALSE())</f>
        <v>0.807886205958442</v>
      </c>
      <c r="E108" s="49">
        <f>VLOOKUP(C108,OIS_Curve!$B$19:$D$58,3,FALSE())</f>
        <v>0.801300488411683</v>
      </c>
      <c r="F108" s="50">
        <f>Par_Rates!$E$9</f>
        <v>0.0359004710987383</v>
      </c>
      <c r="G108" s="6">
        <f t="shared" si="24"/>
        <v>0.991104718425089</v>
      </c>
      <c r="H108" s="46">
        <f>(Parameters!$C$5/Parameters!$C$4)*(1-EXP(-Parameters!$C$4*0.25))*SQRT((1-EXP(-2*Parameters!$C$4*B108))/(2*Parameters!$C$4))</f>
        <v>0.0032237130414895</v>
      </c>
      <c r="I108" s="47">
        <f t="shared" si="25"/>
        <v>0.234227070644698</v>
      </c>
      <c r="J108" s="47">
        <f t="shared" si="26"/>
        <v>0.408656096791123</v>
      </c>
      <c r="K108" s="47">
        <f t="shared" si="27"/>
        <v>0.407404350070999</v>
      </c>
      <c r="L108" s="48">
        <f t="shared" si="28"/>
        <v>0.000764362027876255</v>
      </c>
      <c r="M108" s="36">
        <f t="shared" si="29"/>
        <v>7.64362027876255</v>
      </c>
      <c r="O108" s="9" t="str">
        <f>IF(M108="","?",IF(ABS(M108-HW_Caplets!M108)&lt;0.0000001,"OK","CHECK"))</f>
        <v>OK</v>
      </c>
    </row>
    <row r="109" ht="15.75" customHeight="1" spans="2:15">
      <c r="B109" s="12">
        <v>6.25</v>
      </c>
      <c r="C109" s="12">
        <v>6.5</v>
      </c>
      <c r="D109" s="44">
        <f>VLOOKUP(B109,OIS_Curve!$B$19:$D$58,3,FALSE())</f>
        <v>0.801300488411683</v>
      </c>
      <c r="E109" s="44">
        <f>VLOOKUP(C109,OIS_Curve!$B$19:$D$58,3,FALSE())</f>
        <v>0.794813201266242</v>
      </c>
      <c r="F109" s="45">
        <f>Par_Rates!$E$9</f>
        <v>0.0359004710987383</v>
      </c>
      <c r="G109" s="6">
        <f t="shared" si="24"/>
        <v>0.991104718425089</v>
      </c>
      <c r="H109" s="46">
        <f>(Parameters!$C$5/Parameters!$C$4)*(1-EXP(-Parameters!$C$4*0.25))*SQRT((1-EXP(-2*Parameters!$C$4*B109))/(2*Parameters!$C$4))</f>
        <v>0.00324450651078785</v>
      </c>
      <c r="I109" s="47">
        <f t="shared" si="25"/>
        <v>0.250098426304826</v>
      </c>
      <c r="J109" s="47">
        <f t="shared" si="26"/>
        <v>0.402510639739587</v>
      </c>
      <c r="K109" s="47">
        <f t="shared" si="27"/>
        <v>0.401255616471445</v>
      </c>
      <c r="L109" s="48">
        <f t="shared" si="28"/>
        <v>0.000746337331457524</v>
      </c>
      <c r="M109" s="36">
        <f t="shared" si="29"/>
        <v>7.46337331457524</v>
      </c>
      <c r="O109" s="9" t="str">
        <f>IF(M109="","?",IF(ABS(M109-HW_Caplets!M109)&lt;0.0000001,"OK","CHECK"))</f>
        <v>OK</v>
      </c>
    </row>
    <row r="110" ht="15.75" customHeight="1" spans="2:15">
      <c r="B110" s="16">
        <v>6.5</v>
      </c>
      <c r="C110" s="16">
        <v>6.75</v>
      </c>
      <c r="D110" s="49">
        <f>VLOOKUP(B110,OIS_Curve!$B$19:$D$58,3,FALSE())</f>
        <v>0.794813201266242</v>
      </c>
      <c r="E110" s="49">
        <f>VLOOKUP(C110,OIS_Curve!$B$19:$D$58,3,FALSE())</f>
        <v>0.788422820130236</v>
      </c>
      <c r="F110" s="50">
        <f>Par_Rates!$E$9</f>
        <v>0.0359004710987383</v>
      </c>
      <c r="G110" s="6">
        <f t="shared" si="24"/>
        <v>0.991104718425089</v>
      </c>
      <c r="H110" s="46">
        <f>(Parameters!$C$5/Parameters!$C$4)*(1-EXP(-Parameters!$C$4*0.25))*SQRT((1-EXP(-2*Parameters!$C$4*B110))/(2*Parameters!$C$4))</f>
        <v>0.00326355973594485</v>
      </c>
      <c r="I110" s="47">
        <f t="shared" si="25"/>
        <v>0.265907752373566</v>
      </c>
      <c r="J110" s="47">
        <f t="shared" si="26"/>
        <v>0.396412417338881</v>
      </c>
      <c r="K110" s="47">
        <f t="shared" si="27"/>
        <v>0.395155127224049</v>
      </c>
      <c r="L110" s="48">
        <f t="shared" si="28"/>
        <v>0.000728310814116473</v>
      </c>
      <c r="M110" s="36">
        <f t="shared" si="29"/>
        <v>7.28310814116473</v>
      </c>
      <c r="O110" s="9" t="str">
        <f>IF(M110="","?",IF(ABS(M110-HW_Caplets!M110)&lt;0.0000001,"OK","CHECK"))</f>
        <v>OK</v>
      </c>
    </row>
    <row r="111" ht="15.75" customHeight="1" spans="2:15">
      <c r="B111" s="12">
        <v>6.75</v>
      </c>
      <c r="C111" s="12">
        <v>7</v>
      </c>
      <c r="D111" s="44">
        <f>VLOOKUP(B111,OIS_Curve!$B$19:$D$58,3,FALSE())</f>
        <v>0.788422820130236</v>
      </c>
      <c r="E111" s="44">
        <f>VLOOKUP(C111,OIS_Curve!$B$19:$D$58,3,FALSE())</f>
        <v>0.782127849212015</v>
      </c>
      <c r="F111" s="45">
        <f>Par_Rates!$E$9</f>
        <v>0.0359004710987383</v>
      </c>
      <c r="G111" s="6">
        <f t="shared" si="24"/>
        <v>0.991104718425089</v>
      </c>
      <c r="H111" s="46">
        <f>(Parameters!$C$5/Parameters!$C$4)*(1-EXP(-Parameters!$C$4*0.25))*SQRT((1-EXP(-2*Parameters!$C$4*B111))/(2*Parameters!$C$4))</f>
        <v>0.00328102788682314</v>
      </c>
      <c r="I111" s="47">
        <f t="shared" si="25"/>
        <v>0.281668089615296</v>
      </c>
      <c r="J111" s="47">
        <f t="shared" si="26"/>
        <v>0.390357625183681</v>
      </c>
      <c r="K111" s="47">
        <f t="shared" si="27"/>
        <v>0.389099012480349</v>
      </c>
      <c r="L111" s="48">
        <f t="shared" si="28"/>
        <v>0.000710331668571893</v>
      </c>
      <c r="M111" s="36">
        <f t="shared" si="29"/>
        <v>7.10331668571893</v>
      </c>
      <c r="O111" s="9" t="str">
        <f>IF(M111="","?",IF(ABS(M111-HW_Caplets!M111)&lt;0.0000001,"OK","CHECK"))</f>
        <v>OK</v>
      </c>
    </row>
    <row r="112" ht="15.75" customHeight="1" spans="2:15">
      <c r="B112" s="16">
        <v>7</v>
      </c>
      <c r="C112" s="16">
        <v>7.25</v>
      </c>
      <c r="D112" s="49">
        <f>VLOOKUP(B112,OIS_Curve!$B$19:$D$58,3,FALSE())</f>
        <v>0.782127849212015</v>
      </c>
      <c r="E112" s="49">
        <f>VLOOKUP(C112,OIS_Curve!$B$19:$D$58,3,FALSE())</f>
        <v>0.775108814811001</v>
      </c>
      <c r="F112" s="50">
        <f>Par_Rates!$E$9</f>
        <v>0.0359004710987383</v>
      </c>
      <c r="G112" s="6">
        <f t="shared" si="24"/>
        <v>0.991104718425089</v>
      </c>
      <c r="H112" s="46">
        <f>(Parameters!$C$5/Parameters!$C$4)*(1-EXP(-Parameters!$C$4*0.25))*SQRT((1-EXP(-2*Parameters!$C$4*B112))/(2*Parameters!$C$4))</f>
        <v>0.00329705070555523</v>
      </c>
      <c r="I112" s="47">
        <f t="shared" si="25"/>
        <v>-0.0225278494245942</v>
      </c>
      <c r="J112" s="47">
        <f t="shared" si="26"/>
        <v>0.510301499480944</v>
      </c>
      <c r="K112" s="47">
        <f t="shared" si="27"/>
        <v>0.508986551497088</v>
      </c>
      <c r="L112" s="48">
        <f t="shared" si="28"/>
        <v>0.00106018842348266</v>
      </c>
      <c r="M112" s="36">
        <f t="shared" si="29"/>
        <v>10.6018842348266</v>
      </c>
      <c r="O112" s="9" t="str">
        <f>IF(M112="","?",IF(ABS(M112-HW_Caplets!M112)&lt;0.0000001,"OK","CHECK"))</f>
        <v>OK</v>
      </c>
    </row>
    <row r="113" ht="15.75" customHeight="1" spans="2:15">
      <c r="B113" s="12">
        <v>7.25</v>
      </c>
      <c r="C113" s="12">
        <v>7.5</v>
      </c>
      <c r="D113" s="44">
        <f>VLOOKUP(B113,OIS_Curve!$B$19:$D$58,3,FALSE())</f>
        <v>0.775108814811001</v>
      </c>
      <c r="E113" s="44">
        <f>VLOOKUP(C113,OIS_Curve!$B$19:$D$58,3,FALSE())</f>
        <v>0.768140138207388</v>
      </c>
      <c r="F113" s="45">
        <f>Par_Rates!$E$9</f>
        <v>0.0359004710987383</v>
      </c>
      <c r="G113" s="6">
        <f t="shared" si="24"/>
        <v>0.991104718425089</v>
      </c>
      <c r="H113" s="46">
        <f>(Parameters!$C$5/Parameters!$C$4)*(1-EXP(-Parameters!$C$4*0.25))*SQRT((1-EXP(-2*Parameters!$C$4*B113))/(2*Parameters!$C$4))</f>
        <v>0.00331175430946765</v>
      </c>
      <c r="I113" s="47">
        <f t="shared" si="25"/>
        <v>-0.0273791252912668</v>
      </c>
      <c r="J113" s="47">
        <f t="shared" si="26"/>
        <v>0.512241967619001</v>
      </c>
      <c r="K113" s="47">
        <f t="shared" si="27"/>
        <v>0.510921326194328</v>
      </c>
      <c r="L113" s="48">
        <f t="shared" si="28"/>
        <v>0.00106171895625889</v>
      </c>
      <c r="M113" s="36">
        <f t="shared" si="29"/>
        <v>10.6171895625889</v>
      </c>
      <c r="O113" s="9" t="str">
        <f>IF(M113="","?",IF(ABS(M113-HW_Caplets!M113)&lt;0.0000001,"OK","CHECK"))</f>
        <v>OK</v>
      </c>
    </row>
    <row r="114" ht="15.75" customHeight="1" spans="2:15">
      <c r="B114" s="16">
        <v>7.5</v>
      </c>
      <c r="C114" s="16">
        <v>7.75</v>
      </c>
      <c r="D114" s="49">
        <f>VLOOKUP(B114,OIS_Curve!$B$19:$D$58,3,FALSE())</f>
        <v>0.768140138207388</v>
      </c>
      <c r="E114" s="49">
        <f>VLOOKUP(C114,OIS_Curve!$B$19:$D$58,3,FALSE())</f>
        <v>0.761221594837746</v>
      </c>
      <c r="F114" s="50">
        <f>Par_Rates!$E$9</f>
        <v>0.0359004710987383</v>
      </c>
      <c r="G114" s="6">
        <f t="shared" si="24"/>
        <v>0.991104718425089</v>
      </c>
      <c r="H114" s="46">
        <f>(Parameters!$C$5/Parameters!$C$4)*(1-EXP(-Parameters!$C$4*0.25))*SQRT((1-EXP(-2*Parameters!$C$4*B114))/(2*Parameters!$C$4))</f>
        <v>0.00332525273799735</v>
      </c>
      <c r="I114" s="47">
        <f t="shared" si="25"/>
        <v>-0.0322003200915965</v>
      </c>
      <c r="J114" s="47">
        <f t="shared" si="26"/>
        <v>0.514169672463458</v>
      </c>
      <c r="K114" s="47">
        <f t="shared" si="27"/>
        <v>0.512843849541698</v>
      </c>
      <c r="L114" s="48">
        <f t="shared" si="28"/>
        <v>0.00106277361733396</v>
      </c>
      <c r="M114" s="36">
        <f t="shared" si="29"/>
        <v>10.6277361733396</v>
      </c>
      <c r="O114" s="9" t="str">
        <f>IF(M114="","?",IF(ABS(M114-HW_Caplets!M114)&lt;0.0000001,"OK","CHECK"))</f>
        <v>OK</v>
      </c>
    </row>
    <row r="115" ht="15.75" customHeight="1" spans="2:15">
      <c r="B115" s="12">
        <v>7.75</v>
      </c>
      <c r="C115" s="12">
        <v>8</v>
      </c>
      <c r="D115" s="44">
        <f>VLOOKUP(B115,OIS_Curve!$B$19:$D$58,3,FALSE())</f>
        <v>0.761221594837746</v>
      </c>
      <c r="E115" s="44">
        <f>VLOOKUP(C115,OIS_Curve!$B$19:$D$58,3,FALSE())</f>
        <v>0.754352959697108</v>
      </c>
      <c r="F115" s="45">
        <f>Par_Rates!$E$9</f>
        <v>0.0359004710987383</v>
      </c>
      <c r="G115" s="6">
        <f t="shared" si="24"/>
        <v>0.991104718425089</v>
      </c>
      <c r="H115" s="46">
        <f>(Parameters!$C$5/Parameters!$C$4)*(1-EXP(-Parameters!$C$4*0.25))*SQRT((1-EXP(-2*Parameters!$C$4*B115))/(2*Parameters!$C$4))</f>
        <v>0.00333764928750994</v>
      </c>
      <c r="I115" s="47">
        <f t="shared" si="25"/>
        <v>-0.0369957878659968</v>
      </c>
      <c r="J115" s="47">
        <f t="shared" si="26"/>
        <v>0.516086351767194</v>
      </c>
      <c r="K115" s="47">
        <f t="shared" si="27"/>
        <v>0.514755817880488</v>
      </c>
      <c r="L115" s="48">
        <f t="shared" si="28"/>
        <v>0.00106339481067674</v>
      </c>
      <c r="M115" s="36">
        <f t="shared" si="29"/>
        <v>10.6339481067674</v>
      </c>
      <c r="O115" s="9" t="str">
        <f>IF(M115="","?",IF(ABS(M115-HW_Caplets!M115)&lt;0.0000001,"OK","CHECK"))</f>
        <v>OK</v>
      </c>
    </row>
    <row r="116" ht="15.75" customHeight="1" spans="2:15">
      <c r="B116" s="16">
        <v>8</v>
      </c>
      <c r="C116" s="16">
        <v>8.25</v>
      </c>
      <c r="D116" s="49">
        <f>VLOOKUP(B116,OIS_Curve!$B$19:$D$58,3,FALSE())</f>
        <v>0.754352959697108</v>
      </c>
      <c r="E116" s="49">
        <f>VLOOKUP(C116,OIS_Curve!$B$19:$D$58,3,FALSE())</f>
        <v>0.747534007357686</v>
      </c>
      <c r="F116" s="50">
        <f>Par_Rates!$E$9</f>
        <v>0.0359004710987383</v>
      </c>
      <c r="G116" s="6">
        <f t="shared" si="24"/>
        <v>0.991104718425089</v>
      </c>
      <c r="H116" s="46">
        <f>(Parameters!$C$5/Parameters!$C$4)*(1-EXP(-Parameters!$C$4*0.25))*SQRT((1-EXP(-2*Parameters!$C$4*B116))/(2*Parameters!$C$4))</f>
        <v>0.00334903766911494</v>
      </c>
      <c r="I116" s="47">
        <f t="shared" si="25"/>
        <v>-0.0417692974872887</v>
      </c>
      <c r="J116" s="47">
        <f t="shared" si="26"/>
        <v>0.51799350651879</v>
      </c>
      <c r="K116" s="47">
        <f t="shared" si="27"/>
        <v>0.516658694650394</v>
      </c>
      <c r="L116" s="48">
        <f t="shared" si="28"/>
        <v>0.00106362080977757</v>
      </c>
      <c r="M116" s="36">
        <f t="shared" si="29"/>
        <v>10.6362080977757</v>
      </c>
      <c r="O116" s="9" t="str">
        <f>IF(M116="","?",IF(ABS(M116-HW_Caplets!M116)&lt;0.0000001,"OK","CHECK"))</f>
        <v>OK</v>
      </c>
    </row>
    <row r="117" ht="15.75" customHeight="1" spans="2:15">
      <c r="B117" s="12">
        <v>8.25</v>
      </c>
      <c r="C117" s="12">
        <v>8.5</v>
      </c>
      <c r="D117" s="44">
        <f>VLOOKUP(B117,OIS_Curve!$B$19:$D$58,3,FALSE())</f>
        <v>0.747534007357686</v>
      </c>
      <c r="E117" s="44">
        <f>VLOOKUP(C117,OIS_Curve!$B$19:$D$58,3,FALSE())</f>
        <v>0.74076451198744</v>
      </c>
      <c r="F117" s="45">
        <f>Par_Rates!$E$9</f>
        <v>0.0359004710987383</v>
      </c>
      <c r="G117" s="6">
        <f t="shared" si="24"/>
        <v>0.991104718425089</v>
      </c>
      <c r="H117" s="46">
        <f>(Parameters!$C$5/Parameters!$C$4)*(1-EXP(-Parameters!$C$4*0.25))*SQRT((1-EXP(-2*Parameters!$C$4*B117))/(2*Parameters!$C$4))</f>
        <v>0.00335950301776344</v>
      </c>
      <c r="I117" s="47">
        <f t="shared" si="25"/>
        <v>-0.0465241159845136</v>
      </c>
      <c r="J117" s="47">
        <f t="shared" si="26"/>
        <v>0.519892434403299</v>
      </c>
      <c r="K117" s="47">
        <f t="shared" si="27"/>
        <v>0.518553743440763</v>
      </c>
      <c r="L117" s="48">
        <f t="shared" si="28"/>
        <v>0.00106348620391607</v>
      </c>
      <c r="M117" s="36">
        <f t="shared" si="29"/>
        <v>10.6348620391607</v>
      </c>
      <c r="O117" s="9" t="str">
        <f>IF(M117="","?",IF(ABS(M117-HW_Caplets!M117)&lt;0.0000001,"OK","CHECK"))</f>
        <v>OK</v>
      </c>
    </row>
    <row r="118" ht="15.75" customHeight="1" spans="2:15">
      <c r="B118" s="16">
        <v>8.5</v>
      </c>
      <c r="C118" s="16">
        <v>8.75</v>
      </c>
      <c r="D118" s="49">
        <f>VLOOKUP(B118,OIS_Curve!$B$19:$D$58,3,FALSE())</f>
        <v>0.74076451198744</v>
      </c>
      <c r="E118" s="49">
        <f>VLOOKUP(C118,OIS_Curve!$B$19:$D$58,3,FALSE())</f>
        <v>0.734044247368529</v>
      </c>
      <c r="F118" s="50">
        <f>Par_Rates!$E$9</f>
        <v>0.0359004710987383</v>
      </c>
      <c r="G118" s="6">
        <f t="shared" si="24"/>
        <v>0.991104718425089</v>
      </c>
      <c r="H118" s="46">
        <f>(Parameters!$C$5/Parameters!$C$4)*(1-EXP(-Parameters!$C$4*0.25))*SQRT((1-EXP(-2*Parameters!$C$4*B118))/(2*Parameters!$C$4))</f>
        <v>0.00336912277560442</v>
      </c>
      <c r="I118" s="47">
        <f t="shared" si="25"/>
        <v>-0.0512630784435903</v>
      </c>
      <c r="J118" s="47">
        <f t="shared" si="26"/>
        <v>0.521784257902024</v>
      </c>
      <c r="K118" s="47">
        <f t="shared" si="27"/>
        <v>0.520442055732162</v>
      </c>
      <c r="L118" s="48">
        <f t="shared" si="28"/>
        <v>0.00106302228904567</v>
      </c>
      <c r="M118" s="36">
        <f t="shared" si="29"/>
        <v>10.6302228904567</v>
      </c>
      <c r="O118" s="9" t="str">
        <f>IF(M118="","?",IF(ABS(M118-HW_Caplets!M118)&lt;0.0000001,"OK","CHECK"))</f>
        <v>OK</v>
      </c>
    </row>
    <row r="119" ht="15.75" customHeight="1" spans="2:15">
      <c r="B119" s="12">
        <v>8.75</v>
      </c>
      <c r="C119" s="12">
        <v>9</v>
      </c>
      <c r="D119" s="44">
        <f>VLOOKUP(B119,OIS_Curve!$B$19:$D$58,3,FALSE())</f>
        <v>0.734044247368529</v>
      </c>
      <c r="E119" s="44">
        <f>VLOOKUP(C119,OIS_Curve!$B$19:$D$58,3,FALSE())</f>
        <v>0.727372986915615</v>
      </c>
      <c r="F119" s="45">
        <f>Par_Rates!$E$9</f>
        <v>0.0359004710987383</v>
      </c>
      <c r="G119" s="6">
        <f t="shared" si="24"/>
        <v>0.991104718425089</v>
      </c>
      <c r="H119" s="46">
        <f>(Parameters!$C$5/Parameters!$C$4)*(1-EXP(-Parameters!$C$4*0.25))*SQRT((1-EXP(-2*Parameters!$C$4*B119))/(2*Parameters!$C$4))</f>
        <v>0.00337796746840041</v>
      </c>
      <c r="I119" s="47">
        <f t="shared" si="25"/>
        <v>-0.0559886469864716</v>
      </c>
      <c r="J119" s="47">
        <f t="shared" si="26"/>
        <v>0.523669948026992</v>
      </c>
      <c r="K119" s="47">
        <f t="shared" si="27"/>
        <v>0.522324574316271</v>
      </c>
      <c r="L119" s="48">
        <f t="shared" si="28"/>
        <v>0.0010622574114201</v>
      </c>
      <c r="M119" s="36">
        <f t="shared" si="29"/>
        <v>10.622574114201</v>
      </c>
      <c r="O119" s="9" t="str">
        <f>IF(M119="","?",IF(ABS(M119-HW_Caplets!M119)&lt;0.0000001,"OK","CHECK"))</f>
        <v>OK</v>
      </c>
    </row>
    <row r="120" ht="15.75" customHeight="1" spans="2:15">
      <c r="B120" s="16">
        <v>9</v>
      </c>
      <c r="C120" s="16">
        <v>9.25</v>
      </c>
      <c r="D120" s="49">
        <f>VLOOKUP(B120,OIS_Curve!$B$19:$D$58,3,FALSE())</f>
        <v>0.727372986915615</v>
      </c>
      <c r="E120" s="49">
        <f>VLOOKUP(C120,OIS_Curve!$B$19:$D$58,3,FALSE())</f>
        <v>0.721960841436222</v>
      </c>
      <c r="F120" s="50">
        <f>Par_Rates!$E$9</f>
        <v>0.0359004710987383</v>
      </c>
      <c r="G120" s="6">
        <f t="shared" si="24"/>
        <v>0.991104718425089</v>
      </c>
      <c r="H120" s="46">
        <f>(Parameters!$C$5/Parameters!$C$4)*(1-EXP(-Parameters!$C$4*0.25))*SQRT((1-EXP(-2*Parameters!$C$4*B120))/(2*Parameters!$C$4))</f>
        <v>0.00338610139049247</v>
      </c>
      <c r="I120" s="47">
        <f t="shared" si="25"/>
        <v>0.434812567331607</v>
      </c>
      <c r="J120" s="47">
        <f t="shared" si="26"/>
        <v>0.333079154794097</v>
      </c>
      <c r="K120" s="47">
        <f t="shared" si="27"/>
        <v>0.331849241040219</v>
      </c>
      <c r="L120" s="48">
        <f t="shared" si="28"/>
        <v>0.000540344332139521</v>
      </c>
      <c r="M120" s="36">
        <f t="shared" si="29"/>
        <v>5.40344332139521</v>
      </c>
      <c r="O120" s="9" t="str">
        <f>IF(M120="","?",IF(ABS(M120-HW_Caplets!M120)&lt;0.0000001,"OK","CHECK"))</f>
        <v>OK</v>
      </c>
    </row>
    <row r="121" ht="15.75" customHeight="1" spans="2:15">
      <c r="B121" s="12">
        <v>9.25</v>
      </c>
      <c r="C121" s="12">
        <v>9.5</v>
      </c>
      <c r="D121" s="44">
        <f>VLOOKUP(B121,OIS_Curve!$B$19:$D$58,3,FALSE())</f>
        <v>0.721960841436222</v>
      </c>
      <c r="E121" s="44">
        <f>VLOOKUP(C121,OIS_Curve!$B$19:$D$58,3,FALSE())</f>
        <v>0.716642174236515</v>
      </c>
      <c r="F121" s="45">
        <f>Par_Rates!$E$9</f>
        <v>0.0359004710987383</v>
      </c>
      <c r="G121" s="6">
        <f t="shared" si="24"/>
        <v>0.991104718425089</v>
      </c>
      <c r="H121" s="46">
        <f>(Parameters!$C$5/Parameters!$C$4)*(1-EXP(-Parameters!$C$4*0.25))*SQRT((1-EXP(-2*Parameters!$C$4*B121))/(2*Parameters!$C$4))</f>
        <v>0.00339358321116018</v>
      </c>
      <c r="I121" s="47">
        <f t="shared" si="25"/>
        <v>0.455740759399613</v>
      </c>
      <c r="J121" s="47">
        <f t="shared" si="26"/>
        <v>0.325509447506753</v>
      </c>
      <c r="K121" s="47">
        <f t="shared" si="27"/>
        <v>0.324288204154294</v>
      </c>
      <c r="L121" s="48">
        <f t="shared" si="28"/>
        <v>0.000520666074108305</v>
      </c>
      <c r="M121" s="36">
        <f t="shared" si="29"/>
        <v>5.20666074108305</v>
      </c>
      <c r="O121" s="9" t="str">
        <f>IF(M121="","?",IF(ABS(M121-HW_Caplets!M121)&lt;0.0000001,"OK","CHECK"))</f>
        <v>OK</v>
      </c>
    </row>
    <row r="122" ht="15.75" customHeight="1" spans="2:15">
      <c r="B122" s="16">
        <v>9.5</v>
      </c>
      <c r="C122" s="16">
        <v>9.75</v>
      </c>
      <c r="D122" s="49">
        <f>VLOOKUP(B122,OIS_Curve!$B$19:$D$58,3,FALSE())</f>
        <v>0.716642174236515</v>
      </c>
      <c r="E122" s="49">
        <f>VLOOKUP(C122,OIS_Curve!$B$19:$D$58,3,FALSE())</f>
        <v>0.711415509728863</v>
      </c>
      <c r="F122" s="50">
        <f>Par_Rates!$E$9</f>
        <v>0.0359004710987383</v>
      </c>
      <c r="G122" s="6">
        <f t="shared" si="24"/>
        <v>0.991104718425089</v>
      </c>
      <c r="H122" s="46">
        <f>(Parameters!$C$5/Parameters!$C$4)*(1-EXP(-Parameters!$C$4*0.25))*SQRT((1-EXP(-2*Parameters!$C$4*B122))/(2*Parameters!$C$4))</f>
        <v>0.00340046651309389</v>
      </c>
      <c r="I122" s="47">
        <f t="shared" si="25"/>
        <v>0.476660174404715</v>
      </c>
      <c r="J122" s="47">
        <f t="shared" si="26"/>
        <v>0.318013952180653</v>
      </c>
      <c r="K122" s="47">
        <f t="shared" si="27"/>
        <v>0.316802063237024</v>
      </c>
      <c r="L122" s="48">
        <f t="shared" si="28"/>
        <v>0.0005015156193802</v>
      </c>
      <c r="M122" s="36">
        <f t="shared" si="29"/>
        <v>5.015156193802</v>
      </c>
      <c r="O122" s="9" t="str">
        <f>IF(M122="","?",IF(ABS(M122-HW_Caplets!M122)&lt;0.0000001,"OK","CHECK"))</f>
        <v>OK</v>
      </c>
    </row>
    <row r="123" ht="15.75" customHeight="1" spans="2:15">
      <c r="B123" s="12">
        <v>9.75</v>
      </c>
      <c r="C123" s="12">
        <v>10</v>
      </c>
      <c r="D123" s="44">
        <f>VLOOKUP(B123,OIS_Curve!$B$19:$D$58,3,FALSE())</f>
        <v>0.711415509728863</v>
      </c>
      <c r="E123" s="44">
        <f>VLOOKUP(C123,OIS_Curve!$B$19:$D$58,3,FALSE())</f>
        <v>0.706279403561188</v>
      </c>
      <c r="F123" s="45">
        <f>Par_Rates!$E$9</f>
        <v>0.0359004710987383</v>
      </c>
      <c r="G123" s="6">
        <f t="shared" si="24"/>
        <v>0.991104718425089</v>
      </c>
      <c r="H123" s="46">
        <f>(Parameters!$C$5/Parameters!$C$4)*(1-EXP(-Parameters!$C$4*0.25))*SQRT((1-EXP(-2*Parameters!$C$4*B123))/(2*Parameters!$C$4))</f>
        <v>0.0034068002719729</v>
      </c>
      <c r="I123" s="47">
        <f t="shared" si="25"/>
        <v>0.497574783479439</v>
      </c>
      <c r="J123" s="47">
        <f t="shared" si="26"/>
        <v>0.310593774519367</v>
      </c>
      <c r="K123" s="47">
        <f t="shared" si="27"/>
        <v>0.3093918904278</v>
      </c>
      <c r="L123" s="48">
        <f t="shared" si="28"/>
        <v>0.000482891693960551</v>
      </c>
      <c r="M123" s="36">
        <f t="shared" si="29"/>
        <v>4.82891693960551</v>
      </c>
      <c r="O123" s="9" t="str">
        <f>IF(M123="","?",IF(ABS(M123-HW_Caplets!M123)&lt;0.0000001,"OK","CHECK"))</f>
        <v>OK</v>
      </c>
    </row>
    <row r="124" ht="19.5" customHeight="1" spans="2:15">
      <c r="B124" s="51" t="s">
        <v>138</v>
      </c>
      <c r="C124" s="51"/>
      <c r="D124" s="51"/>
      <c r="E124" s="51"/>
      <c r="F124" s="51"/>
      <c r="G124" s="51"/>
      <c r="H124" s="51"/>
      <c r="I124" s="51"/>
      <c r="J124" s="51"/>
      <c r="K124" s="51"/>
      <c r="L124" s="54">
        <f>SUM(L85:L123)</f>
        <v>0.0333643252127322</v>
      </c>
      <c r="M124" s="55">
        <f>SUM(M85:M123)</f>
        <v>333.643252127322</v>
      </c>
    </row>
  </sheetData>
  <mergeCells count="12">
    <mergeCell ref="B1:M1"/>
    <mergeCell ref="B2:M2"/>
    <mergeCell ref="B3:M3"/>
    <mergeCell ref="B12:K12"/>
    <mergeCell ref="B14:M14"/>
    <mergeCell ref="B27:K27"/>
    <mergeCell ref="B29:M29"/>
    <mergeCell ref="B50:K50"/>
    <mergeCell ref="B52:M52"/>
    <mergeCell ref="B81:K81"/>
    <mergeCell ref="B83:M83"/>
    <mergeCell ref="B124:K12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7"/>
  <sheetViews>
    <sheetView showGridLines="0" workbookViewId="0">
      <selection activeCell="B12" sqref="B12:F17"/>
    </sheetView>
  </sheetViews>
  <sheetFormatPr defaultColWidth="8.6328125" defaultRowHeight="16.8" outlineLevelCol="5"/>
  <cols>
    <col min="1" max="1" width="3" customWidth="1"/>
    <col min="2" max="2" width="14" customWidth="1"/>
    <col min="3" max="4" width="20" customWidth="1"/>
    <col min="5" max="6" width="16" customWidth="1"/>
  </cols>
  <sheetData>
    <row r="1" ht="27.75" customHeight="1" spans="2:6">
      <c r="B1" s="1" t="s">
        <v>141</v>
      </c>
      <c r="C1" s="1"/>
      <c r="D1" s="1"/>
      <c r="E1" s="1"/>
      <c r="F1" s="1"/>
    </row>
    <row r="3" ht="19.5" customHeight="1" spans="2:6">
      <c r="B3" s="4" t="s">
        <v>107</v>
      </c>
      <c r="C3" s="4" t="s">
        <v>142</v>
      </c>
      <c r="D3" s="4" t="s">
        <v>143</v>
      </c>
      <c r="E3" s="4" t="s">
        <v>144</v>
      </c>
      <c r="F3" s="4" t="s">
        <v>145</v>
      </c>
    </row>
    <row r="4" ht="21.75" customHeight="1" spans="2:6">
      <c r="B4" s="35" t="s">
        <v>112</v>
      </c>
      <c r="C4" s="8">
        <f>Par_Rates!$F$5</f>
        <v>21.8973159750658</v>
      </c>
      <c r="D4" s="40">
        <f>HW_Caplets!M12</f>
        <v>21.9838238096319</v>
      </c>
      <c r="E4" s="41">
        <f>D4-C4</f>
        <v>0.0865078345661061</v>
      </c>
      <c r="F4" s="16">
        <f>E4^2</f>
        <v>0.00748360544131678</v>
      </c>
    </row>
    <row r="5" ht="21.75" customHeight="1" spans="2:6">
      <c r="B5" s="38" t="s">
        <v>113</v>
      </c>
      <c r="C5" s="8">
        <f>Par_Rates!$F$6</f>
        <v>69.9127191579285</v>
      </c>
      <c r="D5" s="42">
        <f>HW_Caplets!M27</f>
        <v>70.3127299546259</v>
      </c>
      <c r="E5" s="43">
        <f>D5-C5</f>
        <v>0.400010796697387</v>
      </c>
      <c r="F5" s="12">
        <f>E5^2</f>
        <v>0.160008637474478</v>
      </c>
    </row>
    <row r="6" ht="21.75" customHeight="1" spans="2:6">
      <c r="B6" s="35" t="s">
        <v>114</v>
      </c>
      <c r="C6" s="8">
        <f>Par_Rates!$F$7</f>
        <v>143.364817211091</v>
      </c>
      <c r="D6" s="40">
        <f>HW_Caplets!M50</f>
        <v>142.462918525637</v>
      </c>
      <c r="E6" s="41">
        <f>D6-C6</f>
        <v>-0.901898685454114</v>
      </c>
      <c r="F6" s="16">
        <f>E6^2</f>
        <v>0.813421238823859</v>
      </c>
    </row>
    <row r="7" ht="21.75" customHeight="1" spans="2:6">
      <c r="B7" s="38" t="s">
        <v>115</v>
      </c>
      <c r="C7" s="8">
        <f>Par_Rates!$F$8</f>
        <v>219.158719357891</v>
      </c>
      <c r="D7" s="42">
        <f>HW_Caplets!M81</f>
        <v>219.834686804633</v>
      </c>
      <c r="E7" s="43">
        <f>D7-C7</f>
        <v>0.675967446741737</v>
      </c>
      <c r="F7" s="12">
        <f>E7^2</f>
        <v>0.456931989054543</v>
      </c>
    </row>
    <row r="8" ht="21.75" customHeight="1" spans="2:6">
      <c r="B8" s="35" t="s">
        <v>116</v>
      </c>
      <c r="C8" s="8">
        <f>Par_Rates!$F$9</f>
        <v>333.795728053805</v>
      </c>
      <c r="D8" s="40">
        <f>HW_Caplets!M124</f>
        <v>333.643252127322</v>
      </c>
      <c r="E8" s="41">
        <f>D8-C8</f>
        <v>-0.152475926482907</v>
      </c>
      <c r="F8" s="16">
        <f>E8^2</f>
        <v>0.0232489081568209</v>
      </c>
    </row>
    <row r="10" ht="27.75" customHeight="1" spans="2:6">
      <c r="B10" s="1" t="s">
        <v>146</v>
      </c>
      <c r="C10" s="1"/>
      <c r="D10" s="1"/>
      <c r="E10" s="1"/>
      <c r="F10" s="39">
        <f>SUM(F4:F8)</f>
        <v>1.46109437895102</v>
      </c>
    </row>
    <row r="12" ht="18" customHeight="1" spans="2:6">
      <c r="B12" s="33" t="s">
        <v>147</v>
      </c>
      <c r="C12" s="33"/>
      <c r="D12" s="33"/>
      <c r="E12" s="33"/>
      <c r="F12" s="33"/>
    </row>
    <row r="13" ht="18" customHeight="1" spans="2:6">
      <c r="B13" s="34" t="s">
        <v>148</v>
      </c>
      <c r="C13" s="34"/>
      <c r="D13" s="34"/>
      <c r="E13" s="34"/>
      <c r="F13" s="34"/>
    </row>
    <row r="14" ht="18" customHeight="1" spans="2:6">
      <c r="B14" s="34" t="s">
        <v>149</v>
      </c>
      <c r="C14" s="34"/>
      <c r="D14" s="34"/>
      <c r="E14" s="34"/>
      <c r="F14" s="34"/>
    </row>
    <row r="15" ht="18" customHeight="1" spans="2:6">
      <c r="B15" s="34" t="s">
        <v>150</v>
      </c>
      <c r="C15" s="34"/>
      <c r="D15" s="34"/>
      <c r="E15" s="34"/>
      <c r="F15" s="34"/>
    </row>
    <row r="16" ht="18" customHeight="1" spans="2:6">
      <c r="B16" s="34" t="s">
        <v>151</v>
      </c>
      <c r="C16" s="34"/>
      <c r="D16" s="34"/>
      <c r="E16" s="34"/>
      <c r="F16" s="34"/>
    </row>
    <row r="17" ht="18" customHeight="1" spans="2:6">
      <c r="B17" s="33" t="s">
        <v>152</v>
      </c>
      <c r="C17" s="33"/>
      <c r="D17" s="33"/>
      <c r="E17" s="33"/>
      <c r="F17" s="33"/>
    </row>
  </sheetData>
  <mergeCells count="8">
    <mergeCell ref="B1:F1"/>
    <mergeCell ref="B10:E10"/>
    <mergeCell ref="B12:F12"/>
    <mergeCell ref="B13:F13"/>
    <mergeCell ref="B14:F14"/>
    <mergeCell ref="B15:F15"/>
    <mergeCell ref="B16:F16"/>
    <mergeCell ref="B17:F1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7"/>
  <sheetViews>
    <sheetView showGridLines="0" workbookViewId="0">
      <selection activeCell="C26" sqref="C26"/>
    </sheetView>
  </sheetViews>
  <sheetFormatPr defaultColWidth="8.6328125" defaultRowHeight="16.8" outlineLevelCol="7"/>
  <cols>
    <col min="1" max="1" width="3" customWidth="1"/>
    <col min="2" max="2" width="14" customWidth="1"/>
    <col min="3" max="4" width="20" customWidth="1"/>
    <col min="5" max="6" width="16" customWidth="1"/>
    <col min="8" max="8" width="10" customWidth="1"/>
  </cols>
  <sheetData>
    <row r="1" ht="27.75" customHeight="1" spans="2:8">
      <c r="B1" s="1" t="s">
        <v>153</v>
      </c>
      <c r="C1" s="1"/>
      <c r="D1" s="1"/>
      <c r="E1" s="1"/>
      <c r="F1" s="1"/>
    </row>
    <row r="3" ht="19.5" customHeight="1" spans="2:8">
      <c r="B3" s="4" t="s">
        <v>107</v>
      </c>
      <c r="C3" s="4" t="s">
        <v>142</v>
      </c>
      <c r="D3" s="4" t="s">
        <v>143</v>
      </c>
      <c r="E3" s="4" t="s">
        <v>144</v>
      </c>
      <c r="F3" s="4" t="s">
        <v>145</v>
      </c>
      <c r="H3" s="3" t="s">
        <v>140</v>
      </c>
    </row>
    <row r="4" ht="21.75" customHeight="1" spans="2:8">
      <c r="B4" s="35" t="s">
        <v>112</v>
      </c>
      <c r="C4" s="8">
        <f>Par_Rates!$F$5</f>
        <v>21.8973159750658</v>
      </c>
      <c r="D4" s="36">
        <f>TRY_Caplets!M12</f>
        <v>21.9838238096313</v>
      </c>
      <c r="E4" s="36">
        <f>D4-C4</f>
        <v>0.0865078345655483</v>
      </c>
      <c r="F4" s="37">
        <f>E4^2</f>
        <v>0.00748360544122028</v>
      </c>
      <c r="H4" s="9" t="str">
        <f>IF(D4="","?",IF(ABS(D4-Cap_Prices!D4)&lt;0.0001,"OK","CHECK"))</f>
        <v>OK</v>
      </c>
    </row>
    <row r="5" ht="21.75" customHeight="1" spans="2:8">
      <c r="B5" s="38" t="s">
        <v>113</v>
      </c>
      <c r="C5" s="8">
        <f>Par_Rates!$F$6</f>
        <v>69.9127191579285</v>
      </c>
      <c r="D5" s="36">
        <f>TRY_Caplets!M27</f>
        <v>70.3127299546259</v>
      </c>
      <c r="E5" s="36">
        <f>D5-C5</f>
        <v>0.400010796697387</v>
      </c>
      <c r="F5" s="37">
        <f>E5^2</f>
        <v>0.160008637474478</v>
      </c>
      <c r="H5" s="9" t="str">
        <f>IF(D5="","?",IF(ABS(D5-Cap_Prices!D5)&lt;0.0001,"OK","CHECK"))</f>
        <v>OK</v>
      </c>
    </row>
    <row r="6" ht="21.75" customHeight="1" spans="2:8">
      <c r="B6" s="35" t="s">
        <v>114</v>
      </c>
      <c r="C6" s="8">
        <f>Par_Rates!$F$7</f>
        <v>143.364817211091</v>
      </c>
      <c r="D6" s="36">
        <f>TRY_Caplets!M50</f>
        <v>142.462918525637</v>
      </c>
      <c r="E6" s="36">
        <f>D6-C6</f>
        <v>-0.901898685454114</v>
      </c>
      <c r="F6" s="37">
        <f>E6^2</f>
        <v>0.813421238823859</v>
      </c>
      <c r="H6" s="9" t="str">
        <f>IF(D6="","?",IF(ABS(D6-Cap_Prices!D6)&lt;0.0001,"OK","CHECK"))</f>
        <v>OK</v>
      </c>
    </row>
    <row r="7" ht="21.75" customHeight="1" spans="2:8">
      <c r="B7" s="38" t="s">
        <v>115</v>
      </c>
      <c r="C7" s="8">
        <f>Par_Rates!$F$8</f>
        <v>219.158719357891</v>
      </c>
      <c r="D7" s="36">
        <f>TRY_Caplets!M81</f>
        <v>219.834686804633</v>
      </c>
      <c r="E7" s="36">
        <f>D7-C7</f>
        <v>0.675967446741737</v>
      </c>
      <c r="F7" s="37">
        <f>E7^2</f>
        <v>0.456931989054543</v>
      </c>
      <c r="H7" s="9" t="str">
        <f>IF(D7="","?",IF(ABS(D7-Cap_Prices!D7)&lt;0.0001,"OK","CHECK"))</f>
        <v>OK</v>
      </c>
    </row>
    <row r="8" ht="21.75" customHeight="1" spans="2:8">
      <c r="B8" s="35" t="s">
        <v>116</v>
      </c>
      <c r="C8" s="8">
        <f>Par_Rates!$F$9</f>
        <v>333.795728053805</v>
      </c>
      <c r="D8" s="36">
        <f>TRY_Caplets!M124</f>
        <v>333.643252127322</v>
      </c>
      <c r="E8" s="36">
        <f>D8-C8</f>
        <v>-0.152475926482907</v>
      </c>
      <c r="F8" s="37">
        <f>E8^2</f>
        <v>0.0232489081568209</v>
      </c>
      <c r="H8" s="9" t="str">
        <f>IF(D8="","?",IF(ABS(D8-Cap_Prices!D8)&lt;0.0001,"OK","CHECK"))</f>
        <v>OK</v>
      </c>
    </row>
    <row r="10" ht="27.75" customHeight="1" spans="2:8">
      <c r="B10" s="1" t="s">
        <v>146</v>
      </c>
      <c r="C10" s="1"/>
      <c r="D10" s="1"/>
      <c r="E10" s="1"/>
      <c r="F10" s="39">
        <f>SUM(F4:F8)</f>
        <v>1.46109437895092</v>
      </c>
    </row>
    <row r="12" ht="18" customHeight="1" spans="2:8">
      <c r="B12" s="33" t="s">
        <v>147</v>
      </c>
      <c r="C12" s="33"/>
      <c r="D12" s="33"/>
      <c r="E12" s="33"/>
      <c r="F12" s="33"/>
    </row>
    <row r="13" ht="18" customHeight="1" spans="2:8">
      <c r="B13" s="34" t="s">
        <v>148</v>
      </c>
      <c r="C13" s="34"/>
      <c r="D13" s="34"/>
      <c r="E13" s="34"/>
      <c r="F13" s="34"/>
    </row>
    <row r="14" ht="18" customHeight="1" spans="2:8">
      <c r="B14" s="34" t="s">
        <v>149</v>
      </c>
      <c r="C14" s="34"/>
      <c r="D14" s="34"/>
      <c r="E14" s="34"/>
      <c r="F14" s="34"/>
    </row>
    <row r="15" ht="18" customHeight="1" spans="2:8">
      <c r="B15" s="34" t="s">
        <v>150</v>
      </c>
      <c r="C15" s="34"/>
      <c r="D15" s="34"/>
      <c r="E15" s="34"/>
      <c r="F15" s="34"/>
    </row>
    <row r="16" ht="18" customHeight="1" spans="2:8">
      <c r="B16" s="34" t="s">
        <v>151</v>
      </c>
      <c r="C16" s="34"/>
      <c r="D16" s="34"/>
      <c r="E16" s="34"/>
      <c r="F16" s="34"/>
    </row>
    <row r="17" ht="18" customHeight="1" spans="2:6">
      <c r="B17" s="33" t="s">
        <v>152</v>
      </c>
      <c r="C17" s="33"/>
      <c r="D17" s="33"/>
      <c r="E17" s="33"/>
      <c r="F17" s="33"/>
    </row>
  </sheetData>
  <mergeCells count="8">
    <mergeCell ref="B1:F1"/>
    <mergeCell ref="B10:E10"/>
    <mergeCell ref="B12:F12"/>
    <mergeCell ref="B13:F13"/>
    <mergeCell ref="B14:F14"/>
    <mergeCell ref="B15:F15"/>
    <mergeCell ref="B16:F16"/>
    <mergeCell ref="B17:F1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7"/>
  <sheetViews>
    <sheetView showGridLines="0" tabSelected="1" workbookViewId="0">
      <selection activeCell="G8" sqref="G8"/>
    </sheetView>
  </sheetViews>
  <sheetFormatPr defaultColWidth="8.6328125" defaultRowHeight="16.8" outlineLevelCol="7"/>
  <cols>
    <col min="1" max="1" width="3" customWidth="1"/>
    <col min="2" max="2" width="32" customWidth="1"/>
    <col min="3" max="3" width="16" customWidth="1"/>
    <col min="4" max="4" width="30" customWidth="1"/>
    <col min="7" max="7" width="24.453125" customWidth="1"/>
  </cols>
  <sheetData>
    <row r="1" ht="27.75" customHeight="1" spans="2:8">
      <c r="B1" s="1" t="s">
        <v>154</v>
      </c>
      <c r="C1" s="1"/>
      <c r="D1" s="1"/>
    </row>
    <row r="3" ht="19.5" customHeight="1" spans="2:8">
      <c r="B3" s="4" t="s">
        <v>155</v>
      </c>
      <c r="C3" s="4" t="s">
        <v>156</v>
      </c>
      <c r="D3" s="4" t="s">
        <v>157</v>
      </c>
    </row>
    <row r="4" ht="21.75" customHeight="1" spans="2:8">
      <c r="B4" s="25" t="s">
        <v>158</v>
      </c>
      <c r="C4" s="26">
        <v>0.162522182967625</v>
      </c>
      <c r="D4" s="27" t="s">
        <v>159</v>
      </c>
      <c r="H4" s="28"/>
    </row>
    <row r="5" ht="21.75" customHeight="1" spans="2:8">
      <c r="B5" s="29" t="s">
        <v>160</v>
      </c>
      <c r="C5" s="26">
        <v>0.00810021919594849</v>
      </c>
      <c r="D5" s="30" t="s">
        <v>161</v>
      </c>
      <c r="H5" s="28"/>
    </row>
    <row r="6" ht="21.75" customHeight="1" spans="2:8">
      <c r="B6" s="25" t="s">
        <v>162</v>
      </c>
      <c r="C6" s="31">
        <v>0.0104</v>
      </c>
      <c r="D6" s="27" t="s">
        <v>163</v>
      </c>
    </row>
    <row r="7" ht="21.75" customHeight="1" spans="2:8">
      <c r="B7" s="29" t="s">
        <v>164</v>
      </c>
      <c r="C7" s="32" t="s">
        <v>165</v>
      </c>
      <c r="D7" s="30" t="s">
        <v>166</v>
      </c>
    </row>
    <row r="8" ht="21.75" customHeight="1" spans="2:8">
      <c r="B8" s="25" t="s">
        <v>167</v>
      </c>
      <c r="C8" s="31">
        <v>0.25</v>
      </c>
      <c r="D8" s="27" t="s">
        <v>168</v>
      </c>
    </row>
    <row r="10" spans="2:8">
      <c r="C10">
        <f>TRY_CapPrices!F10</f>
        <v>1.46109437895092</v>
      </c>
    </row>
    <row r="12" spans="2:8">
      <c r="B12" s="33" t="s">
        <v>147</v>
      </c>
      <c r="C12" s="33"/>
      <c r="D12" s="33"/>
      <c r="E12" s="33"/>
      <c r="F12" s="33"/>
    </row>
    <row r="13" spans="2:8">
      <c r="B13" s="34" t="s">
        <v>148</v>
      </c>
      <c r="C13" s="34"/>
      <c r="D13" s="34"/>
      <c r="E13" s="34"/>
      <c r="F13" s="34"/>
    </row>
    <row r="14" spans="2:8">
      <c r="B14" s="34" t="s">
        <v>149</v>
      </c>
      <c r="C14" s="34"/>
      <c r="D14" s="34"/>
      <c r="E14" s="34"/>
      <c r="F14" s="34"/>
    </row>
    <row r="15" spans="2:8">
      <c r="B15" s="34" t="s">
        <v>150</v>
      </c>
      <c r="C15" s="34"/>
      <c r="D15" s="34"/>
      <c r="E15" s="34"/>
      <c r="F15" s="34"/>
    </row>
    <row r="16" spans="2:8">
      <c r="B16" s="34" t="s">
        <v>151</v>
      </c>
      <c r="C16" s="34"/>
      <c r="D16" s="34"/>
      <c r="E16" s="34"/>
      <c r="F16" s="34"/>
    </row>
    <row r="17" spans="2:6">
      <c r="B17" s="33" t="s">
        <v>152</v>
      </c>
      <c r="C17" s="33"/>
      <c r="D17" s="33"/>
      <c r="E17" s="33"/>
      <c r="F17" s="33"/>
    </row>
  </sheetData>
  <mergeCells count="7">
    <mergeCell ref="B1:D1"/>
    <mergeCell ref="B12:F12"/>
    <mergeCell ref="B13:F13"/>
    <mergeCell ref="B14:F14"/>
    <mergeCell ref="B15:F15"/>
    <mergeCell ref="B16:F16"/>
    <mergeCell ref="B17:F1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58"/>
  <sheetViews>
    <sheetView showGridLines="0" topLeftCell="A2" workbookViewId="0">
      <selection activeCell="D19" sqref="D19:D30"/>
    </sheetView>
  </sheetViews>
  <sheetFormatPr defaultColWidth="8.6328125" defaultRowHeight="16.8"/>
  <cols>
    <col min="1" max="1" width="3" customWidth="1"/>
    <col min="2" max="2" width="10" customWidth="1"/>
    <col min="3" max="3" width="18" customWidth="1"/>
    <col min="4" max="4" width="14" customWidth="1"/>
    <col min="5" max="6" width="16" customWidth="1"/>
    <col min="7" max="7" width="36" customWidth="1"/>
    <col min="9" max="9" width="10" customWidth="1"/>
  </cols>
  <sheetData>
    <row r="1" ht="27.75" customHeight="1" spans="2:11">
      <c r="B1" s="1" t="s">
        <v>169</v>
      </c>
      <c r="C1" s="1"/>
      <c r="D1" s="1"/>
      <c r="E1" s="1"/>
      <c r="F1" s="1"/>
      <c r="G1" s="1"/>
    </row>
    <row r="3" ht="19.5" customHeight="1" spans="2:11">
      <c r="B3" s="10" t="s">
        <v>49</v>
      </c>
      <c r="C3" s="10"/>
      <c r="D3" s="10"/>
      <c r="E3" s="10"/>
      <c r="F3" s="10"/>
      <c r="G3" s="10"/>
      <c r="I3" s="3" t="s">
        <v>140</v>
      </c>
    </row>
    <row r="4" ht="19.5" customHeight="1" spans="2:11">
      <c r="B4" s="4" t="s">
        <v>3</v>
      </c>
      <c r="C4" s="4" t="s">
        <v>50</v>
      </c>
      <c r="D4" s="4" t="s">
        <v>51</v>
      </c>
      <c r="E4" s="4" t="s">
        <v>52</v>
      </c>
      <c r="F4" s="4" t="s">
        <v>53</v>
      </c>
      <c r="G4" s="4" t="s">
        <v>54</v>
      </c>
    </row>
    <row r="5" ht="18" customHeight="1" spans="2:11">
      <c r="B5" s="12">
        <v>0.25</v>
      </c>
      <c r="C5" s="21" t="s">
        <v>55</v>
      </c>
      <c r="D5" s="13">
        <f>Instruments!$D$5</f>
        <v>0.0415</v>
      </c>
      <c r="E5" s="6">
        <f>1/(1+B5*D5)</f>
        <v>0.989731535321044</v>
      </c>
      <c r="F5" s="7">
        <f>-LN(E5)/B5</f>
        <v>0.0412861962874855</v>
      </c>
      <c r="G5" s="2" t="s">
        <v>56</v>
      </c>
      <c r="I5" s="9" t="str">
        <f>IF(F5="","?",IF(ABS(F5-OIS_Curve!F5)&lt;0.000001,"OK","CHECK"))</f>
        <v>OK</v>
      </c>
      <c r="J5" t="b">
        <f>E5=OIS_Curve!E5</f>
        <v>1</v>
      </c>
      <c r="K5" t="b">
        <f>F5=OIS_Curve!F5</f>
        <v>1</v>
      </c>
    </row>
    <row r="6" ht="18" customHeight="1" spans="2:11">
      <c r="B6" s="16">
        <v>0.5</v>
      </c>
      <c r="C6" s="18" t="s">
        <v>55</v>
      </c>
      <c r="D6" s="13">
        <f>Instruments!$D$6</f>
        <v>0.04</v>
      </c>
      <c r="E6" s="6">
        <f>1/(1+B6*D6)</f>
        <v>0.980392156862745</v>
      </c>
      <c r="F6" s="7">
        <f t="shared" ref="F6:F9" si="0">-LN(E6)/B6</f>
        <v>0.0396052545923595</v>
      </c>
      <c r="G6" s="2" t="s">
        <v>57</v>
      </c>
      <c r="I6" s="9" t="str">
        <f>IF(F6="","?",IF(ABS(F6-OIS_Curve!F6)&lt;0.000001,"OK","CHECK"))</f>
        <v>OK</v>
      </c>
      <c r="J6" t="b">
        <f>E6=OIS_Curve!E6</f>
        <v>1</v>
      </c>
      <c r="K6" t="b">
        <f>F6=OIS_Curve!F6</f>
        <v>1</v>
      </c>
    </row>
    <row r="7" ht="18" customHeight="1" spans="2:11">
      <c r="B7" s="12">
        <v>1</v>
      </c>
      <c r="C7" s="21" t="s">
        <v>58</v>
      </c>
      <c r="D7" s="13">
        <f>Instruments!$D$9</f>
        <v>0.038</v>
      </c>
      <c r="E7" s="6">
        <f>1/(1+B7*D7)</f>
        <v>0.963391136801541</v>
      </c>
      <c r="F7" s="7">
        <f t="shared" si="0"/>
        <v>0.0372957847436969</v>
      </c>
      <c r="G7" s="2" t="s">
        <v>59</v>
      </c>
      <c r="I7" s="9" t="str">
        <f>IF(F7="","?",IF(ABS(F7-OIS_Curve!F7)&lt;0.000001,"OK","CHECK"))</f>
        <v>OK</v>
      </c>
      <c r="J7" t="b">
        <f>E7=OIS_Curve!E7</f>
        <v>1</v>
      </c>
      <c r="K7" t="b">
        <f>F7=OIS_Curve!F7</f>
        <v>1</v>
      </c>
    </row>
    <row r="8" ht="18" customHeight="1" spans="2:11">
      <c r="B8" s="16">
        <v>2</v>
      </c>
      <c r="C8" s="18" t="s">
        <v>58</v>
      </c>
      <c r="D8" s="13">
        <f>Instruments!$D$10</f>
        <v>0.037</v>
      </c>
      <c r="E8" s="6">
        <f>(1-E7*D8)/(1+D8)</f>
        <v>0.929946507172944</v>
      </c>
      <c r="F8" s="7">
        <f t="shared" si="0"/>
        <v>0.0363141068290018</v>
      </c>
      <c r="G8" s="2" t="s">
        <v>60</v>
      </c>
      <c r="I8" s="9" t="str">
        <f>IF(F8="","?",IF(ABS(F8-OIS_Curve!F8)&lt;0.000001,"OK","CHECK"))</f>
        <v>OK</v>
      </c>
      <c r="J8" t="b">
        <f>E8=OIS_Curve!E8</f>
        <v>1</v>
      </c>
      <c r="K8" t="b">
        <f>F8=OIS_Curve!F8</f>
        <v>1</v>
      </c>
    </row>
    <row r="9" ht="18" customHeight="1" spans="2:11">
      <c r="B9" s="12">
        <v>3</v>
      </c>
      <c r="C9" s="21" t="s">
        <v>58</v>
      </c>
      <c r="D9" s="13">
        <f>Instruments!$D$11</f>
        <v>0.0365</v>
      </c>
      <c r="E9" s="6">
        <f>(1-D9*E7-D9*E8)/(1+D9)</f>
        <v>0.898112084896219</v>
      </c>
      <c r="F9" s="7">
        <f t="shared" si="0"/>
        <v>0.0358201341086803</v>
      </c>
      <c r="G9" s="2" t="s">
        <v>61</v>
      </c>
      <c r="I9" s="9" t="str">
        <f>IF(F9="","?",IF(ABS(F9-OIS_Curve!F9)&lt;0.000001,"OK","CHECK"))</f>
        <v>OK</v>
      </c>
      <c r="J9" t="b">
        <f>E9=OIS_Curve!E9</f>
        <v>1</v>
      </c>
      <c r="K9" t="b">
        <f>F9=OIS_Curve!F9</f>
        <v>1</v>
      </c>
    </row>
    <row r="10" ht="18" customHeight="1" spans="2:11">
      <c r="B10" s="16">
        <v>4</v>
      </c>
      <c r="C10" s="18" t="s">
        <v>62</v>
      </c>
      <c r="D10" s="22" t="s">
        <v>63</v>
      </c>
      <c r="E10" s="6">
        <f t="shared" ref="E10:E15" si="1">EXP(-F10*B10)</f>
        <v>0.866199291435047</v>
      </c>
      <c r="F10" s="7">
        <f>F9+((D11-F9)/(B11-B9))*(B10-B9)</f>
        <v>0.0359100670543401</v>
      </c>
      <c r="G10" s="2" t="s">
        <v>64</v>
      </c>
      <c r="I10" s="9" t="str">
        <f>IF(F10="","?",IF(ABS(F10-OIS_Curve!F10)&lt;0.000001,"OK","CHECK"))</f>
        <v>OK</v>
      </c>
      <c r="J10" t="b">
        <f>E10=OIS_Curve!E10</f>
        <v>1</v>
      </c>
      <c r="K10" t="b">
        <f>F10=OIS_Curve!F10</f>
        <v>1</v>
      </c>
    </row>
    <row r="11" ht="18" customHeight="1" spans="2:11">
      <c r="B11" s="12">
        <v>5</v>
      </c>
      <c r="C11" s="21" t="s">
        <v>58</v>
      </c>
      <c r="D11" s="13">
        <f>Instruments!$D$12</f>
        <v>0.036</v>
      </c>
      <c r="E11" s="6">
        <f>(1-D11*SUM(E7:E10))/(1+D11)</f>
        <v>0.838151192344588</v>
      </c>
      <c r="F11" s="7">
        <f t="shared" ref="F11:F16" si="2">-LN(E11)/B11</f>
        <v>0.0353113548629865</v>
      </c>
      <c r="G11" s="2" t="s">
        <v>65</v>
      </c>
      <c r="I11" s="9" t="str">
        <f>IF(F11="","?",IF(ABS(F11-OIS_Curve!F11)&lt;0.000001,"OK","CHECK"))</f>
        <v>OK</v>
      </c>
      <c r="J11" t="b">
        <f>E11=OIS_Curve!E11</f>
        <v>1</v>
      </c>
      <c r="K11" t="b">
        <f>F11=OIS_Curve!F11</f>
        <v>1</v>
      </c>
    </row>
    <row r="12" ht="18" customHeight="1" spans="2:11">
      <c r="B12" s="16">
        <v>6</v>
      </c>
      <c r="C12" s="18" t="s">
        <v>62</v>
      </c>
      <c r="D12" s="22" t="s">
        <v>63</v>
      </c>
      <c r="E12" s="6">
        <f t="shared" si="1"/>
        <v>0.807886205958442</v>
      </c>
      <c r="F12" s="7">
        <f>F11+((D13-F11)/(B13-B11))*(B12-B11)</f>
        <v>0.0355556774314932</v>
      </c>
      <c r="G12" s="2" t="s">
        <v>66</v>
      </c>
      <c r="I12" s="9" t="str">
        <f>IF(F12="","?",IF(ABS(F12-OIS_Curve!F12)&lt;0.000001,"OK","CHECK"))</f>
        <v>OK</v>
      </c>
      <c r="J12" t="b">
        <f>E12=OIS_Curve!E12</f>
        <v>1</v>
      </c>
      <c r="K12" t="b">
        <f>F12=OIS_Curve!F12</f>
        <v>1</v>
      </c>
    </row>
    <row r="13" ht="18" customHeight="1" spans="2:11">
      <c r="B13" s="12">
        <v>7</v>
      </c>
      <c r="C13" s="21" t="s">
        <v>58</v>
      </c>
      <c r="D13" s="13">
        <f>Instruments!$D$13</f>
        <v>0.0358</v>
      </c>
      <c r="E13" s="6">
        <f>(1-D13*SUM(E7:E12))/(1+D13)</f>
        <v>0.782127849212015</v>
      </c>
      <c r="F13" s="7">
        <f t="shared" si="2"/>
        <v>0.0351052945369894</v>
      </c>
      <c r="G13" s="2" t="s">
        <v>67</v>
      </c>
      <c r="I13" s="9" t="str">
        <f>IF(F13="","?",IF(ABS(F13-OIS_Curve!F13)&lt;0.000001,"OK","CHECK"))</f>
        <v>OK</v>
      </c>
      <c r="J13" t="b">
        <f>E13=OIS_Curve!E13</f>
        <v>1</v>
      </c>
      <c r="K13" t="b">
        <f>F13=OIS_Curve!F13</f>
        <v>1</v>
      </c>
    </row>
    <row r="14" ht="18" customHeight="1" spans="2:11">
      <c r="B14" s="16">
        <v>8</v>
      </c>
      <c r="C14" s="18" t="s">
        <v>62</v>
      </c>
      <c r="D14" s="22" t="s">
        <v>63</v>
      </c>
      <c r="E14" s="6">
        <f t="shared" si="1"/>
        <v>0.754352959697108</v>
      </c>
      <c r="F14" s="7">
        <f>F13+((D16-F13)/(B16-B13))*(B14-B13)</f>
        <v>0.0352368630246596</v>
      </c>
      <c r="G14" s="2" t="s">
        <v>68</v>
      </c>
      <c r="I14" s="9" t="str">
        <f>IF(F14="","?",IF(ABS(F14-OIS_Curve!F14)&lt;0.000001,"OK","CHECK"))</f>
        <v>OK</v>
      </c>
      <c r="J14" t="b">
        <f>E14=OIS_Curve!E14</f>
        <v>1</v>
      </c>
      <c r="K14" t="b">
        <f>F14=OIS_Curve!F14</f>
        <v>1</v>
      </c>
    </row>
    <row r="15" ht="18" customHeight="1" spans="2:11">
      <c r="B15" s="12">
        <v>9</v>
      </c>
      <c r="C15" s="21" t="s">
        <v>62</v>
      </c>
      <c r="D15" s="23" t="s">
        <v>63</v>
      </c>
      <c r="E15" s="6">
        <f t="shared" si="1"/>
        <v>0.727372986915615</v>
      </c>
      <c r="F15" s="7">
        <f>F13+((D16-F13)/(B16-B13))*(B15-B13)</f>
        <v>0.0353684315123298</v>
      </c>
      <c r="G15" s="2" t="s">
        <v>69</v>
      </c>
      <c r="I15" s="9" t="str">
        <f>IF(F15="","?",IF(ABS(F15-OIS_Curve!F15)&lt;0.000001,"OK","CHECK"))</f>
        <v>OK</v>
      </c>
      <c r="J15" t="b">
        <f>E15=OIS_Curve!E15</f>
        <v>1</v>
      </c>
      <c r="K15" t="b">
        <f>F15=OIS_Curve!F15</f>
        <v>1</v>
      </c>
    </row>
    <row r="16" ht="18" customHeight="1" spans="2:11">
      <c r="B16" s="16">
        <v>10</v>
      </c>
      <c r="C16" s="18" t="s">
        <v>58</v>
      </c>
      <c r="D16" s="13">
        <f>Instruments!$D$14</f>
        <v>0.0355</v>
      </c>
      <c r="E16" s="6">
        <f>(1-D16*SUM(E7:E15))/(1+D16)</f>
        <v>0.706279403561188</v>
      </c>
      <c r="F16" s="7">
        <f t="shared" si="2"/>
        <v>0.0347744364027157</v>
      </c>
      <c r="G16" s="2" t="s">
        <v>70</v>
      </c>
      <c r="I16" s="9" t="str">
        <f>IF(F16="","?",IF(ABS(F16-OIS_Curve!F16)&lt;0.000001,"OK","CHECK"))</f>
        <v>OK</v>
      </c>
      <c r="J16" t="b">
        <f>E16=OIS_Curve!E16</f>
        <v>1</v>
      </c>
      <c r="K16" t="b">
        <f>F16=OIS_Curve!F16</f>
        <v>1</v>
      </c>
    </row>
    <row r="17" ht="19.5" customHeight="1" spans="2:13">
      <c r="B17" s="10" t="s">
        <v>71</v>
      </c>
      <c r="C17" s="10"/>
      <c r="D17" s="10"/>
      <c r="E17" s="10"/>
      <c r="F17" s="10"/>
      <c r="G17" s="10"/>
    </row>
    <row r="18" ht="19.5" customHeight="1" spans="2:13">
      <c r="B18" s="4" t="s">
        <v>3</v>
      </c>
      <c r="C18" s="4" t="s">
        <v>72</v>
      </c>
      <c r="D18" s="4" t="s">
        <v>52</v>
      </c>
      <c r="E18" s="4" t="s">
        <v>73</v>
      </c>
      <c r="F18" s="4" t="s">
        <v>74</v>
      </c>
      <c r="G18" s="4" t="s">
        <v>75</v>
      </c>
    </row>
    <row r="19" ht="15.75" customHeight="1" spans="2:13">
      <c r="B19" s="12">
        <v>0.25</v>
      </c>
      <c r="C19" s="7">
        <f>F5</f>
        <v>0.0412861962874855</v>
      </c>
      <c r="D19" s="6">
        <f>E5</f>
        <v>0.989731535321044</v>
      </c>
      <c r="E19" s="7">
        <f>C19</f>
        <v>0.0412861962874855</v>
      </c>
      <c r="F19" s="7">
        <f>(D19/D20-1)/(B20-B19)</f>
        <v>0.0381046641098601</v>
      </c>
      <c r="G19" s="2" t="s">
        <v>76</v>
      </c>
      <c r="I19" s="9" t="str">
        <f>IF(D19="","?",IF(ABS(D19-OIS_Curve!D19)&lt;0.000001,"OK","CHECK"))</f>
        <v>OK</v>
      </c>
      <c r="J19" t="b">
        <f>IF(ABS(C19-OIS_Curve!C19)&lt;0.0001,TRUE(),FALSE())</f>
        <v>1</v>
      </c>
      <c r="K19" t="b">
        <f>IF(ABS(D19-OIS_Curve!D19)&lt;0.0001,TRUE(),FALSE())</f>
        <v>1</v>
      </c>
      <c r="L19" t="b">
        <f>IF(ABS(E19-OIS_Curve!E19)&lt;0.0001,TRUE(),FALSE())</f>
        <v>1</v>
      </c>
      <c r="M19" t="b">
        <f>IF(ABS(F19-OIS_Curve!F19)&lt;0.0001,TRUE(),FALSE())</f>
        <v>1</v>
      </c>
    </row>
    <row r="20" ht="15.75" customHeight="1" spans="2:13">
      <c r="B20" s="16">
        <v>0.5</v>
      </c>
      <c r="C20" s="7">
        <f>F6</f>
        <v>0.0396052545923595</v>
      </c>
      <c r="D20" s="6">
        <f>E6</f>
        <v>0.980392156862745</v>
      </c>
      <c r="E20" s="7">
        <f t="shared" ref="E20:E57" si="3">-(LN(D21)-LN(D19))/(B21-B19)</f>
        <v>0.0370326813582995</v>
      </c>
      <c r="F20" s="7">
        <f t="shared" ref="F20:F57" si="4">(D20/D21-1)/(B21-B20)</f>
        <v>0.0363048146022988</v>
      </c>
      <c r="G20" s="2" t="s">
        <v>76</v>
      </c>
      <c r="I20" s="9" t="str">
        <f>IF(D20="","?",IF(ABS(D20-OIS_Curve!D20)&lt;0.000001,"OK","CHECK"))</f>
        <v>OK</v>
      </c>
      <c r="J20" t="b">
        <f>IF(ABS(C20-OIS_Curve!C20)&lt;0.0001,TRUE(),FALSE())</f>
        <v>1</v>
      </c>
      <c r="K20" t="b">
        <f>IF(ABS(D20-OIS_Curve!D20)&lt;0.0001,TRUE(),FALSE())</f>
        <v>1</v>
      </c>
      <c r="L20" t="b">
        <f>IF(ABS(E20-OIS_Curve!E20)&lt;0.0001,TRUE(),FALSE())</f>
        <v>1</v>
      </c>
      <c r="M20" t="b">
        <f>IF(ABS(F20-OIS_Curve!F20)&lt;0.0001,TRUE(),FALSE())</f>
        <v>1</v>
      </c>
    </row>
    <row r="21" ht="15.75" customHeight="1" spans="2:13">
      <c r="B21" s="12">
        <v>0.75</v>
      </c>
      <c r="C21" s="7">
        <f>AVERAGE(C20,C22)</f>
        <v>0.0384505196680282</v>
      </c>
      <c r="D21" s="6">
        <f t="shared" ref="D21:D25" si="5">EXP(-B21*C21)</f>
        <v>0.971573953796494</v>
      </c>
      <c r="E21" s="7">
        <f t="shared" si="3"/>
        <v>0.0349863148950343</v>
      </c>
      <c r="F21" s="7">
        <f t="shared" si="4"/>
        <v>0.033975056163043</v>
      </c>
      <c r="G21" s="2" t="s">
        <v>76</v>
      </c>
      <c r="I21" s="9" t="str">
        <f>IF(D21="","?",IF(ABS(D21-OIS_Curve!D21)&lt;0.000001,"OK","CHECK"))</f>
        <v>OK</v>
      </c>
      <c r="J21" t="b">
        <f>IF(ABS(C21-OIS_Curve!C21)&lt;0.0001,TRUE(),FALSE())</f>
        <v>1</v>
      </c>
      <c r="K21" t="b">
        <f>IF(ABS(D21-OIS_Curve!D21)&lt;0.0001,TRUE(),FALSE())</f>
        <v>1</v>
      </c>
      <c r="L21" t="b">
        <f>IF(ABS(E21-OIS_Curve!E21)&lt;0.0001,TRUE(),FALSE())</f>
        <v>1</v>
      </c>
      <c r="M21" t="b">
        <f>IF(ABS(F21-OIS_Curve!F21)&lt;0.0001,TRUE(),FALSE())</f>
        <v>1</v>
      </c>
    </row>
    <row r="22" ht="15.75" customHeight="1" spans="2:13">
      <c r="B22" s="16">
        <v>1</v>
      </c>
      <c r="C22" s="7">
        <f>VLOOKUP($B22,$B$4:$F$16,5,FALSE)</f>
        <v>0.0372957847436969</v>
      </c>
      <c r="D22" s="6">
        <f>VLOOKUP($B22,$B$4:$F$16,4,FALSE)</f>
        <v>0.963391136801541</v>
      </c>
      <c r="E22" s="7">
        <f t="shared" si="3"/>
        <v>0.0349501336605156</v>
      </c>
      <c r="F22" s="7">
        <f t="shared" si="4"/>
        <v>0.0362317960172334</v>
      </c>
      <c r="I22" s="9" t="str">
        <f>IF(D22="","?",IF(ABS(D22-OIS_Curve!D22)&lt;0.000001,"OK","CHECK"))</f>
        <v>OK</v>
      </c>
      <c r="J22" t="b">
        <f>IF(ABS(C22-OIS_Curve!C22)&lt;0.0001,TRUE(),FALSE())</f>
        <v>1</v>
      </c>
      <c r="K22" t="b">
        <f>IF(ABS(D22-OIS_Curve!D22)&lt;0.0001,TRUE(),FALSE())</f>
        <v>1</v>
      </c>
      <c r="L22" t="b">
        <f>IF(ABS(E22-OIS_Curve!E22)&lt;0.0001,TRUE(),FALSE())</f>
        <v>1</v>
      </c>
      <c r="M22" t="b">
        <f>IF(ABS(F22-OIS_Curve!F22)&lt;0.0001,TRUE(),FALSE())</f>
        <v>1</v>
      </c>
    </row>
    <row r="23" ht="15.75" customHeight="1" spans="2:13">
      <c r="B23" s="12">
        <v>1.25</v>
      </c>
      <c r="C23" s="7">
        <f t="shared" ref="C23:C25" si="6">$C$22+(($C$26-$C$22)/($B$26-$B$22))*(B23-$B$22)</f>
        <v>0.0370503652650231</v>
      </c>
      <c r="D23" s="6">
        <f t="shared" si="5"/>
        <v>0.954743122287646</v>
      </c>
      <c r="E23" s="7">
        <f t="shared" si="3"/>
        <v>0.0358232678716541</v>
      </c>
      <c r="F23" s="7">
        <f t="shared" si="4"/>
        <v>0.0357365414525415</v>
      </c>
      <c r="I23" s="9" t="str">
        <f>IF(D23="","?",IF(ABS(D23-OIS_Curve!D23)&lt;0.000001,"OK","CHECK"))</f>
        <v>OK</v>
      </c>
      <c r="J23" t="b">
        <f>IF(ABS(C23-OIS_Curve!C23)&lt;0.0001,TRUE(),FALSE())</f>
        <v>1</v>
      </c>
      <c r="K23" t="b">
        <f>IF(ABS(D23-OIS_Curve!D23)&lt;0.0001,TRUE(),FALSE())</f>
        <v>1</v>
      </c>
      <c r="L23" t="b">
        <f>IF(ABS(E23-OIS_Curve!E23)&lt;0.0001,TRUE(),FALSE())</f>
        <v>1</v>
      </c>
      <c r="M23" t="b">
        <f>IF(ABS(F23-OIS_Curve!F23)&lt;0.0001,TRUE(),FALSE())</f>
        <v>1</v>
      </c>
    </row>
    <row r="24" ht="15.75" customHeight="1" spans="2:13">
      <c r="B24" s="16">
        <v>1.5</v>
      </c>
      <c r="C24" s="7">
        <f t="shared" si="6"/>
        <v>0.0368049457863493</v>
      </c>
      <c r="D24" s="6">
        <f t="shared" si="5"/>
        <v>0.946288849612581</v>
      </c>
      <c r="E24" s="7">
        <f t="shared" si="3"/>
        <v>0.0353324289143065</v>
      </c>
      <c r="F24" s="7">
        <f t="shared" si="4"/>
        <v>0.0352413476566795</v>
      </c>
      <c r="I24" s="9" t="str">
        <f>IF(D24="","?",IF(ABS(D24-OIS_Curve!D24)&lt;0.000001,"OK","CHECK"))</f>
        <v>OK</v>
      </c>
      <c r="J24" t="b">
        <f>IF(ABS(C24-OIS_Curve!C24)&lt;0.0001,TRUE(),FALSE())</f>
        <v>1</v>
      </c>
      <c r="K24" t="b">
        <f>IF(ABS(D24-OIS_Curve!D24)&lt;0.0001,TRUE(),FALSE())</f>
        <v>1</v>
      </c>
      <c r="L24" t="b">
        <f>IF(ABS(E24-OIS_Curve!E24)&lt;0.0001,TRUE(),FALSE())</f>
        <v>1</v>
      </c>
      <c r="M24" t="b">
        <f>IF(ABS(F24-OIS_Curve!F24)&lt;0.0001,TRUE(),FALSE())</f>
        <v>1</v>
      </c>
    </row>
    <row r="25" ht="15.75" customHeight="1" spans="2:13">
      <c r="B25" s="12">
        <v>1.75</v>
      </c>
      <c r="C25" s="7">
        <f t="shared" si="6"/>
        <v>0.0365595263076755</v>
      </c>
      <c r="D25" s="6">
        <f t="shared" si="5"/>
        <v>0.938024537404291</v>
      </c>
      <c r="E25" s="7">
        <f t="shared" si="3"/>
        <v>0.0348415899569591</v>
      </c>
      <c r="F25" s="7">
        <f t="shared" si="4"/>
        <v>0.0347462146221913</v>
      </c>
      <c r="I25" s="9" t="str">
        <f>IF(D25="","?",IF(ABS(D25-OIS_Curve!D25)&lt;0.000001,"OK","CHECK"))</f>
        <v>OK</v>
      </c>
      <c r="J25" t="b">
        <f>IF(ABS(C25-OIS_Curve!C25)&lt;0.0001,TRUE(),FALSE())</f>
        <v>1</v>
      </c>
      <c r="K25" t="b">
        <f>IF(ABS(D25-OIS_Curve!D25)&lt;0.0001,TRUE(),FALSE())</f>
        <v>1</v>
      </c>
      <c r="L25" t="b">
        <f>IF(ABS(E25-OIS_Curve!E25)&lt;0.0001,TRUE(),FALSE())</f>
        <v>1</v>
      </c>
      <c r="M25" t="b">
        <f>IF(ABS(F25-OIS_Curve!F25)&lt;0.0001,TRUE(),FALSE())</f>
        <v>1</v>
      </c>
    </row>
    <row r="26" ht="15.75" customHeight="1" spans="2:13">
      <c r="B26" s="16">
        <v>2</v>
      </c>
      <c r="C26" s="7">
        <f>VLOOKUP($B26,$B$4:$F$16,5,FALSE)</f>
        <v>0.0363141068290018</v>
      </c>
      <c r="D26" s="6">
        <f>VLOOKUP($B26,$B$4:$F$16,4,FALSE)</f>
        <v>0.929946507172944</v>
      </c>
      <c r="E26" s="7">
        <f t="shared" si="3"/>
        <v>0.034899419343282</v>
      </c>
      <c r="F26" s="7">
        <f t="shared" si="4"/>
        <v>0.0353580271089466</v>
      </c>
      <c r="I26" s="9" t="str">
        <f>IF(D26="","?",IF(ABS(D26-OIS_Curve!D26)&lt;0.000001,"OK","CHECK"))</f>
        <v>OK</v>
      </c>
      <c r="J26" t="b">
        <f>IF(ABS(C26-OIS_Curve!C26)&lt;0.0001,TRUE(),FALSE())</f>
        <v>1</v>
      </c>
      <c r="K26" t="b">
        <f>IF(ABS(D26-OIS_Curve!D26)&lt;0.0001,TRUE(),FALSE())</f>
        <v>1</v>
      </c>
      <c r="L26" t="b">
        <f>IF(ABS(E26-OIS_Curve!E26)&lt;0.0001,TRUE(),FALSE())</f>
        <v>1</v>
      </c>
      <c r="M26" t="b">
        <f>IF(ABS(F26-OIS_Curve!F26)&lt;0.0001,TRUE(),FALSE())</f>
        <v>1</v>
      </c>
    </row>
    <row r="27" ht="15.75" customHeight="1" spans="2:13">
      <c r="B27" s="12">
        <v>2.25</v>
      </c>
      <c r="C27" s="7">
        <f t="shared" ref="C27:C29" si="7">$C$26+(($C$30-$C$26)/($B$30-$B$26))*(B27-$B$26)</f>
        <v>0.0361906136489214</v>
      </c>
      <c r="D27" s="6">
        <f t="shared" ref="D27:D29" si="8">EXP(-B27*C27)</f>
        <v>0.92179826516081</v>
      </c>
      <c r="E27" s="7">
        <f t="shared" si="3"/>
        <v>0.0350791750281981</v>
      </c>
      <c r="F27" s="7">
        <f t="shared" si="4"/>
        <v>0.0351088652037097</v>
      </c>
      <c r="I27" s="9" t="str">
        <f>IF(D27="","?",IF(ABS(D27-OIS_Curve!D27)&lt;0.000001,"OK","CHECK"))</f>
        <v>OK</v>
      </c>
      <c r="J27" t="b">
        <f>IF(ABS(C27-OIS_Curve!C27)&lt;0.0001,TRUE(),FALSE())</f>
        <v>1</v>
      </c>
      <c r="K27" t="b">
        <f>IF(ABS(D27-OIS_Curve!D27)&lt;0.0001,TRUE(),FALSE())</f>
        <v>1</v>
      </c>
      <c r="L27" t="b">
        <f>IF(ABS(E27-OIS_Curve!E27)&lt;0.0001,TRUE(),FALSE())</f>
        <v>1</v>
      </c>
      <c r="M27" t="b">
        <f>IF(ABS(F27-OIS_Curve!F27)&lt;0.0001,TRUE(),FALSE())</f>
        <v>1</v>
      </c>
    </row>
    <row r="28" ht="15.75" customHeight="1" spans="2:13">
      <c r="B28" s="16">
        <v>2.5</v>
      </c>
      <c r="C28" s="7">
        <f t="shared" si="7"/>
        <v>0.036067120468841</v>
      </c>
      <c r="D28" s="6">
        <f t="shared" si="8"/>
        <v>0.913777839413286</v>
      </c>
      <c r="E28" s="7">
        <f t="shared" si="3"/>
        <v>0.0348321886680373</v>
      </c>
      <c r="F28" s="7">
        <f t="shared" si="4"/>
        <v>0.0348597186828954</v>
      </c>
      <c r="I28" s="9" t="str">
        <f>IF(D28="","?",IF(ABS(D28-OIS_Curve!D28)&lt;0.000001,"OK","CHECK"))</f>
        <v>OK</v>
      </c>
      <c r="J28" t="b">
        <f>IF(ABS(C28-OIS_Curve!C28)&lt;0.0001,TRUE(),FALSE())</f>
        <v>1</v>
      </c>
      <c r="K28" t="b">
        <f>IF(ABS(D28-OIS_Curve!D28)&lt;0.0001,TRUE(),FALSE())</f>
        <v>1</v>
      </c>
      <c r="L28" t="b">
        <f>IF(ABS(E28-OIS_Curve!E28)&lt;0.0001,TRUE(),FALSE())</f>
        <v>1</v>
      </c>
      <c r="M28" t="b">
        <f>IF(ABS(F28-OIS_Curve!F28)&lt;0.0001,TRUE(),FALSE())</f>
        <v>1</v>
      </c>
    </row>
    <row r="29" ht="15.75" customHeight="1" spans="2:13">
      <c r="B29" s="12">
        <v>2.75</v>
      </c>
      <c r="C29" s="7">
        <f t="shared" si="7"/>
        <v>0.0359436272887607</v>
      </c>
      <c r="D29" s="6">
        <f t="shared" si="8"/>
        <v>0.905883131631225</v>
      </c>
      <c r="E29" s="7">
        <f t="shared" si="3"/>
        <v>0.0345852023078766</v>
      </c>
      <c r="F29" s="7">
        <f t="shared" si="4"/>
        <v>0.0346105875455542</v>
      </c>
      <c r="I29" s="9" t="str">
        <f>IF(D29="","?",IF(ABS(D29-OIS_Curve!D29)&lt;0.000001,"OK","CHECK"))</f>
        <v>OK</v>
      </c>
      <c r="J29" t="b">
        <f>IF(ABS(C29-OIS_Curve!C29)&lt;0.0001,TRUE(),FALSE())</f>
        <v>1</v>
      </c>
      <c r="K29" t="b">
        <f>IF(ABS(D29-OIS_Curve!D29)&lt;0.0001,TRUE(),FALSE())</f>
        <v>1</v>
      </c>
      <c r="L29" t="b">
        <f>IF(ABS(E29-OIS_Curve!E29)&lt;0.0001,TRUE(),FALSE())</f>
        <v>1</v>
      </c>
      <c r="M29" t="b">
        <f>IF(ABS(F29-OIS_Curve!F29)&lt;0.0001,TRUE(),FALSE())</f>
        <v>1</v>
      </c>
    </row>
    <row r="30" ht="15.75" customHeight="1" spans="2:13">
      <c r="B30" s="16">
        <v>3</v>
      </c>
      <c r="C30" s="7">
        <f>VLOOKUP($B30,$B$4:$F$16,5,FALSE)</f>
        <v>0.0358201341086803</v>
      </c>
      <c r="D30" s="6">
        <f>VLOOKUP($B30,$B$4:$F$16,4,FALSE)</f>
        <v>0.898112084896219</v>
      </c>
      <c r="E30" s="7">
        <f t="shared" si="3"/>
        <v>0.0352870626549356</v>
      </c>
      <c r="F30" s="7">
        <f t="shared" si="4"/>
        <v>0.0362759211837007</v>
      </c>
      <c r="I30" s="9" t="str">
        <f>IF(D30="","?",IF(ABS(D30-OIS_Curve!D30)&lt;0.000001,"OK","CHECK"))</f>
        <v>OK</v>
      </c>
      <c r="J30" t="b">
        <f>IF(ABS(C30-OIS_Curve!C30)&lt;0.0001,TRUE(),FALSE())</f>
        <v>1</v>
      </c>
      <c r="K30" t="b">
        <f>IF(ABS(D30-OIS_Curve!D30)&lt;0.0001,TRUE(),FALSE())</f>
        <v>1</v>
      </c>
      <c r="L30" t="b">
        <f>IF(ABS(E30-OIS_Curve!E30)&lt;0.0001,TRUE(),FALSE())</f>
        <v>1</v>
      </c>
      <c r="M30" t="b">
        <f>IF(ABS(F30-OIS_Curve!F30)&lt;0.0001,TRUE(),FALSE())</f>
        <v>1</v>
      </c>
    </row>
    <row r="31" ht="15.75" customHeight="1" spans="2:13">
      <c r="B31" s="12">
        <v>3.25</v>
      </c>
      <c r="C31" s="7">
        <f>C30+((C34-C30)/(B34-B30))*(B31-B30)</f>
        <v>0.0358426173450953</v>
      </c>
      <c r="D31" s="6">
        <f t="shared" ref="D31:D33" si="9">EXP(-B31*C31)</f>
        <v>0.890040326710701</v>
      </c>
      <c r="E31" s="7">
        <f t="shared" si="3"/>
        <v>0.0361348994184897</v>
      </c>
      <c r="F31" s="7">
        <f t="shared" si="4"/>
        <v>0.0363212957116277</v>
      </c>
      <c r="I31" s="9" t="str">
        <f>IF(D31="","?",IF(ABS(D31-OIS_Curve!D31)&lt;0.000001,"OK","CHECK"))</f>
        <v>OK</v>
      </c>
      <c r="J31" t="b">
        <f>IF(ABS(C31-OIS_Curve!C31)&lt;0.0001,TRUE(),FALSE())</f>
        <v>1</v>
      </c>
      <c r="K31" t="b">
        <f>IF(ABS(D31-OIS_Curve!D31)&lt;0.0001,TRUE(),FALSE())</f>
        <v>1</v>
      </c>
      <c r="L31" t="b">
        <f>IF(ABS(E31-OIS_Curve!E31)&lt;0.0001,TRUE(),FALSE())</f>
        <v>1</v>
      </c>
      <c r="M31" t="b">
        <f>IF(ABS(F31-OIS_Curve!F31)&lt;0.0001,TRUE(),FALSE())</f>
        <v>1</v>
      </c>
    </row>
    <row r="32" ht="15.75" customHeight="1" spans="2:13">
      <c r="B32" s="16">
        <v>3.5</v>
      </c>
      <c r="C32" s="7">
        <f>C30+((C34-C30)/(B34-B30))*(B32-B30)</f>
        <v>0.0358651005815102</v>
      </c>
      <c r="D32" s="6">
        <f t="shared" si="9"/>
        <v>0.882031197720876</v>
      </c>
      <c r="E32" s="7">
        <f t="shared" si="3"/>
        <v>0.0361798658913196</v>
      </c>
      <c r="F32" s="7">
        <f t="shared" si="4"/>
        <v>0.0363666707496408</v>
      </c>
      <c r="I32" s="9" t="str">
        <f>IF(D32="","?",IF(ABS(D32-OIS_Curve!D32)&lt;0.000001,"OK","CHECK"))</f>
        <v>OK</v>
      </c>
      <c r="J32" t="b">
        <f>IF(ABS(C32-OIS_Curve!C32)&lt;0.0001,TRUE(),FALSE())</f>
        <v>1</v>
      </c>
      <c r="K32" t="b">
        <f>IF(ABS(D32-OIS_Curve!D32)&lt;0.0001,TRUE(),FALSE())</f>
        <v>1</v>
      </c>
      <c r="L32" t="b">
        <f>IF(ABS(E32-OIS_Curve!E32)&lt;0.0001,TRUE(),FALSE())</f>
        <v>1</v>
      </c>
      <c r="M32" t="b">
        <f>IF(ABS(F32-OIS_Curve!F32)&lt;0.0001,TRUE(),FALSE())</f>
        <v>1</v>
      </c>
    </row>
    <row r="33" ht="15.75" customHeight="1" spans="2:13">
      <c r="B33" s="12">
        <v>3.75</v>
      </c>
      <c r="C33" s="7">
        <f>C30+((C34-C30)/(B34-B30))*(B33-B30)</f>
        <v>0.0358875838179252</v>
      </c>
      <c r="D33" s="6">
        <f t="shared" si="9"/>
        <v>0.874084313610749</v>
      </c>
      <c r="E33" s="7">
        <f t="shared" si="3"/>
        <v>0.0362248323641498</v>
      </c>
      <c r="F33" s="7">
        <f t="shared" si="4"/>
        <v>0.0364120462977455</v>
      </c>
      <c r="I33" s="9" t="str">
        <f>IF(D33="","?",IF(ABS(D33-OIS_Curve!D33)&lt;0.000001,"OK","CHECK"))</f>
        <v>OK</v>
      </c>
      <c r="J33" t="b">
        <f>IF(ABS(C33-OIS_Curve!C33)&lt;0.0001,TRUE(),FALSE())</f>
        <v>1</v>
      </c>
      <c r="K33" t="b">
        <f>IF(ABS(D33-OIS_Curve!D33)&lt;0.0001,TRUE(),FALSE())</f>
        <v>1</v>
      </c>
      <c r="L33" t="b">
        <f>IF(ABS(E33-OIS_Curve!E33)&lt;0.0001,TRUE(),FALSE())</f>
        <v>1</v>
      </c>
      <c r="M33" t="b">
        <f>IF(ABS(F33-OIS_Curve!F33)&lt;0.0001,TRUE(),FALSE())</f>
        <v>1</v>
      </c>
    </row>
    <row r="34" ht="15.75" customHeight="1" spans="2:13">
      <c r="B34" s="16">
        <v>4</v>
      </c>
      <c r="C34" s="7">
        <f>VLOOKUP($B34,$B$4:$F$16,5,FALSE)</f>
        <v>0.0359100670543401</v>
      </c>
      <c r="D34" s="7">
        <f>VLOOKUP($B34,$B$4:$F$16,4,FALSE)</f>
        <v>0.866199291435047</v>
      </c>
      <c r="E34" s="7">
        <f t="shared" si="3"/>
        <v>0.0348064279208259</v>
      </c>
      <c r="F34" s="7">
        <f t="shared" si="4"/>
        <v>0.033505085380594</v>
      </c>
      <c r="I34" s="9" t="str">
        <f>IF(D34="","?",IF(ABS(D34-OIS_Curve!D34)&lt;0.000001,"OK","CHECK"))</f>
        <v>OK</v>
      </c>
      <c r="J34" t="b">
        <f>IF(ABS(C34-OIS_Curve!C34)&lt;0.0001,TRUE(),FALSE())</f>
        <v>1</v>
      </c>
      <c r="K34" t="b">
        <f>IF(ABS(D34-OIS_Curve!D34)&lt;0.0001,TRUE(),FALSE())</f>
        <v>1</v>
      </c>
      <c r="L34" t="b">
        <f>IF(ABS(E34-OIS_Curve!E34)&lt;0.0001,TRUE(),FALSE())</f>
        <v>1</v>
      </c>
      <c r="M34" t="b">
        <f>IF(ABS(F34-OIS_Curve!F34)&lt;0.0001,TRUE(),FALSE())</f>
        <v>1</v>
      </c>
    </row>
    <row r="35" ht="15.75" customHeight="1" spans="2:13">
      <c r="B35" s="12">
        <v>4.25</v>
      </c>
      <c r="C35" s="7">
        <f>C34+((C38-C34)/(B38-B34))*(B35-B34)</f>
        <v>0.0357603890065017</v>
      </c>
      <c r="D35" s="6">
        <f t="shared" ref="D35:D37" si="10">EXP(-B35*C35)</f>
        <v>0.859004040505197</v>
      </c>
      <c r="E35" s="7">
        <f t="shared" si="3"/>
        <v>0.0332158621932485</v>
      </c>
      <c r="F35" s="7">
        <f t="shared" si="4"/>
        <v>0.0332032330923369</v>
      </c>
      <c r="I35" s="9" t="str">
        <f>IF(D35="","?",IF(ABS(D35-OIS_Curve!D35)&lt;0.000001,"OK","CHECK"))</f>
        <v>OK</v>
      </c>
      <c r="J35" t="b">
        <f>IF(ABS(C35-OIS_Curve!C35)&lt;0.0001,TRUE(),FALSE())</f>
        <v>1</v>
      </c>
      <c r="K35" t="b">
        <f>IF(ABS(D35-OIS_Curve!D35)&lt;0.0001,TRUE(),FALSE())</f>
        <v>1</v>
      </c>
      <c r="L35" t="b">
        <f>IF(ABS(E35-OIS_Curve!E35)&lt;0.0001,TRUE(),FALSE())</f>
        <v>1</v>
      </c>
      <c r="M35" t="b">
        <f>IF(ABS(F35-OIS_Curve!F35)&lt;0.0001,TRUE(),FALSE())</f>
        <v>1</v>
      </c>
    </row>
    <row r="36" ht="15.75" customHeight="1" spans="2:13">
      <c r="B36" s="16">
        <v>4.5</v>
      </c>
      <c r="C36" s="7">
        <f>C34+((C38-C34)/(B38-B34))*(B36-B34)</f>
        <v>0.0356107109586633</v>
      </c>
      <c r="D36" s="6">
        <f t="shared" si="10"/>
        <v>0.851932313707466</v>
      </c>
      <c r="E36" s="7">
        <f t="shared" si="3"/>
        <v>0.0329165060975715</v>
      </c>
      <c r="F36" s="7">
        <f t="shared" si="4"/>
        <v>0.0329014033935655</v>
      </c>
      <c r="I36" s="9" t="str">
        <f>IF(D36="","?",IF(ABS(D36-OIS_Curve!D36)&lt;0.000001,"OK","CHECK"))</f>
        <v>OK</v>
      </c>
      <c r="J36" t="b">
        <f>IF(ABS(C36-OIS_Curve!C36)&lt;0.0001,TRUE(),FALSE())</f>
        <v>1</v>
      </c>
      <c r="K36" t="b">
        <f>IF(ABS(D36-OIS_Curve!D36)&lt;0.0001,TRUE(),FALSE())</f>
        <v>1</v>
      </c>
      <c r="L36" t="b">
        <f>IF(ABS(E36-OIS_Curve!E36)&lt;0.0001,TRUE(),FALSE())</f>
        <v>1</v>
      </c>
      <c r="M36" t="b">
        <f>IF(ABS(F36-OIS_Curve!F36)&lt;0.0001,TRUE(),FALSE())</f>
        <v>1</v>
      </c>
    </row>
    <row r="37" ht="15.75" customHeight="1" spans="2:13">
      <c r="B37" s="12">
        <v>4.75</v>
      </c>
      <c r="C37" s="7">
        <f>C34+((C38-C34)/(B38-B34))*(B37-B34)</f>
        <v>0.0354610329108249</v>
      </c>
      <c r="D37" s="6">
        <f t="shared" si="10"/>
        <v>0.844982039968139</v>
      </c>
      <c r="E37" s="7">
        <f t="shared" si="3"/>
        <v>0.0326171500018949</v>
      </c>
      <c r="F37" s="7">
        <f t="shared" si="4"/>
        <v>0.0325995962825889</v>
      </c>
      <c r="I37" s="9" t="str">
        <f>IF(D37="","?",IF(ABS(D37-OIS_Curve!D37)&lt;0.000001,"OK","CHECK"))</f>
        <v>OK</v>
      </c>
      <c r="J37" t="b">
        <f>IF(ABS(C37-OIS_Curve!C37)&lt;0.0001,TRUE(),FALSE())</f>
        <v>1</v>
      </c>
      <c r="K37" t="b">
        <f>IF(ABS(D37-OIS_Curve!D37)&lt;0.0001,TRUE(),FALSE())</f>
        <v>1</v>
      </c>
      <c r="L37" t="b">
        <f>IF(ABS(E37-OIS_Curve!E37)&lt;0.0001,TRUE(),FALSE())</f>
        <v>1</v>
      </c>
      <c r="M37" t="b">
        <f>IF(ABS(F37-OIS_Curve!F37)&lt;0.0001,TRUE(),FALSE())</f>
        <v>1</v>
      </c>
    </row>
    <row r="38" ht="15.75" customHeight="1" spans="2:13">
      <c r="B38" s="16">
        <v>5</v>
      </c>
      <c r="C38" s="7">
        <f>VLOOKUP($B38,$B$4:$F$16,5,FALSE)</f>
        <v>0.0353113548629865</v>
      </c>
      <c r="D38" s="7">
        <f>VLOOKUP($B38,$B$4:$F$16,4,FALSE)</f>
        <v>0.838151192344588</v>
      </c>
      <c r="E38" s="7">
        <f t="shared" si="3"/>
        <v>0.0345307601508519</v>
      </c>
      <c r="F38" s="7">
        <f t="shared" si="4"/>
        <v>0.0367619505222256</v>
      </c>
      <c r="I38" s="9" t="str">
        <f>IF(D38="","?",IF(ABS(D38-OIS_Curve!D38)&lt;0.000001,"OK","CHECK"))</f>
        <v>OK</v>
      </c>
      <c r="J38" t="b">
        <f>IF(ABS(C38-OIS_Curve!C38)&lt;0.0001,TRUE(),FALSE())</f>
        <v>1</v>
      </c>
      <c r="K38" t="b">
        <f>IF(ABS(D38-OIS_Curve!D38)&lt;0.0001,TRUE(),FALSE())</f>
        <v>1</v>
      </c>
      <c r="L38" t="b">
        <f>IF(ABS(E38-OIS_Curve!E38)&lt;0.0001,TRUE(),FALSE())</f>
        <v>1</v>
      </c>
      <c r="M38" t="b">
        <f>IF(ABS(F38-OIS_Curve!F38)&lt;0.0001,TRUE(),FALSE())</f>
        <v>1</v>
      </c>
    </row>
    <row r="39" ht="15.75" customHeight="1" spans="2:13">
      <c r="B39" s="12">
        <v>5.25</v>
      </c>
      <c r="C39" s="7">
        <f>C38+((C42-C38)/(B42-B38))*(B39-B38)</f>
        <v>0.0353724355051132</v>
      </c>
      <c r="D39" s="6">
        <f t="shared" ref="D39:D41" si="11">EXP(-B39*C39)</f>
        <v>0.830518323961271</v>
      </c>
      <c r="E39" s="7">
        <f t="shared" si="3"/>
        <v>0.0366551289897737</v>
      </c>
      <c r="F39" s="7">
        <f t="shared" si="4"/>
        <v>0.0368852364108365</v>
      </c>
      <c r="I39" s="9" t="str">
        <f>IF(D39="","?",IF(ABS(D39-OIS_Curve!D39)&lt;0.000001,"OK","CHECK"))</f>
        <v>OK</v>
      </c>
      <c r="J39" t="b">
        <f>IF(ABS(C39-OIS_Curve!C39)&lt;0.0001,TRUE(),FALSE())</f>
        <v>1</v>
      </c>
      <c r="K39" t="b">
        <f>IF(ABS(D39-OIS_Curve!D39)&lt;0.0001,TRUE(),FALSE())</f>
        <v>1</v>
      </c>
      <c r="L39" t="b">
        <f>IF(ABS(E39-OIS_Curve!E39)&lt;0.0001,TRUE(),FALSE())</f>
        <v>1</v>
      </c>
      <c r="M39" t="b">
        <f>IF(ABS(F39-OIS_Curve!F39)&lt;0.0001,TRUE(),FALSE())</f>
        <v>1</v>
      </c>
    </row>
    <row r="40" ht="15.75" customHeight="1" spans="2:13">
      <c r="B40" s="16">
        <v>5.5</v>
      </c>
      <c r="C40" s="7">
        <f>C38+((C42-C38)/(B42-B38))*(B40-B38)</f>
        <v>0.0354335161472398</v>
      </c>
      <c r="D40" s="6">
        <f t="shared" si="11"/>
        <v>0.822929833595843</v>
      </c>
      <c r="E40" s="7">
        <f t="shared" si="3"/>
        <v>0.0367772902740269</v>
      </c>
      <c r="F40" s="7">
        <f t="shared" si="4"/>
        <v>0.0370085260646951</v>
      </c>
      <c r="I40" s="9" t="str">
        <f>IF(D40="","?",IF(ABS(D40-OIS_Curve!D40)&lt;0.000001,"OK","CHECK"))</f>
        <v>OK</v>
      </c>
      <c r="J40" t="b">
        <f>IF(ABS(C40-OIS_Curve!C40)&lt;0.0001,TRUE(),FALSE())</f>
        <v>1</v>
      </c>
      <c r="K40" t="b">
        <f>IF(ABS(D40-OIS_Curve!D40)&lt;0.0001,TRUE(),FALSE())</f>
        <v>1</v>
      </c>
      <c r="L40" t="b">
        <f>IF(ABS(E40-OIS_Curve!E40)&lt;0.0001,TRUE(),FALSE())</f>
        <v>1</v>
      </c>
      <c r="M40" t="b">
        <f>IF(ABS(F40-OIS_Curve!F40)&lt;0.0001,TRUE(),FALSE())</f>
        <v>1</v>
      </c>
    </row>
    <row r="41" ht="15.75" customHeight="1" spans="2:13">
      <c r="B41" s="12">
        <v>5.75</v>
      </c>
      <c r="C41" s="7">
        <f>C38+((C42-C38)/(B42-B38))*(B41-B38)</f>
        <v>0.0354945967893665</v>
      </c>
      <c r="D41" s="6">
        <f t="shared" si="11"/>
        <v>0.815385777149241</v>
      </c>
      <c r="E41" s="7">
        <f t="shared" si="3"/>
        <v>0.0368994515582804</v>
      </c>
      <c r="F41" s="7">
        <f t="shared" si="4"/>
        <v>0.0371318194839176</v>
      </c>
      <c r="I41" s="9" t="str">
        <f>IF(D41="","?",IF(ABS(D41-OIS_Curve!D41)&lt;0.000001,"OK","CHECK"))</f>
        <v>OK</v>
      </c>
      <c r="J41" t="b">
        <f>IF(ABS(C41-OIS_Curve!C41)&lt;0.0001,TRUE(),FALSE())</f>
        <v>1</v>
      </c>
      <c r="K41" t="b">
        <f>IF(ABS(D41-OIS_Curve!D41)&lt;0.0001,TRUE(),FALSE())</f>
        <v>1</v>
      </c>
      <c r="L41" t="b">
        <f>IF(ABS(E41-OIS_Curve!E41)&lt;0.0001,TRUE(),FALSE())</f>
        <v>1</v>
      </c>
      <c r="M41" t="b">
        <f>IF(ABS(F41-OIS_Curve!F41)&lt;0.0001,TRUE(),FALSE())</f>
        <v>1</v>
      </c>
    </row>
    <row r="42" ht="15.75" customHeight="1" spans="2:13">
      <c r="B42" s="16">
        <v>6</v>
      </c>
      <c r="C42" s="7">
        <f>VLOOKUP($B42,$B$4:$F$16,5,FALSE)</f>
        <v>0.0355556774314932</v>
      </c>
      <c r="D42" s="7">
        <f>VLOOKUP($B42,$B$4:$F$16,4,FALSE)</f>
        <v>0.807886205958442</v>
      </c>
      <c r="E42" s="7">
        <f t="shared" si="3"/>
        <v>0.0348506582706259</v>
      </c>
      <c r="F42" s="7">
        <f t="shared" si="4"/>
        <v>0.0328751455515146</v>
      </c>
      <c r="I42" s="9" t="str">
        <f>IF(D42="","?",IF(ABS(D42-OIS_Curve!D42)&lt;0.000001,"OK","CHECK"))</f>
        <v>OK</v>
      </c>
      <c r="J42" t="b">
        <f>IF(ABS(C42-OIS_Curve!C42)&lt;0.0001,TRUE(),FALSE())</f>
        <v>1</v>
      </c>
      <c r="K42" t="b">
        <f>IF(ABS(D42-OIS_Curve!D42)&lt;0.0001,TRUE(),FALSE())</f>
        <v>1</v>
      </c>
      <c r="L42" t="b">
        <f>IF(ABS(E42-OIS_Curve!E42)&lt;0.0001,TRUE(),FALSE())</f>
        <v>1</v>
      </c>
      <c r="M42" t="b">
        <f>IF(ABS(F42-OIS_Curve!F42)&lt;0.0001,TRUE(),FALSE())</f>
        <v>1</v>
      </c>
    </row>
    <row r="43" ht="15.75" customHeight="1" spans="2:13">
      <c r="B43" s="12">
        <v>6.25</v>
      </c>
      <c r="C43" s="7">
        <f>C42+((C46-C42)/(B46-B42))*(B43-B42)</f>
        <v>0.0354430817078673</v>
      </c>
      <c r="D43" s="6">
        <f t="shared" ref="D43:D45" si="12">EXP(-B43*C43)</f>
        <v>0.801300488411683</v>
      </c>
      <c r="E43" s="7">
        <f t="shared" si="3"/>
        <v>0.0326281886172182</v>
      </c>
      <c r="F43" s="7">
        <f t="shared" si="4"/>
        <v>0.0326481096947377</v>
      </c>
      <c r="I43" s="9" t="str">
        <f>IF(D43="","?",IF(ABS(D43-OIS_Curve!D43)&lt;0.000001,"OK","CHECK"))</f>
        <v>OK</v>
      </c>
      <c r="J43" t="b">
        <f>IF(ABS(C43-OIS_Curve!C43)&lt;0.0001,TRUE(),FALSE())</f>
        <v>1</v>
      </c>
      <c r="K43" t="b">
        <f>IF(ABS(D43-OIS_Curve!D43)&lt;0.0001,TRUE(),FALSE())</f>
        <v>1</v>
      </c>
      <c r="L43" t="b">
        <f>IF(ABS(E43-OIS_Curve!E43)&lt;0.0001,TRUE(),FALSE())</f>
        <v>1</v>
      </c>
      <c r="M43" t="b">
        <f>IF(ABS(F43-OIS_Curve!F43)&lt;0.0001,TRUE(),FALSE())</f>
        <v>1</v>
      </c>
    </row>
    <row r="44" ht="15.75" customHeight="1" spans="2:13">
      <c r="B44" s="16">
        <v>6.5</v>
      </c>
      <c r="C44" s="7">
        <f>C42+((C46-C42)/(B46-B42))*(B44-B42)</f>
        <v>0.0353304859842413</v>
      </c>
      <c r="D44" s="6">
        <f t="shared" si="12"/>
        <v>0.794813201266242</v>
      </c>
      <c r="E44" s="7">
        <f t="shared" si="3"/>
        <v>0.0324029971699665</v>
      </c>
      <c r="F44" s="7">
        <f t="shared" si="4"/>
        <v>0.0324210866192356</v>
      </c>
      <c r="I44" s="9" t="str">
        <f>IF(D44="","?",IF(ABS(D44-OIS_Curve!D44)&lt;0.000001,"OK","CHECK"))</f>
        <v>OK</v>
      </c>
      <c r="J44" t="b">
        <f>IF(ABS(C44-OIS_Curve!C44)&lt;0.0001,TRUE(),FALSE())</f>
        <v>1</v>
      </c>
      <c r="K44" t="b">
        <f>IF(ABS(D44-OIS_Curve!D44)&lt;0.0001,TRUE(),FALSE())</f>
        <v>1</v>
      </c>
      <c r="L44" t="b">
        <f>IF(ABS(E44-OIS_Curve!E44)&lt;0.0001,TRUE(),FALSE())</f>
        <v>1</v>
      </c>
      <c r="M44" t="b">
        <f>IF(ABS(F44-OIS_Curve!F44)&lt;0.0001,TRUE(),FALSE())</f>
        <v>1</v>
      </c>
    </row>
    <row r="45" ht="15.75" customHeight="1" spans="2:13">
      <c r="B45" s="12">
        <v>6.75</v>
      </c>
      <c r="C45" s="7">
        <f>C42+((C46-C42)/(B46-B42))*(B45-B42)</f>
        <v>0.0352178902606154</v>
      </c>
      <c r="D45" s="6">
        <f t="shared" si="12"/>
        <v>0.788422820130236</v>
      </c>
      <c r="E45" s="7">
        <f t="shared" si="3"/>
        <v>0.0321778057227147</v>
      </c>
      <c r="F45" s="7">
        <f t="shared" si="4"/>
        <v>0.0321940763242861</v>
      </c>
      <c r="I45" s="9" t="str">
        <f>IF(D45="","?",IF(ABS(D45-OIS_Curve!D45)&lt;0.000001,"OK","CHECK"))</f>
        <v>OK</v>
      </c>
      <c r="J45" t="b">
        <f>IF(ABS(C45-OIS_Curve!C45)&lt;0.0001,TRUE(),FALSE())</f>
        <v>1</v>
      </c>
      <c r="K45" t="b">
        <f>IF(ABS(D45-OIS_Curve!D45)&lt;0.0001,TRUE(),FALSE())</f>
        <v>1</v>
      </c>
      <c r="L45" t="b">
        <f>IF(ABS(E45-OIS_Curve!E45)&lt;0.0001,TRUE(),FALSE())</f>
        <v>1</v>
      </c>
      <c r="M45" t="b">
        <f>IF(ABS(F45-OIS_Curve!F45)&lt;0.0001,TRUE(),FALSE())</f>
        <v>1</v>
      </c>
    </row>
    <row r="46" ht="15.75" customHeight="1" spans="2:13">
      <c r="B46" s="16">
        <v>7</v>
      </c>
      <c r="C46" s="7">
        <f>VLOOKUP($B46,$B$4:$F$16,5,FALSE)</f>
        <v>0.0351052945369894</v>
      </c>
      <c r="D46" s="7">
        <f>VLOOKUP($B46,$B$4:$F$16,4,FALSE)</f>
        <v>0.782127849212015</v>
      </c>
      <c r="E46" s="7">
        <f t="shared" si="3"/>
        <v>0.0340621880358433</v>
      </c>
      <c r="F46" s="7">
        <f t="shared" si="4"/>
        <v>0.0362221885076899</v>
      </c>
      <c r="I46" s="9" t="str">
        <f>IF(D46="","?",IF(ABS(D46-OIS_Curve!D46)&lt;0.000001,"OK","CHECK"))</f>
        <v>OK</v>
      </c>
      <c r="J46" t="b">
        <f>IF(ABS(C46-OIS_Curve!C46)&lt;0.0001,TRUE(),FALSE())</f>
        <v>1</v>
      </c>
      <c r="K46" t="b">
        <f>IF(ABS(D46-OIS_Curve!D46)&lt;0.0001,TRUE(),FALSE())</f>
        <v>1</v>
      </c>
      <c r="L46" t="b">
        <f>IF(ABS(E46-OIS_Curve!E46)&lt;0.0001,TRUE(),FALSE())</f>
        <v>1</v>
      </c>
      <c r="M46" t="b">
        <f>IF(ABS(F46-OIS_Curve!F46)&lt;0.0001,TRUE(),FALSE())</f>
        <v>1</v>
      </c>
    </row>
    <row r="47" ht="15.75" customHeight="1" spans="2:13">
      <c r="B47" s="12">
        <v>7.25</v>
      </c>
      <c r="C47" s="7">
        <f>C46+((C50-C46)/(B50-B46))*(B47-B46)</f>
        <v>0.035138186658907</v>
      </c>
      <c r="D47" s="6">
        <f t="shared" ref="D47:D49" si="13">EXP(-B47*C47)</f>
        <v>0.775108814811001</v>
      </c>
      <c r="E47" s="7">
        <f t="shared" si="3"/>
        <v>0.0360920581945159</v>
      </c>
      <c r="F47" s="7">
        <f t="shared" si="4"/>
        <v>0.0362885690096926</v>
      </c>
      <c r="I47" s="9" t="str">
        <f>IF(D47="","?",IF(ABS(D47-OIS_Curve!D47)&lt;0.000001,"OK","CHECK"))</f>
        <v>OK</v>
      </c>
      <c r="J47" t="b">
        <f>IF(ABS(C47-OIS_Curve!C47)&lt;0.0001,TRUE(),FALSE())</f>
        <v>1</v>
      </c>
      <c r="K47" t="b">
        <f>IF(ABS(D47-OIS_Curve!D47)&lt;0.0001,TRUE(),FALSE())</f>
        <v>1</v>
      </c>
      <c r="L47" t="b">
        <f>IF(ABS(E47-OIS_Curve!E47)&lt;0.0001,TRUE(),FALSE())</f>
        <v>1</v>
      </c>
      <c r="M47" t="b">
        <f>IF(ABS(F47-OIS_Curve!F47)&lt;0.0001,TRUE(),FALSE())</f>
        <v>1</v>
      </c>
    </row>
    <row r="48" ht="15.75" customHeight="1" spans="2:13">
      <c r="B48" s="16">
        <v>7.5</v>
      </c>
      <c r="C48" s="7">
        <f>C46+((C50-C46)/(B50-B46))*(B48-B46)</f>
        <v>0.0351710787808245</v>
      </c>
      <c r="D48" s="6">
        <f t="shared" si="13"/>
        <v>0.768140138207388</v>
      </c>
      <c r="E48" s="7">
        <f t="shared" si="3"/>
        <v>0.0361578424383509</v>
      </c>
      <c r="F48" s="7">
        <f t="shared" si="4"/>
        <v>0.0363549506034015</v>
      </c>
      <c r="I48" s="9" t="str">
        <f>IF(D48="","?",IF(ABS(D48-OIS_Curve!D48)&lt;0.000001,"OK","CHECK"))</f>
        <v>OK</v>
      </c>
      <c r="J48" t="b">
        <f>IF(ABS(C48-OIS_Curve!C48)&lt;0.0001,TRUE(),FALSE())</f>
        <v>1</v>
      </c>
      <c r="K48" t="b">
        <f>IF(ABS(D48-OIS_Curve!D48)&lt;0.0001,TRUE(),FALSE())</f>
        <v>1</v>
      </c>
      <c r="L48" t="b">
        <f>IF(ABS(E48-OIS_Curve!E48)&lt;0.0001,TRUE(),FALSE())</f>
        <v>1</v>
      </c>
      <c r="M48" t="b">
        <f>IF(ABS(F48-OIS_Curve!F48)&lt;0.0001,TRUE(),FALSE())</f>
        <v>1</v>
      </c>
    </row>
    <row r="49" ht="15.75" customHeight="1" spans="2:13">
      <c r="B49" s="12">
        <v>7.75</v>
      </c>
      <c r="C49" s="7">
        <f>C46+((C50-C46)/(B50-B46))*(B49-B46)</f>
        <v>0.035203970902742</v>
      </c>
      <c r="D49" s="6">
        <f t="shared" si="13"/>
        <v>0.761221594837746</v>
      </c>
      <c r="E49" s="7">
        <f t="shared" si="3"/>
        <v>0.0362236266821859</v>
      </c>
      <c r="F49" s="7">
        <f t="shared" si="4"/>
        <v>0.0364213332888363</v>
      </c>
      <c r="I49" s="9" t="str">
        <f>IF(D49="","?",IF(ABS(D49-OIS_Curve!D49)&lt;0.000001,"OK","CHECK"))</f>
        <v>OK</v>
      </c>
      <c r="J49" t="b">
        <f>IF(ABS(C49-OIS_Curve!C49)&lt;0.0001,TRUE(),FALSE())</f>
        <v>1</v>
      </c>
      <c r="K49" t="b">
        <f>IF(ABS(D49-OIS_Curve!D49)&lt;0.0001,TRUE(),FALSE())</f>
        <v>1</v>
      </c>
      <c r="L49" t="b">
        <f>IF(ABS(E49-OIS_Curve!E49)&lt;0.0001,TRUE(),FALSE())</f>
        <v>1</v>
      </c>
      <c r="M49" t="b">
        <f>IF(ABS(F49-OIS_Curve!F49)&lt;0.0001,TRUE(),FALSE())</f>
        <v>1</v>
      </c>
    </row>
    <row r="50" ht="15.75" customHeight="1" spans="2:13">
      <c r="B50" s="16">
        <v>8</v>
      </c>
      <c r="C50" s="7">
        <f>VLOOKUP($B50,$B$4:$F$16,5,FALSE)</f>
        <v>0.0352368630246596</v>
      </c>
      <c r="D50" s="7">
        <f>VLOOKUP($B50,$B$4:$F$16,4,FALSE)</f>
        <v>0.754352959697108</v>
      </c>
      <c r="E50" s="7">
        <f t="shared" si="3"/>
        <v>0.0362894109260213</v>
      </c>
      <c r="F50" s="7">
        <f t="shared" si="4"/>
        <v>0.0364877170660138</v>
      </c>
      <c r="I50" s="9" t="str">
        <f>IF(D50="","?",IF(ABS(D50-OIS_Curve!D50)&lt;0.000001,"OK","CHECK"))</f>
        <v>OK</v>
      </c>
      <c r="J50" t="b">
        <f>IF(ABS(C50-OIS_Curve!C50)&lt;0.0001,TRUE(),FALSE())</f>
        <v>1</v>
      </c>
      <c r="K50" t="b">
        <f>IF(ABS(D50-OIS_Curve!D50)&lt;0.0001,TRUE(),FALSE())</f>
        <v>1</v>
      </c>
      <c r="L50" t="b">
        <f>IF(ABS(E50-OIS_Curve!E50)&lt;0.0001,TRUE(),FALSE())</f>
        <v>1</v>
      </c>
      <c r="M50" t="b">
        <f>IF(ABS(F50-OIS_Curve!F50)&lt;0.0001,TRUE(),FALSE())</f>
        <v>1</v>
      </c>
    </row>
    <row r="51" ht="15.75" customHeight="1" spans="2:13">
      <c r="B51" s="12">
        <v>8.25</v>
      </c>
      <c r="C51" s="7">
        <f>C50+((C54-C50)/(B54-B50))*(B51-B50)</f>
        <v>0.0352697551465772</v>
      </c>
      <c r="D51" s="6">
        <f t="shared" ref="D51:D53" si="14">EXP(-B51*C51)</f>
        <v>0.747534007357686</v>
      </c>
      <c r="E51" s="7">
        <f t="shared" si="3"/>
        <v>0.0363551951698564</v>
      </c>
      <c r="F51" s="7">
        <f t="shared" si="4"/>
        <v>0.0365541019349509</v>
      </c>
      <c r="I51" s="9" t="str">
        <f>IF(D51="","?",IF(ABS(D51-OIS_Curve!D51)&lt;0.000001,"OK","CHECK"))</f>
        <v>OK</v>
      </c>
      <c r="J51" t="b">
        <f>IF(ABS(C51-OIS_Curve!C51)&lt;0.0001,TRUE(),FALSE())</f>
        <v>1</v>
      </c>
      <c r="K51" t="b">
        <f>IF(ABS(D51-OIS_Curve!D51)&lt;0.0001,TRUE(),FALSE())</f>
        <v>1</v>
      </c>
      <c r="L51" t="b">
        <f>IF(ABS(E51-OIS_Curve!E51)&lt;0.0001,TRUE(),FALSE())</f>
        <v>1</v>
      </c>
      <c r="M51" t="b">
        <f>IF(ABS(F51-OIS_Curve!F51)&lt;0.0001,TRUE(),FALSE())</f>
        <v>1</v>
      </c>
    </row>
    <row r="52" ht="15.75" customHeight="1" spans="2:13">
      <c r="B52" s="16">
        <v>8.5</v>
      </c>
      <c r="C52" s="7">
        <f>C50+((C54-C50)/(B54-B50))*(B52-B50)</f>
        <v>0.0353026472684947</v>
      </c>
      <c r="D52" s="6">
        <f t="shared" si="14"/>
        <v>0.74076451198744</v>
      </c>
      <c r="E52" s="7">
        <f t="shared" si="3"/>
        <v>0.0364209794136913</v>
      </c>
      <c r="F52" s="7">
        <f t="shared" si="4"/>
        <v>0.0366204878956662</v>
      </c>
      <c r="I52" s="9" t="str">
        <f>IF(D52="","?",IF(ABS(D52-OIS_Curve!D52)&lt;0.000001,"OK","CHECK"))</f>
        <v>OK</v>
      </c>
      <c r="J52" t="b">
        <f>IF(ABS(C52-OIS_Curve!C52)&lt;0.0001,TRUE(),FALSE())</f>
        <v>1</v>
      </c>
      <c r="K52" t="b">
        <f>IF(ABS(D52-OIS_Curve!D52)&lt;0.0001,TRUE(),FALSE())</f>
        <v>1</v>
      </c>
      <c r="L52" t="b">
        <f>IF(ABS(E52-OIS_Curve!E52)&lt;0.0001,TRUE(),FALSE())</f>
        <v>1</v>
      </c>
      <c r="M52" t="b">
        <f>IF(ABS(F52-OIS_Curve!F52)&lt;0.0001,TRUE(),FALSE())</f>
        <v>1</v>
      </c>
    </row>
    <row r="53" ht="15.75" customHeight="1" spans="2:13">
      <c r="B53" s="12">
        <v>8.75</v>
      </c>
      <c r="C53" s="7">
        <f>C50+((C54-C50)/(B54-B50))*(B53-B50)</f>
        <v>0.0353355393904123</v>
      </c>
      <c r="D53" s="6">
        <f t="shared" si="14"/>
        <v>0.734044247368529</v>
      </c>
      <c r="E53" s="7">
        <f t="shared" si="3"/>
        <v>0.0364867636575265</v>
      </c>
      <c r="F53" s="7">
        <f t="shared" si="4"/>
        <v>0.0366868749481801</v>
      </c>
      <c r="I53" s="9" t="str">
        <f>IF(D53="","?",IF(ABS(D53-OIS_Curve!D53)&lt;0.000001,"OK","CHECK"))</f>
        <v>OK</v>
      </c>
      <c r="J53" t="b">
        <f>IF(ABS(C53-OIS_Curve!C53)&lt;0.0001,TRUE(),FALSE())</f>
        <v>1</v>
      </c>
      <c r="K53" t="b">
        <f>IF(ABS(D53-OIS_Curve!D53)&lt;0.0001,TRUE(),FALSE())</f>
        <v>1</v>
      </c>
      <c r="L53" t="b">
        <f>IF(ABS(E53-OIS_Curve!E53)&lt;0.0001,TRUE(),FALSE())</f>
        <v>1</v>
      </c>
      <c r="M53" t="b">
        <f>IF(ABS(F53-OIS_Curve!F53)&lt;0.0001,TRUE(),FALSE())</f>
        <v>1</v>
      </c>
    </row>
    <row r="54" ht="15.75" customHeight="1" spans="2:13">
      <c r="B54" s="16">
        <v>9</v>
      </c>
      <c r="C54" s="7">
        <f>VLOOKUP($B54,$B$4:$F$16,5,FALSE)</f>
        <v>0.0353684315123298</v>
      </c>
      <c r="D54" s="7">
        <f>VLOOKUP($B54,$B$4:$F$16,4,FALSE)</f>
        <v>0.727372986915615</v>
      </c>
      <c r="E54" s="7">
        <f t="shared" si="3"/>
        <v>0.0331968162639218</v>
      </c>
      <c r="F54" s="7">
        <f t="shared" si="4"/>
        <v>0.0299858117990235</v>
      </c>
      <c r="I54" s="9" t="str">
        <f>IF(D54="","?",IF(ABS(D54-OIS_Curve!D54)&lt;0.000001,"OK","CHECK"))</f>
        <v>OK</v>
      </c>
      <c r="J54" t="b">
        <f>IF(ABS(C54-OIS_Curve!C54)&lt;0.0001,TRUE(),FALSE())</f>
        <v>1</v>
      </c>
      <c r="K54" t="b">
        <f>IF(ABS(D54-OIS_Curve!D54)&lt;0.0001,TRUE(),FALSE())</f>
        <v>1</v>
      </c>
      <c r="L54" t="b">
        <f>IF(ABS(E54-OIS_Curve!E54)&lt;0.0001,TRUE(),FALSE())</f>
        <v>1</v>
      </c>
      <c r="M54" t="b">
        <f>IF(ABS(F54-OIS_Curve!F54)&lt;0.0001,TRUE(),FALSE())</f>
        <v>1</v>
      </c>
    </row>
    <row r="55" ht="15.75" customHeight="1" spans="2:13">
      <c r="B55" s="12">
        <v>9.25</v>
      </c>
      <c r="C55" s="7">
        <f>C54+((C58-C54)/(B58-B54))*(B55-B54)</f>
        <v>0.0352199327349263</v>
      </c>
      <c r="D55" s="6">
        <f t="shared" ref="D55:D57" si="15">EXP(-B55*C55)</f>
        <v>0.721960841436222</v>
      </c>
      <c r="E55" s="7">
        <f t="shared" si="3"/>
        <v>0.0297254779709956</v>
      </c>
      <c r="F55" s="7">
        <f t="shared" si="4"/>
        <v>0.0296865989243438</v>
      </c>
      <c r="I55" s="9" t="str">
        <f>IF(D55="","?",IF(ABS(D55-OIS_Curve!D55)&lt;0.000001,"OK","CHECK"))</f>
        <v>OK</v>
      </c>
      <c r="J55" t="b">
        <f>IF(ABS(C55-OIS_Curve!C55)&lt;0.0001,TRUE(),FALSE())</f>
        <v>1</v>
      </c>
      <c r="K55" t="b">
        <f>IF(ABS(D55-OIS_Curve!D55)&lt;0.0001,TRUE(),FALSE())</f>
        <v>1</v>
      </c>
      <c r="L55" t="b">
        <f>IF(ABS(E55-OIS_Curve!E55)&lt;0.0001,TRUE(),FALSE())</f>
        <v>1</v>
      </c>
      <c r="M55" t="b">
        <f>IF(ABS(F55-OIS_Curve!F55)&lt;0.0001,TRUE(),FALSE())</f>
        <v>1</v>
      </c>
    </row>
    <row r="56" ht="15.75" customHeight="1" spans="2:13">
      <c r="B56" s="16">
        <v>9.5</v>
      </c>
      <c r="C56" s="7">
        <f>C54+((C58-C54)/(B58-B54))*(B56-B54)</f>
        <v>0.0350714339575227</v>
      </c>
      <c r="D56" s="6">
        <f t="shared" si="15"/>
        <v>0.716642174236515</v>
      </c>
      <c r="E56" s="7">
        <f t="shared" si="3"/>
        <v>0.0294284804161887</v>
      </c>
      <c r="F56" s="7">
        <f t="shared" si="4"/>
        <v>0.0293874082652144</v>
      </c>
      <c r="I56" s="9" t="str">
        <f>IF(D56="","?",IF(ABS(D56-OIS_Curve!D56)&lt;0.000001,"OK","CHECK"))</f>
        <v>OK</v>
      </c>
      <c r="J56" t="b">
        <f>IF(ABS(C56-OIS_Curve!C56)&lt;0.0001,TRUE(),FALSE())</f>
        <v>1</v>
      </c>
      <c r="K56" t="b">
        <f>IF(ABS(D56-OIS_Curve!D56)&lt;0.0001,TRUE(),FALSE())</f>
        <v>1</v>
      </c>
      <c r="L56" t="b">
        <f>IF(ABS(E56-OIS_Curve!E56)&lt;0.0001,TRUE(),FALSE())</f>
        <v>1</v>
      </c>
      <c r="M56" t="b">
        <f>IF(ABS(F56-OIS_Curve!F56)&lt;0.0001,TRUE(),FALSE())</f>
        <v>1</v>
      </c>
    </row>
    <row r="57" ht="15.75" customHeight="1" spans="2:13">
      <c r="B57" s="12">
        <v>9.75</v>
      </c>
      <c r="C57" s="7">
        <f>C54+((C58-C54)/(B58-B54))*(B57-B54)</f>
        <v>0.0349229351801192</v>
      </c>
      <c r="D57" s="6">
        <f t="shared" si="15"/>
        <v>0.711415509728863</v>
      </c>
      <c r="E57" s="7">
        <f t="shared" si="3"/>
        <v>0.0291314828613818</v>
      </c>
      <c r="F57" s="7">
        <f t="shared" si="4"/>
        <v>0.0290882398199814</v>
      </c>
      <c r="I57" s="9" t="str">
        <f>IF(D57="","?",IF(ABS(D57-OIS_Curve!D57)&lt;0.000001,"OK","CHECK"))</f>
        <v>OK</v>
      </c>
      <c r="J57" t="b">
        <f>IF(ABS(C57-OIS_Curve!C57)&lt;0.0001,TRUE(),FALSE())</f>
        <v>1</v>
      </c>
      <c r="K57" t="b">
        <f>IF(ABS(D57-OIS_Curve!D57)&lt;0.0001,TRUE(),FALSE())</f>
        <v>1</v>
      </c>
      <c r="L57" t="b">
        <f>IF(ABS(E57-OIS_Curve!E57)&lt;0.0001,TRUE(),FALSE())</f>
        <v>1</v>
      </c>
      <c r="M57" t="b">
        <f>IF(ABS(F57-OIS_Curve!F57)&lt;0.0001,TRUE(),FALSE())</f>
        <v>1</v>
      </c>
    </row>
    <row r="58" ht="15.75" customHeight="1" spans="2:13">
      <c r="B58" s="16">
        <v>10</v>
      </c>
      <c r="C58" s="7">
        <f>VLOOKUP($B58,$B$4:$F$16,5,FALSE)</f>
        <v>0.0347744364027157</v>
      </c>
      <c r="D58" s="7">
        <f>VLOOKUP($B58,$B$4:$F$16,4,FALSE)</f>
        <v>0.706279403561188</v>
      </c>
      <c r="E58" s="7">
        <f>-(LN(D58)-LN(D57))/(B58-B57)</f>
        <v>0.0289829840839779</v>
      </c>
      <c r="F58" s="24"/>
      <c r="I58" s="9" t="str">
        <f>IF(D58="","?",IF(ABS(D58-OIS_Curve!D58)&lt;0.000001,"OK","CHECK"))</f>
        <v>OK</v>
      </c>
      <c r="J58" t="b">
        <f>IF(ABS(C58-OIS_Curve!C58)&lt;0.0001,TRUE(),FALSE())</f>
        <v>1</v>
      </c>
      <c r="K58" t="b">
        <f>IF(ABS(D58-OIS_Curve!D58)&lt;0.0001,TRUE(),FALSE())</f>
        <v>1</v>
      </c>
      <c r="L58" t="b">
        <f>IF(ABS(E58-OIS_Curve!E58)&lt;0.0001,TRUE(),FALSE())</f>
        <v>1</v>
      </c>
    </row>
  </sheetData>
  <mergeCells count="3">
    <mergeCell ref="B1:G1"/>
    <mergeCell ref="B3:G3"/>
    <mergeCell ref="B17:G1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62"/>
  <sheetViews>
    <sheetView showGridLines="0" topLeftCell="A4" workbookViewId="0">
      <selection activeCell="D23" sqref="D23:D30"/>
    </sheetView>
  </sheetViews>
  <sheetFormatPr defaultColWidth="8.6328125" defaultRowHeight="16.8"/>
  <cols>
    <col min="1" max="1" width="3" customWidth="1"/>
    <col min="2" max="3" width="12" customWidth="1"/>
    <col min="4" max="4" width="16" customWidth="1"/>
    <col min="5" max="5" width="21.6328125" customWidth="1"/>
    <col min="6" max="6" width="34" customWidth="1"/>
    <col min="8" max="8" width="10" customWidth="1"/>
    <col min="9" max="9" width="12.7265625"/>
    <col min="10" max="10" width="13.8203125"/>
  </cols>
  <sheetData>
    <row r="1" ht="27.75" customHeight="1" spans="2:11">
      <c r="B1" s="1" t="s">
        <v>170</v>
      </c>
      <c r="C1" s="1"/>
      <c r="D1" s="1"/>
      <c r="E1" s="1"/>
      <c r="F1" s="1"/>
    </row>
    <row r="3" ht="19.5" customHeight="1" spans="2:11">
      <c r="B3" s="10" t="s">
        <v>78</v>
      </c>
      <c r="C3" s="10"/>
      <c r="D3" s="10"/>
      <c r="E3" s="10"/>
      <c r="F3" s="10"/>
      <c r="H3" s="3" t="s">
        <v>140</v>
      </c>
    </row>
    <row r="4" ht="19.5" customHeight="1" spans="2:11">
      <c r="B4" s="4" t="s">
        <v>17</v>
      </c>
      <c r="C4" s="4" t="s">
        <v>18</v>
      </c>
      <c r="D4" s="4" t="s">
        <v>19</v>
      </c>
      <c r="E4" s="4" t="s">
        <v>20</v>
      </c>
      <c r="F4" s="4" t="s">
        <v>79</v>
      </c>
      <c r="H4" s="4" t="s">
        <v>171</v>
      </c>
    </row>
    <row r="5" ht="18" customHeight="1" spans="2:11">
      <c r="B5" s="11" t="s">
        <v>21</v>
      </c>
      <c r="C5" s="12">
        <v>0</v>
      </c>
      <c r="D5" s="12">
        <v>0.25</v>
      </c>
      <c r="E5" s="13">
        <f>Instruments!$E$19</f>
        <v>0.044</v>
      </c>
      <c r="F5" s="2" t="s">
        <v>80</v>
      </c>
      <c r="H5">
        <f>VLOOKUP(D5,TRY_OIS!$B$18:$D$58,3,FALSE)</f>
        <v>0.989731535321044</v>
      </c>
      <c r="I5" s="14">
        <f>E5*H5</f>
        <v>0.0435481875541259</v>
      </c>
    </row>
    <row r="6" ht="18" customHeight="1" spans="2:11">
      <c r="B6" s="15" t="s">
        <v>23</v>
      </c>
      <c r="C6" s="16">
        <v>0.25</v>
      </c>
      <c r="D6" s="16">
        <v>0.5</v>
      </c>
      <c r="E6" s="13">
        <f>Instruments!$E$20</f>
        <v>0.0425</v>
      </c>
      <c r="F6" s="2" t="s">
        <v>81</v>
      </c>
      <c r="H6">
        <f>VLOOKUP(D6,TRY_OIS!$B$18:$D$58,3,FALSE)</f>
        <v>0.980392156862745</v>
      </c>
      <c r="I6" s="14">
        <f t="shared" ref="I6:I12" si="0">E6*H6</f>
        <v>0.0416666666666667</v>
      </c>
    </row>
    <row r="7" ht="18" customHeight="1" spans="2:11">
      <c r="B7" s="11" t="s">
        <v>25</v>
      </c>
      <c r="C7" s="12">
        <v>0.5</v>
      </c>
      <c r="D7" s="12">
        <v>0.75</v>
      </c>
      <c r="E7" s="13">
        <f>Instruments!$E$21</f>
        <v>0.0408</v>
      </c>
      <c r="F7" s="2" t="s">
        <v>82</v>
      </c>
      <c r="H7">
        <f>VLOOKUP(D7,TRY_OIS!$B$18:$D$58,3,FALSE)</f>
        <v>0.971573953796494</v>
      </c>
      <c r="I7" s="14">
        <f t="shared" si="0"/>
        <v>0.039640217314897</v>
      </c>
    </row>
    <row r="8" ht="18" customHeight="1" spans="2:11">
      <c r="B8" s="15" t="s">
        <v>27</v>
      </c>
      <c r="C8" s="16">
        <v>0.75</v>
      </c>
      <c r="D8" s="16">
        <v>1</v>
      </c>
      <c r="E8" s="13">
        <f>Instruments!$E$22</f>
        <v>0.0392</v>
      </c>
      <c r="F8" s="2" t="s">
        <v>83</v>
      </c>
      <c r="H8">
        <f>VLOOKUP(D8,TRY_OIS!$B$18:$D$58,3,FALSE)</f>
        <v>0.963391136801541</v>
      </c>
      <c r="I8" s="14">
        <f t="shared" si="0"/>
        <v>0.0377649325626204</v>
      </c>
    </row>
    <row r="9" ht="18" customHeight="1" spans="2:11">
      <c r="B9" s="11" t="s">
        <v>29</v>
      </c>
      <c r="C9" s="12">
        <v>1</v>
      </c>
      <c r="D9" s="12">
        <v>1.25</v>
      </c>
      <c r="E9" s="13">
        <f>Instruments!$E$23</f>
        <v>0.0382</v>
      </c>
      <c r="F9" s="2" t="s">
        <v>84</v>
      </c>
      <c r="H9">
        <f>VLOOKUP(D9,TRY_OIS!$B$18:$D$58,3,FALSE)</f>
        <v>0.954743122287646</v>
      </c>
      <c r="I9" s="14">
        <f t="shared" si="0"/>
        <v>0.0364711872713881</v>
      </c>
    </row>
    <row r="10" ht="18" customHeight="1" spans="2:11">
      <c r="B10" s="15" t="s">
        <v>31</v>
      </c>
      <c r="C10" s="16">
        <v>1.25</v>
      </c>
      <c r="D10" s="16">
        <v>1.5</v>
      </c>
      <c r="E10" s="13">
        <f>Instruments!$E$24</f>
        <v>0.0376</v>
      </c>
      <c r="F10" s="2" t="s">
        <v>85</v>
      </c>
      <c r="H10">
        <f>VLOOKUP(D10,TRY_OIS!$B$18:$D$58,3,FALSE)</f>
        <v>0.946288849612581</v>
      </c>
      <c r="I10" s="14">
        <f t="shared" si="0"/>
        <v>0.0355804607454331</v>
      </c>
    </row>
    <row r="11" ht="18" customHeight="1" spans="2:11">
      <c r="B11" s="11" t="s">
        <v>33</v>
      </c>
      <c r="C11" s="12">
        <v>1.5</v>
      </c>
      <c r="D11" s="12">
        <v>1.75</v>
      </c>
      <c r="E11" s="13">
        <f>Instruments!$E$25</f>
        <v>0.0372</v>
      </c>
      <c r="F11" s="2" t="s">
        <v>86</v>
      </c>
      <c r="H11">
        <f>VLOOKUP(D11,TRY_OIS!$B$18:$D$58,3,FALSE)</f>
        <v>0.938024537404291</v>
      </c>
      <c r="I11" s="14">
        <f t="shared" si="0"/>
        <v>0.0348945127914396</v>
      </c>
    </row>
    <row r="12" ht="18" customHeight="1" spans="2:11">
      <c r="B12" s="15" t="s">
        <v>35</v>
      </c>
      <c r="C12" s="16">
        <v>1.75</v>
      </c>
      <c r="D12" s="16">
        <v>2</v>
      </c>
      <c r="E12" s="13">
        <f>Instruments!$E$26</f>
        <v>0.037</v>
      </c>
      <c r="F12" s="2" t="s">
        <v>87</v>
      </c>
      <c r="H12">
        <f>VLOOKUP(D12,TRY_OIS!$B$18:$D$58,3,FALSE)</f>
        <v>0.929946507172944</v>
      </c>
      <c r="I12" s="14">
        <f t="shared" si="0"/>
        <v>0.0344080207653989</v>
      </c>
      <c r="J12" s="14">
        <f>SUM(I5:I12)</f>
        <v>0.30397418567197</v>
      </c>
    </row>
    <row r="14" ht="19.5" customHeight="1" spans="2:11">
      <c r="B14" s="10" t="s">
        <v>88</v>
      </c>
      <c r="C14" s="10"/>
      <c r="D14" s="10"/>
      <c r="E14" s="10"/>
      <c r="F14" s="10"/>
    </row>
    <row r="15" ht="19.5" customHeight="1" spans="2:11">
      <c r="B15" s="4" t="s">
        <v>89</v>
      </c>
      <c r="C15" s="4" t="s">
        <v>9</v>
      </c>
      <c r="D15" s="4" t="s">
        <v>90</v>
      </c>
      <c r="E15" s="4" t="s">
        <v>91</v>
      </c>
      <c r="F15" s="4" t="s">
        <v>92</v>
      </c>
    </row>
    <row r="16" ht="18" customHeight="1" spans="2:11">
      <c r="B16" s="17">
        <v>3</v>
      </c>
      <c r="C16" s="13">
        <f>Instruments!$D$30</f>
        <v>0.0367</v>
      </c>
      <c r="D16" s="18" t="s">
        <v>93</v>
      </c>
      <c r="E16" s="13">
        <v>0.0305632837033143</v>
      </c>
      <c r="F16" s="2" t="s">
        <v>94</v>
      </c>
      <c r="J16" s="19">
        <f>(C16*SUM(TRY_OIS!D19:D30)-J12)/(SUM(TRY_OIS!D27:D30))</f>
        <v>0.0305632837033143</v>
      </c>
      <c r="K16" t="b">
        <f>E16=J16</f>
        <v>1</v>
      </c>
    </row>
    <row r="17" ht="18" customHeight="1" spans="2:11">
      <c r="B17" s="20">
        <v>5</v>
      </c>
      <c r="C17" s="13">
        <f>Instruments!$D$31</f>
        <v>0.0364</v>
      </c>
      <c r="D17" s="21" t="s">
        <v>95</v>
      </c>
      <c r="E17" s="13">
        <v>0.0359088952996589</v>
      </c>
      <c r="F17" s="2" t="s">
        <v>96</v>
      </c>
      <c r="J17" s="19">
        <f>(C17*SUM(TRY_OIS!D19:D38)-J12-E16*SUM(TRY_OIS!D27:D30))/SUM(TRY_OIS!D31:D38)</f>
        <v>0.0359085591929723</v>
      </c>
      <c r="K17" t="b">
        <f>IF(ABS(E17-J17)&lt;0.00001,TRUE(),FALSE())</f>
        <v>1</v>
      </c>
    </row>
    <row r="18" ht="18" customHeight="1" spans="2:11">
      <c r="B18" s="17">
        <v>7</v>
      </c>
      <c r="C18" s="13">
        <f>Instruments!$D$32</f>
        <v>0.0362</v>
      </c>
      <c r="D18" s="18" t="s">
        <v>97</v>
      </c>
      <c r="E18" s="13">
        <v>0.035634866624842</v>
      </c>
      <c r="F18" s="2" t="s">
        <v>98</v>
      </c>
      <c r="J18" s="19">
        <f>(C18*SUM(TRY_OIS!D19:D46)-J12-E16*SUM(TRY_OIS!D27:D30)-E17*SUM(TRY_OIS!D31:D38))/SUM(TRY_OIS!D39:D46)</f>
        <v>0.0356340957205055</v>
      </c>
      <c r="K18" t="b">
        <f>IF(ABS(E18-J18)&lt;0.00001,TRUE(),FALSE())</f>
        <v>1</v>
      </c>
    </row>
    <row r="19" ht="18" customHeight="1" spans="2:11">
      <c r="B19" s="20">
        <v>10</v>
      </c>
      <c r="C19" s="13">
        <f>Instruments!$D$33</f>
        <v>0.0359</v>
      </c>
      <c r="D19" s="21" t="s">
        <v>99</v>
      </c>
      <c r="E19" s="13">
        <v>0.035066570842636</v>
      </c>
      <c r="F19" s="2" t="s">
        <v>100</v>
      </c>
      <c r="J19" s="19">
        <f>(C19*SUM(TRY_OIS!D19:D58)-J12-E16*SUM(TRY_OIS!D27:D30)-E17*SUM(TRY_OIS!D31:D38)-E18*SUM(TRY_OIS!D39:D46))/SUM(TRY_OIS!D47:D58)</f>
        <v>0.0350647890677454</v>
      </c>
      <c r="K19" t="b">
        <f>IF(ABS(E19-J19)&lt;0.00001,TRUE(),FALSE())</f>
        <v>1</v>
      </c>
    </row>
    <row r="21" ht="19.5" customHeight="1" spans="2:11">
      <c r="B21" s="10" t="s">
        <v>101</v>
      </c>
      <c r="C21" s="10"/>
      <c r="D21" s="10"/>
      <c r="E21" s="10"/>
      <c r="F21" s="10"/>
    </row>
    <row r="22" ht="19.5" customHeight="1" spans="2:11">
      <c r="B22" s="4" t="s">
        <v>18</v>
      </c>
      <c r="C22" s="4" t="s">
        <v>19</v>
      </c>
      <c r="D22" s="4" t="s">
        <v>102</v>
      </c>
      <c r="E22" s="4" t="s">
        <v>103</v>
      </c>
      <c r="F22" s="4" t="s">
        <v>79</v>
      </c>
    </row>
    <row r="23" ht="15.75" customHeight="1" spans="2:11">
      <c r="B23" s="12">
        <v>0</v>
      </c>
      <c r="C23" s="12">
        <v>0.25</v>
      </c>
      <c r="D23" s="7">
        <f>E5</f>
        <v>0.044</v>
      </c>
      <c r="E23" s="6">
        <f>1/(1+0.25*D23)</f>
        <v>0.989119683481701</v>
      </c>
      <c r="F23" s="2" t="s">
        <v>104</v>
      </c>
      <c r="H23" s="9" t="str">
        <f>IF(E23="","?",IF(ABS(E23-Proj_Curve!E23)&lt;0.000001,"OK","CHECK"))</f>
        <v>OK</v>
      </c>
    </row>
    <row r="24" ht="15.75" customHeight="1" spans="2:11">
      <c r="B24" s="16">
        <v>0.25</v>
      </c>
      <c r="C24" s="16">
        <v>0.5</v>
      </c>
      <c r="D24" s="7">
        <f t="shared" ref="D24:D30" si="1">E6</f>
        <v>0.0425</v>
      </c>
      <c r="E24" s="6">
        <f>E23/(1+D24*0.25)</f>
        <v>0.978720775244726</v>
      </c>
      <c r="F24" s="2" t="s">
        <v>104</v>
      </c>
      <c r="H24" s="9" t="str">
        <f>IF(E24="","?",IF(ABS(E24-Proj_Curve!E24)&lt;0.000001,"OK","CHECK"))</f>
        <v>OK</v>
      </c>
    </row>
    <row r="25" ht="15.75" customHeight="1" spans="2:11">
      <c r="B25" s="12">
        <v>0.5</v>
      </c>
      <c r="C25" s="12">
        <v>0.75</v>
      </c>
      <c r="D25" s="7">
        <f t="shared" si="1"/>
        <v>0.0408</v>
      </c>
      <c r="E25" s="6">
        <f t="shared" ref="E25:E62" si="2">E24/(1+D25*0.25)</f>
        <v>0.968838621307391</v>
      </c>
      <c r="H25" s="9" t="str">
        <f>IF(E25="","?",IF(ABS(E25-Proj_Curve!E25)&lt;0.000001,"OK","CHECK"))</f>
        <v>OK</v>
      </c>
    </row>
    <row r="26" ht="15.75" customHeight="1" spans="2:11">
      <c r="B26" s="16">
        <v>0.75</v>
      </c>
      <c r="C26" s="16">
        <v>1</v>
      </c>
      <c r="D26" s="7">
        <f t="shared" si="1"/>
        <v>0.0392</v>
      </c>
      <c r="E26" s="6">
        <f t="shared" si="2"/>
        <v>0.959436147066143</v>
      </c>
      <c r="H26" s="9" t="str">
        <f>IF(E26="","?",IF(ABS(E26-Proj_Curve!E26)&lt;0.000001,"OK","CHECK"))</f>
        <v>OK</v>
      </c>
    </row>
    <row r="27" ht="15.75" customHeight="1" spans="2:11">
      <c r="B27" s="12">
        <v>1</v>
      </c>
      <c r="C27" s="12">
        <v>1.25</v>
      </c>
      <c r="D27" s="7">
        <f t="shared" si="1"/>
        <v>0.0382</v>
      </c>
      <c r="E27" s="6">
        <f t="shared" si="2"/>
        <v>0.950360207088448</v>
      </c>
      <c r="H27" s="9" t="str">
        <f>IF(E27="","?",IF(ABS(E27-Proj_Curve!E27)&lt;0.000001,"OK","CHECK"))</f>
        <v>OK</v>
      </c>
    </row>
    <row r="28" ht="15.75" customHeight="1" spans="2:11">
      <c r="B28" s="16">
        <v>1.25</v>
      </c>
      <c r="C28" s="16">
        <v>1.5</v>
      </c>
      <c r="D28" s="7">
        <f t="shared" si="1"/>
        <v>0.0376</v>
      </c>
      <c r="E28" s="6">
        <f t="shared" si="2"/>
        <v>0.941510012966562</v>
      </c>
      <c r="H28" s="9" t="str">
        <f>IF(E28="","?",IF(ABS(E28-Proj_Curve!E28)&lt;0.000001,"OK","CHECK"))</f>
        <v>OK</v>
      </c>
    </row>
    <row r="29" ht="15.75" customHeight="1" spans="2:11">
      <c r="B29" s="12">
        <v>1.5</v>
      </c>
      <c r="C29" s="12">
        <v>1.75</v>
      </c>
      <c r="D29" s="7">
        <f t="shared" si="1"/>
        <v>0.0372</v>
      </c>
      <c r="E29" s="6">
        <f t="shared" si="2"/>
        <v>0.932834650714913</v>
      </c>
      <c r="H29" s="9" t="str">
        <f>IF(E29="","?",IF(ABS(E29-Proj_Curve!E29)&lt;0.000001,"OK","CHECK"))</f>
        <v>OK</v>
      </c>
    </row>
    <row r="30" ht="15.75" customHeight="1" spans="2:11">
      <c r="B30" s="16">
        <v>1.75</v>
      </c>
      <c r="C30" s="16">
        <v>2</v>
      </c>
      <c r="D30" s="7">
        <f t="shared" si="1"/>
        <v>0.037</v>
      </c>
      <c r="E30" s="6">
        <f t="shared" si="2"/>
        <v>0.924285014332339</v>
      </c>
      <c r="H30" s="9" t="str">
        <f>IF(E30="","?",IF(ABS(E30-Proj_Curve!E30)&lt;0.000001,"OK","CHECK"))</f>
        <v>OK</v>
      </c>
    </row>
    <row r="31" ht="15.75" customHeight="1" spans="2:11">
      <c r="B31" s="12">
        <v>2</v>
      </c>
      <c r="C31" s="12">
        <v>2.25</v>
      </c>
      <c r="D31" s="7">
        <f>E16</f>
        <v>0.0305632837033143</v>
      </c>
      <c r="E31" s="6">
        <f t="shared" si="2"/>
        <v>0.917276270609103</v>
      </c>
      <c r="H31" s="9" t="str">
        <f>IF(E31="","?",IF(ABS(E31-Proj_Curve!E31)&lt;0.000001,"OK","CHECK"))</f>
        <v>OK</v>
      </c>
    </row>
    <row r="32" ht="15.75" customHeight="1" spans="2:11">
      <c r="B32" s="16">
        <v>2.25</v>
      </c>
      <c r="C32" s="16">
        <v>2.5</v>
      </c>
      <c r="D32" s="7">
        <f>D31</f>
        <v>0.0305632837033143</v>
      </c>
      <c r="E32" s="6">
        <f t="shared" si="2"/>
        <v>0.910320673358888</v>
      </c>
      <c r="H32" s="9" t="str">
        <f>IF(E32="","?",IF(ABS(E32-Proj_Curve!E32)&lt;0.000001,"OK","CHECK"))</f>
        <v>OK</v>
      </c>
    </row>
    <row r="33" ht="15.75" customHeight="1" spans="2:8">
      <c r="B33" s="12">
        <v>2.5</v>
      </c>
      <c r="C33" s="12">
        <v>2.75</v>
      </c>
      <c r="D33" s="7">
        <f>D32</f>
        <v>0.0305632837033143</v>
      </c>
      <c r="E33" s="6">
        <f t="shared" si="2"/>
        <v>0.903417819578288</v>
      </c>
      <c r="H33" s="9" t="str">
        <f>IF(E33="","?",IF(ABS(E33-Proj_Curve!E33)&lt;0.000001,"OK","CHECK"))</f>
        <v>OK</v>
      </c>
    </row>
    <row r="34" ht="15.75" customHeight="1" spans="2:8">
      <c r="B34" s="16">
        <v>2.75</v>
      </c>
      <c r="C34" s="16">
        <v>3</v>
      </c>
      <c r="D34" s="7">
        <f>D33</f>
        <v>0.0305632837033143</v>
      </c>
      <c r="E34" s="6">
        <f t="shared" si="2"/>
        <v>0.896567309319824</v>
      </c>
      <c r="H34" s="9" t="str">
        <f>IF(E34="","?",IF(ABS(E34-Proj_Curve!E34)&lt;0.000001,"OK","CHECK"))</f>
        <v>OK</v>
      </c>
    </row>
    <row r="35" ht="15.75" customHeight="1" spans="2:8">
      <c r="B35" s="12">
        <v>3</v>
      </c>
      <c r="C35" s="12">
        <v>3.25</v>
      </c>
      <c r="D35" s="7">
        <f>E17</f>
        <v>0.0359088952996589</v>
      </c>
      <c r="E35" s="6">
        <f t="shared" si="2"/>
        <v>0.888590235883662</v>
      </c>
      <c r="H35" s="9" t="str">
        <f>IF(E35="","?",IF(ABS(E35-Proj_Curve!E35)&lt;0.000001,"OK","CHECK"))</f>
        <v>OK</v>
      </c>
    </row>
    <row r="36" ht="15.75" customHeight="1" spans="2:8">
      <c r="B36" s="16">
        <v>3.25</v>
      </c>
      <c r="C36" s="16">
        <v>3.5</v>
      </c>
      <c r="D36" s="7">
        <f>D35</f>
        <v>0.0359088952996589</v>
      </c>
      <c r="E36" s="6">
        <f t="shared" si="2"/>
        <v>0.880684137264388</v>
      </c>
      <c r="H36" s="9" t="str">
        <f>IF(E36="","?",IF(ABS(E36-Proj_Curve!E36)&lt;0.000001,"OK","CHECK"))</f>
        <v>OK</v>
      </c>
    </row>
    <row r="37" ht="15.75" customHeight="1" spans="2:8">
      <c r="B37" s="12">
        <v>3.5</v>
      </c>
      <c r="C37" s="12">
        <v>3.75</v>
      </c>
      <c r="D37" s="7">
        <f t="shared" ref="D37:D42" si="3">D36</f>
        <v>0.0359088952996589</v>
      </c>
      <c r="E37" s="6">
        <f t="shared" si="2"/>
        <v>0.872848381974191</v>
      </c>
      <c r="H37" s="9" t="str">
        <f>IF(E37="","?",IF(ABS(E37-Proj_Curve!E37)&lt;0.000001,"OK","CHECK"))</f>
        <v>OK</v>
      </c>
    </row>
    <row r="38" ht="15.75" customHeight="1" spans="2:8">
      <c r="B38" s="16">
        <v>3.75</v>
      </c>
      <c r="C38" s="16">
        <v>4</v>
      </c>
      <c r="D38" s="7">
        <f t="shared" si="3"/>
        <v>0.0359088952996589</v>
      </c>
      <c r="E38" s="6">
        <f t="shared" si="2"/>
        <v>0.86508234414383</v>
      </c>
      <c r="H38" s="9" t="str">
        <f>IF(E38="","?",IF(ABS(E38-Proj_Curve!E38)&lt;0.000001,"OK","CHECK"))</f>
        <v>OK</v>
      </c>
    </row>
    <row r="39" ht="15.75" customHeight="1" spans="2:8">
      <c r="B39" s="12">
        <v>4</v>
      </c>
      <c r="C39" s="12">
        <v>4.25</v>
      </c>
      <c r="D39" s="7">
        <f t="shared" si="3"/>
        <v>0.0359088952996589</v>
      </c>
      <c r="E39" s="6">
        <f t="shared" si="2"/>
        <v>0.857385403472641</v>
      </c>
      <c r="H39" s="9" t="str">
        <f>IF(E39="","?",IF(ABS(E39-Proj_Curve!E39)&lt;0.000001,"OK","CHECK"))</f>
        <v>OK</v>
      </c>
    </row>
    <row r="40" ht="15.75" customHeight="1" spans="2:8">
      <c r="B40" s="16">
        <v>4.25</v>
      </c>
      <c r="C40" s="16">
        <v>4.5</v>
      </c>
      <c r="D40" s="7">
        <f t="shared" si="3"/>
        <v>0.0359088952996589</v>
      </c>
      <c r="E40" s="6">
        <f t="shared" si="2"/>
        <v>0.849756945178994</v>
      </c>
      <c r="H40" s="9" t="str">
        <f>IF(E40="","?",IF(ABS(E40-Proj_Curve!E40)&lt;0.000001,"OK","CHECK"))</f>
        <v>OK</v>
      </c>
    </row>
    <row r="41" ht="15.75" customHeight="1" spans="2:8">
      <c r="B41" s="12">
        <v>4.5</v>
      </c>
      <c r="C41" s="12">
        <v>4.75</v>
      </c>
      <c r="D41" s="7">
        <f t="shared" si="3"/>
        <v>0.0359088952996589</v>
      </c>
      <c r="E41" s="6">
        <f t="shared" si="2"/>
        <v>0.842196359951184</v>
      </c>
      <c r="H41" s="9" t="str">
        <f>IF(E41="","?",IF(ABS(E41-Proj_Curve!E41)&lt;0.000001,"OK","CHECK"))</f>
        <v>OK</v>
      </c>
    </row>
    <row r="42" ht="15.75" customHeight="1" spans="2:8">
      <c r="B42" s="16">
        <v>4.75</v>
      </c>
      <c r="C42" s="16">
        <v>5</v>
      </c>
      <c r="D42" s="7">
        <f t="shared" si="3"/>
        <v>0.0359088952996589</v>
      </c>
      <c r="E42" s="6">
        <f t="shared" si="2"/>
        <v>0.834703043898767</v>
      </c>
      <c r="H42" s="9" t="str">
        <f>IF(E42="","?",IF(ABS(E42-Proj_Curve!E42)&lt;0.000001,"OK","CHECK"))</f>
        <v>OK</v>
      </c>
    </row>
    <row r="43" ht="15.75" customHeight="1" spans="2:8">
      <c r="B43" s="12">
        <v>5</v>
      </c>
      <c r="C43" s="12">
        <v>5.25</v>
      </c>
      <c r="D43" s="7">
        <f>E18</f>
        <v>0.035634866624842</v>
      </c>
      <c r="E43" s="6">
        <f t="shared" si="2"/>
        <v>0.82733257243053</v>
      </c>
      <c r="H43" s="9" t="str">
        <f>IF(E43="","?",IF(ABS(E43-Proj_Curve!E43)&lt;0.000001,"OK","CHECK"))</f>
        <v>OK</v>
      </c>
    </row>
    <row r="44" ht="15.75" customHeight="1" spans="2:8">
      <c r="B44" s="16">
        <v>5.25</v>
      </c>
      <c r="C44" s="16">
        <v>5.5</v>
      </c>
      <c r="D44" s="7">
        <f>D43</f>
        <v>0.035634866624842</v>
      </c>
      <c r="E44" s="6">
        <f t="shared" si="2"/>
        <v>0.820027182610264</v>
      </c>
      <c r="H44" s="9" t="str">
        <f>IF(E44="","?",IF(ABS(E44-Proj_Curve!E44)&lt;0.000001,"OK","CHECK"))</f>
        <v>OK</v>
      </c>
    </row>
    <row r="45" ht="15.75" customHeight="1" spans="2:8">
      <c r="B45" s="12">
        <v>5.5</v>
      </c>
      <c r="C45" s="12">
        <v>5.75</v>
      </c>
      <c r="D45" s="7">
        <f t="shared" ref="D45:D50" si="4">D44</f>
        <v>0.035634866624842</v>
      </c>
      <c r="E45" s="6">
        <f t="shared" si="2"/>
        <v>0.81278629976362</v>
      </c>
      <c r="H45" s="9" t="str">
        <f>IF(E45="","?",IF(ABS(E45-Proj_Curve!E45)&lt;0.000001,"OK","CHECK"))</f>
        <v>OK</v>
      </c>
    </row>
    <row r="46" ht="15.75" customHeight="1" spans="2:8">
      <c r="B46" s="16">
        <v>5.75</v>
      </c>
      <c r="C46" s="16">
        <v>6</v>
      </c>
      <c r="D46" s="7">
        <f t="shared" si="4"/>
        <v>0.035634866624842</v>
      </c>
      <c r="E46" s="6">
        <f t="shared" si="2"/>
        <v>0.805609354290652</v>
      </c>
      <c r="H46" s="9" t="str">
        <f>IF(E46="","?",IF(ABS(E46-Proj_Curve!E46)&lt;0.000001,"OK","CHECK"))</f>
        <v>OK</v>
      </c>
    </row>
    <row r="47" ht="15.75" customHeight="1" spans="2:8">
      <c r="B47" s="12">
        <v>6</v>
      </c>
      <c r="C47" s="12">
        <v>6.25</v>
      </c>
      <c r="D47" s="7">
        <f t="shared" si="4"/>
        <v>0.035634866624842</v>
      </c>
      <c r="E47" s="6">
        <f t="shared" si="2"/>
        <v>0.798495781621011</v>
      </c>
      <c r="H47" s="9" t="str">
        <f>IF(E47="","?",IF(ABS(E47-Proj_Curve!E47)&lt;0.000001,"OK","CHECK"))</f>
        <v>OK</v>
      </c>
    </row>
    <row r="48" ht="15.75" customHeight="1" spans="2:8">
      <c r="B48" s="16">
        <v>6.25</v>
      </c>
      <c r="C48" s="16">
        <v>6.5</v>
      </c>
      <c r="D48" s="7">
        <f t="shared" si="4"/>
        <v>0.035634866624842</v>
      </c>
      <c r="E48" s="6">
        <f t="shared" si="2"/>
        <v>0.791445022169535</v>
      </c>
      <c r="H48" s="9" t="str">
        <f>IF(E48="","?",IF(ABS(E48-Proj_Curve!E48)&lt;0.000001,"OK","CHECK"))</f>
        <v>OK</v>
      </c>
    </row>
    <row r="49" ht="15.75" customHeight="1" spans="2:8">
      <c r="B49" s="12">
        <v>6.5</v>
      </c>
      <c r="C49" s="12">
        <v>6.75</v>
      </c>
      <c r="D49" s="7">
        <f t="shared" si="4"/>
        <v>0.035634866624842</v>
      </c>
      <c r="E49" s="6">
        <f t="shared" si="2"/>
        <v>0.784456521292226</v>
      </c>
      <c r="H49" s="9" t="str">
        <f>IF(E49="","?",IF(ABS(E49-Proj_Curve!E49)&lt;0.000001,"OK","CHECK"))</f>
        <v>OK</v>
      </c>
    </row>
    <row r="50" ht="15.75" customHeight="1" spans="2:8">
      <c r="B50" s="16">
        <v>6.75</v>
      </c>
      <c r="C50" s="16">
        <v>7</v>
      </c>
      <c r="D50" s="7">
        <f t="shared" si="4"/>
        <v>0.035634866624842</v>
      </c>
      <c r="E50" s="6">
        <f t="shared" si="2"/>
        <v>0.777529729242623</v>
      </c>
      <c r="H50" s="9" t="str">
        <f>IF(E50="","?",IF(ABS(E50-Proj_Curve!E50)&lt;0.000001,"OK","CHECK"))</f>
        <v>OK</v>
      </c>
    </row>
    <row r="51" ht="15.75" customHeight="1" spans="2:8">
      <c r="B51" s="12">
        <v>7</v>
      </c>
      <c r="C51" s="12">
        <v>7.25</v>
      </c>
      <c r="D51" s="7">
        <f>E19</f>
        <v>0.035066570842636</v>
      </c>
      <c r="E51" s="6">
        <f t="shared" si="2"/>
        <v>0.7707726408888</v>
      </c>
      <c r="H51" s="9" t="str">
        <f>IF(E51="","?",IF(ABS(E51-Proj_Curve!E51)&lt;0.000001,"OK","CHECK"))</f>
        <v>OK</v>
      </c>
    </row>
    <row r="52" ht="15.75" customHeight="1" spans="2:8">
      <c r="B52" s="16">
        <v>7.25</v>
      </c>
      <c r="C52" s="16">
        <v>7.5</v>
      </c>
      <c r="D52" s="7">
        <f>D51</f>
        <v>0.035066570842636</v>
      </c>
      <c r="E52" s="6">
        <f t="shared" si="2"/>
        <v>0.764074274717942</v>
      </c>
      <c r="H52" s="9" t="str">
        <f>IF(E52="","?",IF(ABS(E52-Proj_Curve!E52)&lt;0.000001,"OK","CHECK"))</f>
        <v>OK</v>
      </c>
    </row>
    <row r="53" ht="15.75" customHeight="1" spans="2:8">
      <c r="B53" s="12">
        <v>7.5</v>
      </c>
      <c r="C53" s="12">
        <v>7.75</v>
      </c>
      <c r="D53" s="7">
        <f t="shared" ref="D53:D62" si="5">D52</f>
        <v>0.035066570842636</v>
      </c>
      <c r="E53" s="6">
        <f t="shared" si="2"/>
        <v>0.757434120407467</v>
      </c>
      <c r="H53" s="9" t="str">
        <f>IF(E53="","?",IF(ABS(E53-Proj_Curve!E53)&lt;0.000001,"OK","CHECK"))</f>
        <v>OK</v>
      </c>
    </row>
    <row r="54" ht="15.75" customHeight="1" spans="2:8">
      <c r="B54" s="16">
        <v>7.75</v>
      </c>
      <c r="C54" s="16">
        <v>8</v>
      </c>
      <c r="D54" s="7">
        <f t="shared" si="5"/>
        <v>0.035066570842636</v>
      </c>
      <c r="E54" s="6">
        <f t="shared" si="2"/>
        <v>0.750851672069731</v>
      </c>
      <c r="H54" s="9" t="str">
        <f>IF(E54="","?",IF(ABS(E54-Proj_Curve!E54)&lt;0.000001,"OK","CHECK"))</f>
        <v>OK</v>
      </c>
    </row>
    <row r="55" ht="15.75" customHeight="1" spans="2:8">
      <c r="B55" s="12">
        <v>8</v>
      </c>
      <c r="C55" s="12">
        <v>8.25</v>
      </c>
      <c r="D55" s="7">
        <f t="shared" si="5"/>
        <v>0.035066570842636</v>
      </c>
      <c r="E55" s="6">
        <f t="shared" si="2"/>
        <v>0.744326428213483</v>
      </c>
      <c r="H55" s="9" t="str">
        <f>IF(E55="","?",IF(ABS(E55-Proj_Curve!E55)&lt;0.000001,"OK","CHECK"))</f>
        <v>OK</v>
      </c>
    </row>
    <row r="56" ht="15.75" customHeight="1" spans="2:8">
      <c r="B56" s="16">
        <v>8.25</v>
      </c>
      <c r="C56" s="16">
        <v>8.5</v>
      </c>
      <c r="D56" s="7">
        <f t="shared" si="5"/>
        <v>0.035066570842636</v>
      </c>
      <c r="E56" s="6">
        <f t="shared" si="2"/>
        <v>0.737857891705659</v>
      </c>
      <c r="H56" s="9" t="str">
        <f>IF(E56="","?",IF(ABS(E56-Proj_Curve!E56)&lt;0.000001,"OK","CHECK"))</f>
        <v>OK</v>
      </c>
    </row>
    <row r="57" ht="15.75" customHeight="1" spans="2:8">
      <c r="B57" s="12">
        <v>8.5</v>
      </c>
      <c r="C57" s="12">
        <v>8.75</v>
      </c>
      <c r="D57" s="7">
        <f t="shared" si="5"/>
        <v>0.035066570842636</v>
      </c>
      <c r="E57" s="6">
        <f t="shared" si="2"/>
        <v>0.731445569733511</v>
      </c>
      <c r="H57" s="9" t="str">
        <f>IF(E57="","?",IF(ABS(E57-Proj_Curve!E57)&lt;0.000001,"OK","CHECK"))</f>
        <v>OK</v>
      </c>
    </row>
    <row r="58" ht="15.75" customHeight="1" spans="2:8">
      <c r="B58" s="16">
        <v>8.75</v>
      </c>
      <c r="C58" s="16">
        <v>9</v>
      </c>
      <c r="D58" s="7">
        <f t="shared" si="5"/>
        <v>0.035066570842636</v>
      </c>
      <c r="E58" s="6">
        <f t="shared" si="2"/>
        <v>0.725088973767057</v>
      </c>
      <c r="H58" s="9" t="str">
        <f>IF(E58="","?",IF(ABS(E58-Proj_Curve!E58)&lt;0.000001,"OK","CHECK"))</f>
        <v>OK</v>
      </c>
    </row>
    <row r="59" ht="15.75" customHeight="1" spans="2:8">
      <c r="B59" s="12">
        <v>9</v>
      </c>
      <c r="C59" s="12">
        <v>9.25</v>
      </c>
      <c r="D59" s="7">
        <f t="shared" si="5"/>
        <v>0.035066570842636</v>
      </c>
      <c r="E59" s="6">
        <f t="shared" si="2"/>
        <v>0.718787619521864</v>
      </c>
      <c r="H59" s="9" t="str">
        <f>IF(E59="","?",IF(ABS(E59-Proj_Curve!E59)&lt;0.000001,"OK","CHECK"))</f>
        <v>OK</v>
      </c>
    </row>
    <row r="60" ht="15.75" customHeight="1" spans="2:8">
      <c r="B60" s="16">
        <v>9.25</v>
      </c>
      <c r="C60" s="16">
        <v>9.5</v>
      </c>
      <c r="D60" s="7">
        <f t="shared" si="5"/>
        <v>0.035066570842636</v>
      </c>
      <c r="E60" s="6">
        <f t="shared" si="2"/>
        <v>0.712541026922151</v>
      </c>
      <c r="H60" s="9" t="str">
        <f>IF(E60="","?",IF(ABS(E60-Proj_Curve!E60)&lt;0.000001,"OK","CHECK"))</f>
        <v>OK</v>
      </c>
    </row>
    <row r="61" ht="15.75" customHeight="1" spans="2:8">
      <c r="B61" s="12">
        <v>9.5</v>
      </c>
      <c r="C61" s="12">
        <v>9.75</v>
      </c>
      <c r="D61" s="7">
        <f t="shared" si="5"/>
        <v>0.035066570842636</v>
      </c>
      <c r="E61" s="6">
        <f t="shared" si="2"/>
        <v>0.706348720064217</v>
      </c>
      <c r="H61" s="9" t="str">
        <f>IF(E61="","?",IF(ABS(E61-Proj_Curve!E61)&lt;0.000001,"OK","CHECK"))</f>
        <v>OK</v>
      </c>
    </row>
    <row r="62" ht="15.75" customHeight="1" spans="2:8">
      <c r="B62" s="16">
        <v>9.75</v>
      </c>
      <c r="C62" s="16">
        <v>10</v>
      </c>
      <c r="D62" s="7">
        <f t="shared" si="5"/>
        <v>0.035066570842636</v>
      </c>
      <c r="E62" s="6">
        <f t="shared" si="2"/>
        <v>0.700210227180179</v>
      </c>
      <c r="H62" s="9" t="str">
        <f>IF(E62="","?",IF(ABS(E62-Proj_Curve!E62)&lt;0.000001,"OK","CHECK"))</f>
        <v>OK</v>
      </c>
    </row>
  </sheetData>
  <mergeCells count="4">
    <mergeCell ref="B1:F1"/>
    <mergeCell ref="B3:F3"/>
    <mergeCell ref="B14:F14"/>
    <mergeCell ref="B21:F2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9"/>
  <sheetViews>
    <sheetView showGridLines="0" workbookViewId="0">
      <selection activeCell="H5" sqref="H5"/>
    </sheetView>
  </sheetViews>
  <sheetFormatPr defaultColWidth="8.6328125" defaultRowHeight="16.8"/>
  <cols>
    <col min="1" max="1" width="3" customWidth="1"/>
    <col min="2" max="2" width="14" customWidth="1"/>
    <col min="3" max="5" width="18" customWidth="1"/>
    <col min="6" max="6" width="14" customWidth="1"/>
    <col min="8" max="8" width="10" customWidth="1"/>
  </cols>
  <sheetData>
    <row r="1" ht="27.75" customHeight="1" spans="2:13">
      <c r="B1" s="1" t="s">
        <v>172</v>
      </c>
      <c r="C1" s="1"/>
      <c r="D1" s="1"/>
      <c r="E1" s="1"/>
      <c r="F1" s="1"/>
    </row>
    <row r="2" ht="15.75" customHeight="1" spans="2:13">
      <c r="B2" s="2" t="s">
        <v>106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>
      <c r="H3" s="3" t="s">
        <v>140</v>
      </c>
    </row>
    <row r="4" ht="19.5" customHeight="1" spans="2:13">
      <c r="B4" s="4" t="s">
        <v>107</v>
      </c>
      <c r="C4" s="4" t="s">
        <v>108</v>
      </c>
      <c r="D4" s="4" t="s">
        <v>109</v>
      </c>
      <c r="E4" s="4" t="s">
        <v>110</v>
      </c>
      <c r="F4" s="4" t="s">
        <v>111</v>
      </c>
    </row>
    <row r="5" ht="21.75" customHeight="1" spans="2:13">
      <c r="B5" s="5" t="s">
        <v>112</v>
      </c>
      <c r="C5" s="6">
        <f>0.25*SUM(TRY_OIS!$D$19:D26)</f>
        <v>1.91852294981482</v>
      </c>
      <c r="D5" s="6" cm="1">
        <f t="array" ref="D5">0.25*SUMPRODUCT(TRY_Proj!$D$23:D30,TRY_OIS!$D$19:D26)</f>
        <v>0.0759935464179924</v>
      </c>
      <c r="E5" s="7">
        <f>D5/C5</f>
        <v>0.0396104442875325</v>
      </c>
      <c r="F5" s="8">
        <v>21.8973159750658</v>
      </c>
      <c r="H5" s="9" t="str">
        <f>IF(E5="","?",IF(ABS(E5-Par_Rates!E5)&lt;0.000001,"OK","CHECK"))</f>
        <v>OK</v>
      </c>
    </row>
    <row r="6" ht="21.75" customHeight="1" spans="2:13">
      <c r="B6" s="5" t="s">
        <v>113</v>
      </c>
      <c r="C6" s="6">
        <f>0.25*SUM(TRY_OIS!$D$19:D30)</f>
        <v>2.82841578009021</v>
      </c>
      <c r="D6" s="6" cm="1">
        <f t="array" ref="D6">0.25*SUMPRODUCT(TRY_Proj!$D$23:D34,TRY_OIS!$D$19:D30)</f>
        <v>0.103802859129311</v>
      </c>
      <c r="E6" s="7">
        <f>D6/C6</f>
        <v>0.0367</v>
      </c>
      <c r="F6" s="8">
        <v>69.9127191579285</v>
      </c>
      <c r="H6" s="9" t="str">
        <f>IF(E6="","?",IF(ABS(E6-Par_Rates!E6)&lt;0.000001,"OK","CHECK"))</f>
        <v>OK</v>
      </c>
    </row>
    <row r="7" ht="21.75" customHeight="1" spans="2:13">
      <c r="B7" s="5" t="s">
        <v>114</v>
      </c>
      <c r="C7" s="6">
        <f>0.25*SUM(TRY_OIS!$D$19:D38)</f>
        <v>4.5550219590909</v>
      </c>
      <c r="D7" s="6" cm="1">
        <f t="array" ref="D7">0.25*SUMPRODUCT(TRY_Proj!$D$23:D42,TRY_OIS!$D$19:D38)</f>
        <v>0.165803379634791</v>
      </c>
      <c r="E7" s="7">
        <f>D7/C7</f>
        <v>0.036400127403092</v>
      </c>
      <c r="F7" s="8">
        <v>143.364817211091</v>
      </c>
      <c r="H7" s="9" t="str">
        <f>IF(E7="","?",IF(ABS(E7-Par_Rates!E7)&lt;0.000001,"OK","CHECK"))</f>
        <v>OK</v>
      </c>
    </row>
    <row r="8" ht="21.75" customHeight="1" spans="2:13">
      <c r="B8" s="5" t="s">
        <v>115</v>
      </c>
      <c r="C8" s="6">
        <f>0.25*SUM(TRY_OIS!$D$19:D46)</f>
        <v>6.16586808401214</v>
      </c>
      <c r="D8" s="6" cm="1">
        <f t="array" ref="D8">0.25*SUMPRODUCT(TRY_Proj!$D$23:D50,TRY_OIS!$D$19:D46)</f>
        <v>0.223205666449503</v>
      </c>
      <c r="E8" s="7">
        <f>D8/C8</f>
        <v>0.0362002014003943</v>
      </c>
      <c r="F8" s="8">
        <v>219.158719357891</v>
      </c>
      <c r="H8" s="9" t="str">
        <f>IF(E8="","?",IF(ABS(E8-Par_Rates!E8)&lt;0.000001,"OK","CHECK"))</f>
        <v>OK</v>
      </c>
    </row>
    <row r="9" ht="21.75" customHeight="1" spans="2:13">
      <c r="B9" s="5" t="s">
        <v>116</v>
      </c>
      <c r="C9" s="6">
        <f>0.25*SUM(TRY_OIS!$D$19:D58)</f>
        <v>8.38207738154847</v>
      </c>
      <c r="D9" s="6" cm="1">
        <f t="array" ref="D9">0.25*SUMPRODUCT(TRY_Proj!$D$23:D62,TRY_OIS!$D$19:D58)</f>
        <v>0.300920526783669</v>
      </c>
      <c r="E9" s="7">
        <f>D9/C9</f>
        <v>0.0359004710987383</v>
      </c>
      <c r="F9" s="8">
        <v>333.795728053805</v>
      </c>
      <c r="H9" s="9" t="str">
        <f>IF(E9="","?",IF(ABS(E9-Par_Rates!E9)&lt;0.000001,"OK","CHECK"))</f>
        <v>OK</v>
      </c>
    </row>
  </sheetData>
  <mergeCells count="2">
    <mergeCell ref="B1:F1"/>
    <mergeCell ref="B2:M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Instruments</vt:lpstr>
      <vt:lpstr>OIS_Curve</vt:lpstr>
      <vt:lpstr>Proj_Curve</vt:lpstr>
      <vt:lpstr>Par_Rates</vt:lpstr>
      <vt:lpstr>HW_Caplets</vt:lpstr>
      <vt:lpstr>TRY_Caplets</vt:lpstr>
      <vt:lpstr>Cap_Prices</vt:lpstr>
      <vt:lpstr>TRY_CapPrices</vt:lpstr>
      <vt:lpstr>Parameters</vt:lpstr>
      <vt:lpstr>TRY_OIS</vt:lpstr>
      <vt:lpstr>TRY_Proj</vt:lpstr>
      <vt:lpstr>TRY_Par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 Kumar</cp:lastModifiedBy>
  <cp:revision>0</cp:revision>
  <dcterms:created xsi:type="dcterms:W3CDTF">2026-05-30T23:56:00Z</dcterms:created>
  <dcterms:modified xsi:type="dcterms:W3CDTF">2026-06-09T21:31:19Z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A966C17EC2F715AA5BB7196A0840130F_42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